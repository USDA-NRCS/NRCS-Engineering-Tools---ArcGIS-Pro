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drawings/drawing6.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7.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Password="88DD" lockStructure="1"/>
  <bookViews>
    <workbookView xWindow="0" yWindow="165" windowWidth="15195" windowHeight="8325" tabRatio="806"/>
  </bookViews>
  <sheets>
    <sheet name="WASCOB Design 1" sheetId="1" r:id="rId1"/>
    <sheet name="WASCOB Design 2" sheetId="4" r:id="rId2"/>
    <sheet name="WASCOB Design 3" sheetId="5" r:id="rId3"/>
    <sheet name="Tile Design" sheetId="2" r:id="rId4"/>
    <sheet name="Offsets" sheetId="7" r:id="rId5"/>
    <sheet name="Tile Alignment" sheetId="10" r:id="rId6"/>
    <sheet name="Intake &amp; Design Height" sheetId="11" r:id="rId7"/>
    <sheet name="Watershed Report" sheetId="9" r:id="rId8"/>
    <sheet name="Help" sheetId="12" r:id="rId9"/>
    <sheet name="Defaults" sheetId="3" r:id="rId10"/>
    <sheet name="Import1" sheetId="8" r:id="rId11"/>
  </sheets>
  <definedNames>
    <definedName name="_xlnm._FilterDatabase" localSheetId="7" hidden="1">'Watershed Report'!$A$28:$I$28</definedName>
    <definedName name="b">'WASCOB Design 1'!$B$12</definedName>
    <definedName name="County" localSheetId="1">'WASCOB Design 2'!$B$5</definedName>
    <definedName name="County" localSheetId="2">'WASCOB Design 3'!$B$5</definedName>
    <definedName name="County">'WASCOB Design 1'!$B$5</definedName>
    <definedName name="County_Table">Defaults!$B$2:$I$93</definedName>
    <definedName name="ddds">'WASCOB Design 1'!$B$12</definedName>
    <definedName name="Position" localSheetId="1">'WASCOB Design 2'!$G$23</definedName>
    <definedName name="Position" localSheetId="2">'WASCOB Design 3'!$G$23</definedName>
    <definedName name="Position">'WASCOB Design 1'!$G$23</definedName>
    <definedName name="_xlnm.Print_Area" localSheetId="6">'Intake &amp; Design Height'!$A$1:$E$51</definedName>
    <definedName name="_xlnm.Print_Area" localSheetId="5">'Tile Alignment'!$A$1:$E$51</definedName>
    <definedName name="_xlnm.Print_Area" localSheetId="3">'Tile Design'!$A$1:$J$59</definedName>
    <definedName name="_xlnm.Print_Area" localSheetId="0">'WASCOB Design 1'!$A$1:$I$51</definedName>
    <definedName name="_xlnm.Print_Area" localSheetId="1">'WASCOB Design 2'!$A$1:$I$51</definedName>
    <definedName name="_xlnm.Print_Area" localSheetId="2">'WASCOB Design 3'!$A$1:$I$51</definedName>
    <definedName name="_xlnm.Print_Area" localSheetId="7">'Watershed Report'!$A$1:$I$60</definedName>
    <definedName name="Storm" localSheetId="1">'WASCOB Design 2'!$B$12</definedName>
    <definedName name="Storm" localSheetId="2">'WASCOB Design 3'!$B$12</definedName>
    <definedName name="Storm">'WASCOB Design 1'!$B$12</definedName>
    <definedName name="Strom">'WASCOB Design 1'!$B$12</definedName>
    <definedName name="Stupid">'WASCOB Design 1'!$P$12</definedName>
    <definedName name="Title">#REF!</definedName>
    <definedName name="UseLength">#REF!</definedName>
  </definedNames>
  <calcPr calcId="145621"/>
</workbook>
</file>

<file path=xl/calcChain.xml><?xml version="1.0" encoding="utf-8"?>
<calcChain xmlns="http://schemas.openxmlformats.org/spreadsheetml/2006/main">
  <c r="I59" i="9" l="1"/>
  <c r="I58" i="9"/>
  <c r="I57" i="9"/>
  <c r="I56" i="9"/>
  <c r="I55" i="9"/>
  <c r="I54" i="9"/>
  <c r="I53" i="9"/>
  <c r="I52" i="9"/>
  <c r="I51" i="9"/>
  <c r="I50" i="9"/>
  <c r="I49" i="9"/>
  <c r="I48" i="9"/>
  <c r="I47" i="9"/>
  <c r="I46" i="9"/>
  <c r="I45" i="9"/>
  <c r="I44" i="9"/>
  <c r="I43" i="9"/>
  <c r="I42" i="9"/>
  <c r="I41" i="9"/>
  <c r="I40" i="9"/>
  <c r="I39" i="9"/>
  <c r="I38" i="9"/>
  <c r="I37" i="9"/>
  <c r="I36" i="9"/>
  <c r="I35" i="9"/>
  <c r="I34" i="9"/>
  <c r="I33" i="9"/>
  <c r="I32" i="9"/>
  <c r="I31" i="9"/>
  <c r="I30" i="9"/>
  <c r="I29" i="9"/>
  <c r="H59" i="9"/>
  <c r="H58" i="9"/>
  <c r="H57" i="9"/>
  <c r="H56" i="9"/>
  <c r="H55" i="9"/>
  <c r="H54" i="9"/>
  <c r="H53" i="9"/>
  <c r="H52" i="9"/>
  <c r="H51" i="9"/>
  <c r="H50" i="9"/>
  <c r="H49" i="9"/>
  <c r="H48" i="9"/>
  <c r="H47" i="9"/>
  <c r="H46" i="9"/>
  <c r="H45" i="9"/>
  <c r="H44" i="9"/>
  <c r="H43" i="9"/>
  <c r="H42" i="9"/>
  <c r="H41" i="9"/>
  <c r="H40" i="9"/>
  <c r="H39" i="9"/>
  <c r="H38" i="9"/>
  <c r="H37" i="9"/>
  <c r="H36" i="9"/>
  <c r="H35" i="9"/>
  <c r="H34" i="9"/>
  <c r="H33" i="9"/>
  <c r="H32" i="9"/>
  <c r="H31" i="9"/>
  <c r="H30" i="9"/>
  <c r="H29" i="9"/>
  <c r="G59" i="9"/>
  <c r="G58" i="9"/>
  <c r="G57" i="9"/>
  <c r="G56" i="9"/>
  <c r="G55" i="9"/>
  <c r="G54" i="9"/>
  <c r="G53" i="9"/>
  <c r="G52" i="9"/>
  <c r="G51" i="9"/>
  <c r="G50" i="9"/>
  <c r="G49" i="9"/>
  <c r="G48" i="9"/>
  <c r="G47" i="9"/>
  <c r="G46" i="9"/>
  <c r="G45" i="9"/>
  <c r="G44" i="9"/>
  <c r="G43" i="9"/>
  <c r="G42" i="9"/>
  <c r="G41" i="9"/>
  <c r="G40" i="9"/>
  <c r="G39" i="9"/>
  <c r="G38" i="9"/>
  <c r="G37" i="9"/>
  <c r="G36" i="9"/>
  <c r="G35" i="9"/>
  <c r="G34" i="9"/>
  <c r="G33" i="9"/>
  <c r="G32" i="9"/>
  <c r="G31" i="9"/>
  <c r="G30" i="9"/>
  <c r="G29" i="9"/>
  <c r="F59" i="9"/>
  <c r="F58" i="9"/>
  <c r="F57" i="9"/>
  <c r="F56" i="9"/>
  <c r="F55" i="9"/>
  <c r="F54" i="9"/>
  <c r="F53" i="9"/>
  <c r="F52" i="9"/>
  <c r="F51" i="9"/>
  <c r="F50" i="9"/>
  <c r="F49" i="9"/>
  <c r="F48" i="9"/>
  <c r="F47" i="9"/>
  <c r="F46" i="9"/>
  <c r="F45" i="9"/>
  <c r="F44" i="9"/>
  <c r="F43" i="9"/>
  <c r="F42" i="9"/>
  <c r="F41" i="9"/>
  <c r="F40" i="9"/>
  <c r="F39" i="9"/>
  <c r="F38" i="9"/>
  <c r="F37" i="9"/>
  <c r="F36" i="9"/>
  <c r="F35" i="9"/>
  <c r="F34" i="9"/>
  <c r="F33" i="9"/>
  <c r="F32" i="9"/>
  <c r="F31" i="9"/>
  <c r="F30" i="9"/>
  <c r="F29"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A59" i="9"/>
  <c r="A58" i="9"/>
  <c r="A57" i="9"/>
  <c r="A56" i="9"/>
  <c r="A55" i="9"/>
  <c r="A54" i="9"/>
  <c r="A53" i="9"/>
  <c r="A52" i="9"/>
  <c r="A51" i="9"/>
  <c r="A50" i="9"/>
  <c r="A49" i="9"/>
  <c r="A48" i="9"/>
  <c r="A47" i="9"/>
  <c r="A46" i="9"/>
  <c r="A45" i="9"/>
  <c r="A44" i="9"/>
  <c r="A43" i="9"/>
  <c r="A42" i="9"/>
  <c r="A41" i="9"/>
  <c r="A40" i="9"/>
  <c r="A39" i="9"/>
  <c r="A38" i="9"/>
  <c r="A37" i="9"/>
  <c r="A36" i="9"/>
  <c r="A35" i="9"/>
  <c r="A34" i="9"/>
  <c r="A33" i="9"/>
  <c r="A32" i="9"/>
  <c r="A31" i="9"/>
  <c r="A30" i="9"/>
  <c r="A60" i="9"/>
  <c r="A29" i="9"/>
  <c r="N12" i="5" l="1"/>
  <c r="C17" i="9" s="1"/>
  <c r="N12" i="4"/>
  <c r="C16" i="9" s="1"/>
  <c r="N12" i="1"/>
  <c r="C15" i="9" s="1"/>
  <c r="A24" i="9"/>
  <c r="D24" i="9" s="1"/>
  <c r="A23" i="9"/>
  <c r="E23" i="9" s="1"/>
  <c r="A22" i="9"/>
  <c r="D22" i="9" s="1"/>
  <c r="A17" i="9"/>
  <c r="A16" i="9"/>
  <c r="A15" i="9"/>
  <c r="B23" i="9" l="1"/>
  <c r="C22" i="9"/>
  <c r="C24" i="9"/>
  <c r="D23" i="9"/>
  <c r="E22" i="9"/>
  <c r="E24" i="9"/>
  <c r="B22" i="9"/>
  <c r="B24" i="9"/>
  <c r="C23" i="9"/>
  <c r="L8" i="1"/>
  <c r="L9" i="1"/>
  <c r="L7" i="1"/>
  <c r="L6" i="1"/>
  <c r="L5" i="1"/>
  <c r="L4" i="1"/>
  <c r="L3" i="1"/>
  <c r="F24" i="9" l="1"/>
  <c r="F22" i="9"/>
  <c r="H3" i="9"/>
  <c r="H5" i="9"/>
  <c r="M12" i="5"/>
  <c r="D17" i="9" s="1"/>
  <c r="L12" i="5"/>
  <c r="M12" i="4"/>
  <c r="D16" i="9" s="1"/>
  <c r="L12" i="4"/>
  <c r="M12" i="1"/>
  <c r="D15" i="9" s="1"/>
  <c r="L12" i="1"/>
  <c r="F23" i="9" l="1"/>
  <c r="I60" i="9"/>
  <c r="H60" i="9"/>
  <c r="G60" i="9"/>
  <c r="B60" i="9"/>
  <c r="C16" i="5" l="1"/>
  <c r="C14" i="5"/>
  <c r="B17" i="9" s="1"/>
  <c r="C14" i="4"/>
  <c r="B16" i="9" s="1"/>
  <c r="C16" i="4"/>
  <c r="C16" i="1"/>
  <c r="C14" i="1"/>
  <c r="B15" i="9" s="1"/>
  <c r="F9" i="9"/>
  <c r="D9" i="9"/>
  <c r="B9" i="9"/>
  <c r="B7" i="9"/>
  <c r="B5" i="9"/>
  <c r="B3" i="9"/>
  <c r="K12" i="5"/>
  <c r="K12" i="4"/>
  <c r="K12" i="1"/>
  <c r="A44" i="4" l="1" a="1"/>
  <c r="A44" i="4" s="1"/>
  <c r="A40" i="4" a="1"/>
  <c r="A40" i="4" s="1"/>
  <c r="A36" i="4" a="1"/>
  <c r="A36" i="4" s="1"/>
  <c r="A32" i="4" a="1"/>
  <c r="A32" i="4" s="1"/>
  <c r="A28" i="4" a="1"/>
  <c r="A28" i="4" s="1"/>
  <c r="A24" i="4" a="1"/>
  <c r="A24" i="4" s="1"/>
  <c r="B43" i="4" a="1"/>
  <c r="B43" i="4" s="1"/>
  <c r="B39" i="4" a="1"/>
  <c r="B39" i="4" s="1"/>
  <c r="B35" i="4" a="1"/>
  <c r="B35" i="4" s="1"/>
  <c r="B31" i="4" a="1"/>
  <c r="B31" i="4" s="1"/>
  <c r="B27" i="4" a="1"/>
  <c r="B27" i="4" s="1"/>
  <c r="A43" i="4" a="1"/>
  <c r="A43" i="4" s="1"/>
  <c r="A39" i="4" a="1"/>
  <c r="A39" i="4" s="1"/>
  <c r="A31" i="4" a="1"/>
  <c r="A31" i="4" s="1"/>
  <c r="B34" i="4" a="1"/>
  <c r="B34" i="4" s="1"/>
  <c r="A38" i="4" a="1"/>
  <c r="A38" i="4" s="1"/>
  <c r="A26" i="4" a="1"/>
  <c r="A26" i="4" s="1"/>
  <c r="B37" i="4" a="1"/>
  <c r="B37" i="4" s="1"/>
  <c r="B25" i="4" a="1"/>
  <c r="B25" i="4" s="1"/>
  <c r="B40" i="4" a="1"/>
  <c r="B40" i="4" s="1"/>
  <c r="B24" i="4" a="1"/>
  <c r="B24" i="4" s="1"/>
  <c r="A35" i="4" a="1"/>
  <c r="A35" i="4" s="1"/>
  <c r="A27" i="4" a="1"/>
  <c r="A27" i="4" s="1"/>
  <c r="B38" i="4" a="1"/>
  <c r="B38" i="4" s="1"/>
  <c r="B30" i="4" a="1"/>
  <c r="B30" i="4" s="1"/>
  <c r="A34" i="4" a="1"/>
  <c r="A34" i="4" s="1"/>
  <c r="B45" i="4" a="1"/>
  <c r="B45" i="4" s="1"/>
  <c r="B33" i="4" a="1"/>
  <c r="B33" i="4" s="1"/>
  <c r="B44" i="4" a="1"/>
  <c r="B44" i="4" s="1"/>
  <c r="B28" i="4" a="1"/>
  <c r="B28" i="4" s="1"/>
  <c r="B42" i="4" a="1"/>
  <c r="B42" i="4" s="1"/>
  <c r="B26" i="4" a="1"/>
  <c r="B26" i="4" s="1"/>
  <c r="A42" i="4" a="1"/>
  <c r="A42" i="4" s="1"/>
  <c r="A30" i="4" a="1"/>
  <c r="A30" i="4" s="1"/>
  <c r="B41" i="4" a="1"/>
  <c r="B41" i="4" s="1"/>
  <c r="B29" i="4" a="1"/>
  <c r="B29" i="4" s="1"/>
  <c r="B36" i="4" a="1"/>
  <c r="B36" i="4" s="1"/>
  <c r="A45" i="4" a="1"/>
  <c r="A45" i="4" s="1"/>
  <c r="A41" i="4" a="1"/>
  <c r="A41" i="4" s="1"/>
  <c r="A37" i="4" a="1"/>
  <c r="A37" i="4" s="1"/>
  <c r="A33" i="4" a="1"/>
  <c r="A33" i="4" s="1"/>
  <c r="A29" i="4" a="1"/>
  <c r="A29" i="4" s="1"/>
  <c r="A25" i="4" a="1"/>
  <c r="A25" i="4" s="1"/>
  <c r="B32" i="4" a="1"/>
  <c r="B32" i="4" s="1"/>
  <c r="B42" i="5" a="1"/>
  <c r="B42" i="5" s="1"/>
  <c r="A42" i="5" a="1"/>
  <c r="A42" i="5" s="1"/>
  <c r="A38" i="5" a="1"/>
  <c r="A38" i="5" s="1"/>
  <c r="A34" i="5" a="1"/>
  <c r="A34" i="5" s="1"/>
  <c r="A30" i="5" a="1"/>
  <c r="A30" i="5" s="1"/>
  <c r="A26" i="5" a="1"/>
  <c r="A26" i="5" s="1"/>
  <c r="B37" i="5" a="1"/>
  <c r="B37" i="5" s="1"/>
  <c r="B33" i="5" a="1"/>
  <c r="B33" i="5" s="1"/>
  <c r="B29" i="5" a="1"/>
  <c r="B29" i="5" s="1"/>
  <c r="B25" i="5" a="1"/>
  <c r="B25" i="5" s="1"/>
  <c r="A37" i="5" a="1"/>
  <c r="A37" i="5" s="1"/>
  <c r="A33" i="5" a="1"/>
  <c r="A33" i="5" s="1"/>
  <c r="A29" i="5" a="1"/>
  <c r="A29" i="5" s="1"/>
  <c r="A25" i="5" a="1"/>
  <c r="A25" i="5" s="1"/>
  <c r="B24" i="5" a="1"/>
  <c r="B24" i="5" s="1"/>
  <c r="A36" i="5" a="1"/>
  <c r="A36" i="5" s="1"/>
  <c r="A24" i="5" a="1"/>
  <c r="A24" i="5" s="1"/>
  <c r="B27" i="5" a="1"/>
  <c r="B27" i="5" s="1"/>
  <c r="B34" i="5" a="1"/>
  <c r="B34" i="5" s="1"/>
  <c r="B45" i="5" a="1"/>
  <c r="B45" i="5" s="1"/>
  <c r="B41" i="5" a="1"/>
  <c r="B41" i="5" s="1"/>
  <c r="A45" i="5" a="1"/>
  <c r="A45" i="5" s="1"/>
  <c r="A41" i="5" a="1"/>
  <c r="A41" i="5" s="1"/>
  <c r="A40" i="5" a="1"/>
  <c r="A40" i="5" s="1"/>
  <c r="A28" i="5" a="1"/>
  <c r="A28" i="5" s="1"/>
  <c r="B35" i="5" a="1"/>
  <c r="B35" i="5" s="1"/>
  <c r="B38" i="5" a="1"/>
  <c r="B38" i="5" s="1"/>
  <c r="B44" i="5" a="1"/>
  <c r="B44" i="5" s="1"/>
  <c r="B40" i="5" a="1"/>
  <c r="B40" i="5" s="1"/>
  <c r="B36" i="5" a="1"/>
  <c r="B36" i="5" s="1"/>
  <c r="B32" i="5" a="1"/>
  <c r="B32" i="5" s="1"/>
  <c r="B28" i="5" a="1"/>
  <c r="B28" i="5" s="1"/>
  <c r="A44" i="5" a="1"/>
  <c r="A44" i="5" s="1"/>
  <c r="A32" i="5" a="1"/>
  <c r="A32" i="5" s="1"/>
  <c r="B31" i="5" a="1"/>
  <c r="B31" i="5" s="1"/>
  <c r="B30" i="5" a="1"/>
  <c r="B30" i="5" s="1"/>
  <c r="B43" i="5" a="1"/>
  <c r="B43" i="5" s="1"/>
  <c r="B39" i="5" a="1"/>
  <c r="B39" i="5" s="1"/>
  <c r="A43" i="5" a="1"/>
  <c r="A43" i="5" s="1"/>
  <c r="A39" i="5" a="1"/>
  <c r="A39" i="5" s="1"/>
  <c r="A35" i="5" a="1"/>
  <c r="A35" i="5" s="1"/>
  <c r="A31" i="5" a="1"/>
  <c r="A31" i="5" s="1"/>
  <c r="A27" i="5" a="1"/>
  <c r="A27" i="5" s="1"/>
  <c r="B26" i="5" a="1"/>
  <c r="B26" i="5" s="1"/>
  <c r="B26" i="1" a="1"/>
  <c r="B26" i="1" s="1"/>
  <c r="B28" i="1" a="1"/>
  <c r="B28" i="1" s="1"/>
  <c r="B30" i="1" a="1"/>
  <c r="B30" i="1" s="1"/>
  <c r="B32" i="1" a="1"/>
  <c r="B32" i="1" s="1"/>
  <c r="B34" i="1" a="1"/>
  <c r="B34" i="1" s="1"/>
  <c r="B36" i="1" a="1"/>
  <c r="B36" i="1" s="1"/>
  <c r="B38" i="1" a="1"/>
  <c r="B38" i="1" s="1"/>
  <c r="B40" i="1" a="1"/>
  <c r="B40" i="1" s="1"/>
  <c r="B42" i="1" a="1"/>
  <c r="B42" i="1" s="1"/>
  <c r="B44" i="1" a="1"/>
  <c r="B44" i="1" s="1"/>
  <c r="B24" i="1" a="1"/>
  <c r="B24" i="1" s="1"/>
  <c r="A26" i="1" a="1"/>
  <c r="A26" i="1" s="1"/>
  <c r="A28" i="1" a="1"/>
  <c r="A28" i="1" s="1"/>
  <c r="A30" i="1" a="1"/>
  <c r="A30" i="1" s="1"/>
  <c r="A32" i="1" a="1"/>
  <c r="A32" i="1" s="1"/>
  <c r="A34" i="1" a="1"/>
  <c r="A34" i="1" s="1"/>
  <c r="A36" i="1" a="1"/>
  <c r="A36" i="1" s="1"/>
  <c r="A38" i="1" a="1"/>
  <c r="A38" i="1" s="1"/>
  <c r="A40" i="1" a="1"/>
  <c r="A40" i="1" s="1"/>
  <c r="A42" i="1" a="1"/>
  <c r="A42" i="1" s="1"/>
  <c r="A44" i="1" a="1"/>
  <c r="A44" i="1" s="1"/>
  <c r="A24" i="1" a="1"/>
  <c r="A24" i="1" s="1"/>
  <c r="B25" i="1" a="1"/>
  <c r="B25" i="1" s="1"/>
  <c r="B27" i="1" a="1"/>
  <c r="B27" i="1" s="1"/>
  <c r="B29" i="1" a="1"/>
  <c r="B29" i="1" s="1"/>
  <c r="B31" i="1" a="1"/>
  <c r="B31" i="1" s="1"/>
  <c r="B33" i="1" a="1"/>
  <c r="B33" i="1" s="1"/>
  <c r="B35" i="1" a="1"/>
  <c r="B35" i="1" s="1"/>
  <c r="B37" i="1" a="1"/>
  <c r="B37" i="1" s="1"/>
  <c r="B39" i="1" a="1"/>
  <c r="B39" i="1" s="1"/>
  <c r="B41" i="1" a="1"/>
  <c r="B41" i="1" s="1"/>
  <c r="B43" i="1" a="1"/>
  <c r="B43" i="1" s="1"/>
  <c r="B45" i="1" a="1"/>
  <c r="B45" i="1" s="1"/>
  <c r="A25" i="1" a="1"/>
  <c r="A25" i="1" s="1"/>
  <c r="A27" i="1" a="1"/>
  <c r="A27" i="1" s="1"/>
  <c r="A29" i="1" a="1"/>
  <c r="A29" i="1" s="1"/>
  <c r="A31" i="1" a="1"/>
  <c r="A31" i="1" s="1"/>
  <c r="A33" i="1" a="1"/>
  <c r="A33" i="1" s="1"/>
  <c r="A35" i="1" a="1"/>
  <c r="A35" i="1" s="1"/>
  <c r="A37" i="1" a="1"/>
  <c r="A37" i="1" s="1"/>
  <c r="A39" i="1" a="1"/>
  <c r="A39" i="1" s="1"/>
  <c r="A41" i="1" a="1"/>
  <c r="A41" i="1" s="1"/>
  <c r="A43" i="1" a="1"/>
  <c r="A43" i="1" s="1"/>
  <c r="A45" i="1" a="1"/>
  <c r="A45" i="1" s="1"/>
  <c r="G35" i="5"/>
  <c r="G35" i="4"/>
  <c r="G35" i="1"/>
  <c r="K46" i="5"/>
  <c r="G45" i="5" s="1"/>
  <c r="K46" i="4"/>
  <c r="G17" i="1"/>
  <c r="J10" i="7"/>
  <c r="J11" i="7"/>
  <c r="J9" i="7"/>
  <c r="G40" i="5"/>
  <c r="I11" i="7" s="1"/>
  <c r="O11" i="7" s="1"/>
  <c r="G31" i="1"/>
  <c r="A11" i="7"/>
  <c r="A10" i="7"/>
  <c r="A9" i="7"/>
  <c r="E38" i="5"/>
  <c r="E38" i="1"/>
  <c r="G31" i="5"/>
  <c r="E38" i="4"/>
  <c r="G31" i="4"/>
  <c r="D18" i="2"/>
  <c r="D26" i="2"/>
  <c r="B42" i="2" s="1"/>
  <c r="H42" i="2" s="1"/>
  <c r="D25" i="2"/>
  <c r="B41" i="2" s="1"/>
  <c r="H41" i="2" s="1"/>
  <c r="D24" i="2"/>
  <c r="B40" i="2" s="1"/>
  <c r="D23" i="2"/>
  <c r="B39" i="2" s="1"/>
  <c r="D22" i="2"/>
  <c r="B38" i="2" s="1"/>
  <c r="D21" i="2"/>
  <c r="B37" i="2" s="1"/>
  <c r="H37" i="2" s="1"/>
  <c r="D20" i="2"/>
  <c r="D19" i="2"/>
  <c r="M51" i="2"/>
  <c r="N51" i="2"/>
  <c r="M42" i="2"/>
  <c r="N42" i="2"/>
  <c r="F23" i="2"/>
  <c r="P17" i="2"/>
  <c r="Q17" i="2"/>
  <c r="R17" i="2"/>
  <c r="M34" i="2"/>
  <c r="N34" i="2"/>
  <c r="J3" i="2"/>
  <c r="R23" i="2"/>
  <c r="Q25" i="2"/>
  <c r="P26" i="2"/>
  <c r="L111" i="2"/>
  <c r="L110" i="2"/>
  <c r="L109" i="2"/>
  <c r="L108" i="2"/>
  <c r="L107" i="2"/>
  <c r="L106" i="2"/>
  <c r="L103" i="2"/>
  <c r="L102" i="2"/>
  <c r="L101" i="2"/>
  <c r="L100" i="2"/>
  <c r="L99" i="2"/>
  <c r="L98" i="2"/>
  <c r="L95" i="2"/>
  <c r="L94" i="2"/>
  <c r="L93" i="2"/>
  <c r="L92" i="2"/>
  <c r="L91" i="2"/>
  <c r="L90" i="2"/>
  <c r="L87" i="2"/>
  <c r="L86" i="2"/>
  <c r="L85" i="2"/>
  <c r="L84" i="2"/>
  <c r="L83" i="2"/>
  <c r="L82" i="2"/>
  <c r="L79" i="2"/>
  <c r="L78" i="2"/>
  <c r="L77" i="2"/>
  <c r="L76" i="2"/>
  <c r="L75" i="2"/>
  <c r="L74" i="2"/>
  <c r="L71" i="2"/>
  <c r="L70" i="2"/>
  <c r="L69" i="2"/>
  <c r="L68" i="2"/>
  <c r="L67" i="2"/>
  <c r="L66" i="2"/>
  <c r="L63" i="2"/>
  <c r="L62" i="2"/>
  <c r="L61" i="2"/>
  <c r="L60" i="2"/>
  <c r="L59" i="2"/>
  <c r="L58" i="2"/>
  <c r="L55" i="2"/>
  <c r="L54" i="2"/>
  <c r="L53" i="2"/>
  <c r="L52" i="2"/>
  <c r="L51" i="2"/>
  <c r="L50" i="2"/>
  <c r="L47" i="2"/>
  <c r="L46" i="2"/>
  <c r="L45" i="2"/>
  <c r="L44" i="2"/>
  <c r="L43" i="2"/>
  <c r="L42" i="2"/>
  <c r="L39" i="2"/>
  <c r="L38" i="2"/>
  <c r="L37" i="2"/>
  <c r="L36" i="2"/>
  <c r="L35" i="2"/>
  <c r="L34" i="2"/>
  <c r="L9" i="3"/>
  <c r="G14" i="5"/>
  <c r="G15" i="5"/>
  <c r="G16" i="5" s="1"/>
  <c r="G14" i="4"/>
  <c r="G15" i="4"/>
  <c r="G16" i="4" s="1"/>
  <c r="G14" i="1"/>
  <c r="G15" i="1" s="1"/>
  <c r="G16" i="1" s="1"/>
  <c r="G18" i="1" s="1"/>
  <c r="M38" i="2"/>
  <c r="N38" i="2"/>
  <c r="M35" i="2"/>
  <c r="N35" i="2"/>
  <c r="M39" i="2"/>
  <c r="N39" i="2"/>
  <c r="M37" i="2"/>
  <c r="N37" i="2"/>
  <c r="O37" i="2"/>
  <c r="M36" i="2"/>
  <c r="N36" i="2"/>
  <c r="O36" i="2"/>
  <c r="S39" i="2"/>
  <c r="R39" i="2"/>
  <c r="Q39" i="2"/>
  <c r="P39" i="2"/>
  <c r="O39" i="2"/>
  <c r="S38" i="2"/>
  <c r="Q38" i="2"/>
  <c r="P38" i="2"/>
  <c r="O38" i="2"/>
  <c r="S37" i="2"/>
  <c r="Q37" i="2"/>
  <c r="P37" i="2"/>
  <c r="S36" i="2"/>
  <c r="Q36" i="2"/>
  <c r="P36" i="2"/>
  <c r="S35" i="2"/>
  <c r="Q35" i="2"/>
  <c r="P35" i="2"/>
  <c r="O35" i="2"/>
  <c r="S34" i="2"/>
  <c r="Q34" i="2"/>
  <c r="P34" i="2"/>
  <c r="O34" i="2"/>
  <c r="M111" i="2"/>
  <c r="M103" i="2"/>
  <c r="M95" i="2"/>
  <c r="M87" i="2"/>
  <c r="M107" i="2"/>
  <c r="M108" i="2"/>
  <c r="M109" i="2"/>
  <c r="M110" i="2"/>
  <c r="M106" i="2"/>
  <c r="M99" i="2"/>
  <c r="M100" i="2"/>
  <c r="M101" i="2"/>
  <c r="M102" i="2"/>
  <c r="M98" i="2"/>
  <c r="M91" i="2"/>
  <c r="M92" i="2"/>
  <c r="M93" i="2"/>
  <c r="M94" i="2"/>
  <c r="M90" i="2"/>
  <c r="M83" i="2"/>
  <c r="M84" i="2"/>
  <c r="M85" i="2"/>
  <c r="M86" i="2"/>
  <c r="M82" i="2"/>
  <c r="S111" i="2"/>
  <c r="R111" i="2"/>
  <c r="Q111" i="2"/>
  <c r="P111" i="2"/>
  <c r="O111" i="2"/>
  <c r="N111" i="2"/>
  <c r="S110" i="2"/>
  <c r="Q110" i="2"/>
  <c r="P110" i="2"/>
  <c r="O110" i="2"/>
  <c r="N110" i="2"/>
  <c r="S109" i="2"/>
  <c r="Q109" i="2"/>
  <c r="P109" i="2"/>
  <c r="O109" i="2"/>
  <c r="N109" i="2"/>
  <c r="S108" i="2"/>
  <c r="Q108" i="2"/>
  <c r="P108" i="2"/>
  <c r="O108" i="2"/>
  <c r="N108" i="2"/>
  <c r="S107" i="2"/>
  <c r="Q107" i="2"/>
  <c r="P107" i="2"/>
  <c r="O107" i="2"/>
  <c r="N107" i="2"/>
  <c r="S106" i="2"/>
  <c r="Q106" i="2"/>
  <c r="P106" i="2"/>
  <c r="O106" i="2"/>
  <c r="N106" i="2"/>
  <c r="S103" i="2"/>
  <c r="R103" i="2"/>
  <c r="Q103" i="2"/>
  <c r="P103" i="2"/>
  <c r="O103" i="2"/>
  <c r="N103" i="2"/>
  <c r="S102" i="2"/>
  <c r="Q102" i="2"/>
  <c r="P102" i="2"/>
  <c r="O102" i="2"/>
  <c r="N102" i="2"/>
  <c r="S101" i="2"/>
  <c r="Q101" i="2"/>
  <c r="P101" i="2"/>
  <c r="O101" i="2"/>
  <c r="N101" i="2"/>
  <c r="S100" i="2"/>
  <c r="Q100" i="2"/>
  <c r="P100" i="2"/>
  <c r="O100" i="2"/>
  <c r="N100" i="2"/>
  <c r="S99" i="2"/>
  <c r="Q99" i="2"/>
  <c r="P99" i="2"/>
  <c r="O99" i="2"/>
  <c r="N99" i="2"/>
  <c r="S98" i="2"/>
  <c r="Q98" i="2"/>
  <c r="P98" i="2"/>
  <c r="O98" i="2"/>
  <c r="N98" i="2"/>
  <c r="P68" i="2"/>
  <c r="S95" i="2"/>
  <c r="R95" i="2"/>
  <c r="Q95" i="2"/>
  <c r="P95" i="2"/>
  <c r="O95" i="2"/>
  <c r="N95" i="2"/>
  <c r="S94" i="2"/>
  <c r="Q94" i="2"/>
  <c r="P94" i="2"/>
  <c r="O94" i="2"/>
  <c r="N94" i="2"/>
  <c r="S93" i="2"/>
  <c r="Q93" i="2"/>
  <c r="P93" i="2"/>
  <c r="O93" i="2"/>
  <c r="N93" i="2"/>
  <c r="S92" i="2"/>
  <c r="Q92" i="2"/>
  <c r="P92" i="2"/>
  <c r="O92" i="2"/>
  <c r="N92" i="2"/>
  <c r="S91" i="2"/>
  <c r="Q91" i="2"/>
  <c r="P91" i="2"/>
  <c r="O91" i="2"/>
  <c r="N91" i="2"/>
  <c r="S90" i="2"/>
  <c r="Q90" i="2"/>
  <c r="P90" i="2"/>
  <c r="O90" i="2"/>
  <c r="N90" i="2"/>
  <c r="S87" i="2"/>
  <c r="R87" i="2"/>
  <c r="Q87" i="2"/>
  <c r="P87" i="2"/>
  <c r="O87" i="2"/>
  <c r="N87" i="2"/>
  <c r="S86" i="2"/>
  <c r="Q86" i="2"/>
  <c r="P86" i="2"/>
  <c r="O86" i="2"/>
  <c r="N86" i="2"/>
  <c r="S85" i="2"/>
  <c r="Q85" i="2"/>
  <c r="P85" i="2"/>
  <c r="O85" i="2"/>
  <c r="N85" i="2"/>
  <c r="S84" i="2"/>
  <c r="Q84" i="2"/>
  <c r="P84" i="2"/>
  <c r="O84" i="2"/>
  <c r="N84" i="2"/>
  <c r="S83" i="2"/>
  <c r="Q83" i="2"/>
  <c r="P83" i="2"/>
  <c r="O83" i="2"/>
  <c r="N83" i="2"/>
  <c r="S82" i="2"/>
  <c r="Q82" i="2"/>
  <c r="P82" i="2"/>
  <c r="O82" i="2"/>
  <c r="N82" i="2"/>
  <c r="S79" i="2"/>
  <c r="R79" i="2"/>
  <c r="Q79" i="2"/>
  <c r="P79" i="2"/>
  <c r="O79" i="2"/>
  <c r="N79" i="2"/>
  <c r="M79" i="2"/>
  <c r="S78" i="2"/>
  <c r="Q78" i="2"/>
  <c r="P78" i="2"/>
  <c r="O78" i="2"/>
  <c r="N78" i="2"/>
  <c r="M78" i="2"/>
  <c r="S77" i="2"/>
  <c r="Q77" i="2"/>
  <c r="P77" i="2"/>
  <c r="O77" i="2"/>
  <c r="N77" i="2"/>
  <c r="M77" i="2"/>
  <c r="S76" i="2"/>
  <c r="Q76" i="2"/>
  <c r="P76" i="2"/>
  <c r="O76" i="2"/>
  <c r="N76" i="2"/>
  <c r="M76" i="2"/>
  <c r="S75" i="2"/>
  <c r="Q75" i="2"/>
  <c r="P75" i="2"/>
  <c r="O75" i="2"/>
  <c r="N75" i="2"/>
  <c r="M75" i="2"/>
  <c r="S74" i="2"/>
  <c r="Q74" i="2"/>
  <c r="P74" i="2"/>
  <c r="O74" i="2"/>
  <c r="N74" i="2"/>
  <c r="M74" i="2"/>
  <c r="S71" i="2"/>
  <c r="R71" i="2"/>
  <c r="Q71" i="2"/>
  <c r="P71" i="2"/>
  <c r="O71" i="2"/>
  <c r="N71" i="2"/>
  <c r="M71" i="2"/>
  <c r="S70" i="2"/>
  <c r="Q70" i="2"/>
  <c r="P70" i="2"/>
  <c r="O70" i="2"/>
  <c r="N70" i="2"/>
  <c r="M70" i="2"/>
  <c r="S69" i="2"/>
  <c r="Q69" i="2"/>
  <c r="P69" i="2"/>
  <c r="O69" i="2"/>
  <c r="N69" i="2"/>
  <c r="M69" i="2"/>
  <c r="S68" i="2"/>
  <c r="Q68" i="2"/>
  <c r="O68" i="2"/>
  <c r="N68" i="2"/>
  <c r="M68" i="2"/>
  <c r="S67" i="2"/>
  <c r="Q67" i="2"/>
  <c r="P67" i="2"/>
  <c r="O67" i="2"/>
  <c r="N67" i="2"/>
  <c r="M67" i="2"/>
  <c r="S66" i="2"/>
  <c r="Q66" i="2"/>
  <c r="P66" i="2"/>
  <c r="O66" i="2"/>
  <c r="N66" i="2"/>
  <c r="M66" i="2"/>
  <c r="S63" i="2"/>
  <c r="R63" i="2"/>
  <c r="Q63" i="2"/>
  <c r="P63" i="2"/>
  <c r="O63" i="2"/>
  <c r="N63" i="2"/>
  <c r="M63" i="2"/>
  <c r="S62" i="2"/>
  <c r="Q62" i="2"/>
  <c r="P62" i="2"/>
  <c r="O62" i="2"/>
  <c r="N62" i="2"/>
  <c r="M62" i="2"/>
  <c r="S61" i="2"/>
  <c r="Q61" i="2"/>
  <c r="P61" i="2"/>
  <c r="O61" i="2"/>
  <c r="N61" i="2"/>
  <c r="M61" i="2"/>
  <c r="S60" i="2"/>
  <c r="Q60" i="2"/>
  <c r="P60" i="2"/>
  <c r="O60" i="2"/>
  <c r="N60" i="2"/>
  <c r="M60" i="2"/>
  <c r="S59" i="2"/>
  <c r="Q59" i="2"/>
  <c r="P59" i="2"/>
  <c r="O59" i="2"/>
  <c r="N59" i="2"/>
  <c r="M59" i="2"/>
  <c r="S58" i="2"/>
  <c r="Q58" i="2"/>
  <c r="P58" i="2"/>
  <c r="O58" i="2"/>
  <c r="N58" i="2"/>
  <c r="M58" i="2"/>
  <c r="S55" i="2"/>
  <c r="R55" i="2"/>
  <c r="Q55" i="2"/>
  <c r="P55" i="2"/>
  <c r="O55" i="2"/>
  <c r="N55" i="2"/>
  <c r="M55" i="2"/>
  <c r="S54" i="2"/>
  <c r="Q54" i="2"/>
  <c r="P54" i="2"/>
  <c r="O54" i="2"/>
  <c r="N54" i="2"/>
  <c r="M54" i="2"/>
  <c r="S53" i="2"/>
  <c r="Q53" i="2"/>
  <c r="P53" i="2"/>
  <c r="O53" i="2"/>
  <c r="N53" i="2"/>
  <c r="M53" i="2"/>
  <c r="S52" i="2"/>
  <c r="Q52" i="2"/>
  <c r="P52" i="2"/>
  <c r="O52" i="2"/>
  <c r="N52" i="2"/>
  <c r="M52" i="2"/>
  <c r="S51" i="2"/>
  <c r="Q51" i="2"/>
  <c r="P51" i="2"/>
  <c r="O51" i="2"/>
  <c r="S50" i="2"/>
  <c r="Q50" i="2"/>
  <c r="P50" i="2"/>
  <c r="O50" i="2"/>
  <c r="N50" i="2"/>
  <c r="M50" i="2"/>
  <c r="R47" i="2"/>
  <c r="S47" i="2"/>
  <c r="S46" i="2"/>
  <c r="S45" i="2"/>
  <c r="S44" i="2"/>
  <c r="S43" i="2"/>
  <c r="S42" i="2"/>
  <c r="Q47" i="2"/>
  <c r="Q46" i="2"/>
  <c r="Q45" i="2"/>
  <c r="Q44" i="2"/>
  <c r="Q43" i="2"/>
  <c r="Q42" i="2"/>
  <c r="P47" i="2"/>
  <c r="P46" i="2"/>
  <c r="P45" i="2"/>
  <c r="P44" i="2"/>
  <c r="P43" i="2"/>
  <c r="P42" i="2"/>
  <c r="O47" i="2"/>
  <c r="O46" i="2"/>
  <c r="O45" i="2"/>
  <c r="O44" i="2"/>
  <c r="O43" i="2"/>
  <c r="O42" i="2"/>
  <c r="N47" i="2"/>
  <c r="N46" i="2"/>
  <c r="N45" i="2"/>
  <c r="N44" i="2"/>
  <c r="N43" i="2"/>
  <c r="M47" i="2"/>
  <c r="M46" i="2"/>
  <c r="M45" i="2"/>
  <c r="M44" i="2"/>
  <c r="M43" i="2"/>
  <c r="G18" i="5"/>
  <c r="G20" i="5" s="1"/>
  <c r="G19" i="5"/>
  <c r="G17" i="5"/>
  <c r="G18" i="4"/>
  <c r="G20" i="4" s="1"/>
  <c r="G19" i="4"/>
  <c r="G17" i="4"/>
  <c r="G19" i="1"/>
  <c r="I3" i="5"/>
  <c r="A15" i="5"/>
  <c r="G32" i="5"/>
  <c r="E34" i="5" s="1"/>
  <c r="I3" i="4"/>
  <c r="A15" i="4"/>
  <c r="G32" i="4"/>
  <c r="G33" i="4" s="1"/>
  <c r="A3" i="3"/>
  <c r="A4" i="3" s="1"/>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I3" i="1"/>
  <c r="A15" i="1"/>
  <c r="G32" i="1"/>
  <c r="G33" i="1" s="1"/>
  <c r="Q18" i="2" l="1"/>
  <c r="L32" i="5"/>
  <c r="F21" i="2"/>
  <c r="T70" i="2" s="1"/>
  <c r="K45" i="1"/>
  <c r="R21" i="2"/>
  <c r="Q23" i="2"/>
  <c r="Q21" i="2"/>
  <c r="P21" i="2"/>
  <c r="K32" i="1"/>
  <c r="K31" i="1"/>
  <c r="L31" i="4"/>
  <c r="R22" i="2"/>
  <c r="P23" i="2"/>
  <c r="R25" i="2"/>
  <c r="F26" i="2"/>
  <c r="T109" i="2" s="1"/>
  <c r="Q22" i="2"/>
  <c r="R24" i="2"/>
  <c r="K37" i="4"/>
  <c r="P24" i="2"/>
  <c r="R26" i="2"/>
  <c r="F25" i="2"/>
  <c r="T99" i="2" s="1"/>
  <c r="P25" i="2"/>
  <c r="P22" i="2"/>
  <c r="K45" i="4"/>
  <c r="L45" i="1"/>
  <c r="K28" i="5"/>
  <c r="L34" i="5"/>
  <c r="K34" i="4"/>
  <c r="K45" i="5"/>
  <c r="K30" i="1"/>
  <c r="K28" i="4"/>
  <c r="F24" i="2"/>
  <c r="T92" i="2" s="1"/>
  <c r="Q24" i="2"/>
  <c r="F22" i="2"/>
  <c r="T79" i="2" s="1"/>
  <c r="Q26" i="2"/>
  <c r="R18" i="2"/>
  <c r="L39" i="4"/>
  <c r="K27" i="4"/>
  <c r="G43" i="5"/>
  <c r="K36" i="4"/>
  <c r="L30" i="5"/>
  <c r="L45" i="5"/>
  <c r="L35" i="4"/>
  <c r="L42" i="4"/>
  <c r="K25" i="1"/>
  <c r="L40" i="4"/>
  <c r="K47" i="5"/>
  <c r="K35" i="5"/>
  <c r="K48" i="5"/>
  <c r="K35" i="4"/>
  <c r="K42" i="4"/>
  <c r="K41" i="4"/>
  <c r="L42" i="5"/>
  <c r="L41" i="5"/>
  <c r="K29" i="1"/>
  <c r="K42" i="1"/>
  <c r="K41" i="1"/>
  <c r="K28" i="1"/>
  <c r="L32" i="4"/>
  <c r="L26" i="4"/>
  <c r="K26" i="4"/>
  <c r="L33" i="5"/>
  <c r="K34" i="1"/>
  <c r="L44" i="4"/>
  <c r="L33" i="4"/>
  <c r="K25" i="4"/>
  <c r="K43" i="4"/>
  <c r="K33" i="1"/>
  <c r="L34" i="4"/>
  <c r="L41" i="4"/>
  <c r="K41" i="5"/>
  <c r="K31" i="4"/>
  <c r="K38" i="4"/>
  <c r="L44" i="5"/>
  <c r="K44" i="4"/>
  <c r="L43" i="4"/>
  <c r="K38" i="5"/>
  <c r="L43" i="5"/>
  <c r="K43" i="5"/>
  <c r="L25" i="4"/>
  <c r="K37" i="5"/>
  <c r="K31" i="5"/>
  <c r="L27" i="5"/>
  <c r="L28" i="5"/>
  <c r="K44" i="5"/>
  <c r="K27" i="1"/>
  <c r="K38" i="1"/>
  <c r="L40" i="1"/>
  <c r="L25" i="5"/>
  <c r="K26" i="1"/>
  <c r="L25" i="1"/>
  <c r="L27" i="4"/>
  <c r="L26" i="5"/>
  <c r="K25" i="5"/>
  <c r="L30" i="4"/>
  <c r="K29" i="5"/>
  <c r="L36" i="5"/>
  <c r="L36" i="4"/>
  <c r="K43" i="1"/>
  <c r="L32" i="1"/>
  <c r="L33" i="1"/>
  <c r="K37" i="1"/>
  <c r="K36" i="1"/>
  <c r="K40" i="4"/>
  <c r="L44" i="1"/>
  <c r="K40" i="1"/>
  <c r="L30" i="1"/>
  <c r="L42" i="1"/>
  <c r="L36" i="1"/>
  <c r="K30" i="5"/>
  <c r="L37" i="1"/>
  <c r="K39" i="1"/>
  <c r="L38" i="1"/>
  <c r="K44" i="1"/>
  <c r="L39" i="1"/>
  <c r="K35" i="1"/>
  <c r="L35" i="1"/>
  <c r="K39" i="5"/>
  <c r="L35" i="5"/>
  <c r="K36" i="5"/>
  <c r="K33" i="5"/>
  <c r="L37" i="5"/>
  <c r="L28" i="4"/>
  <c r="K29" i="4"/>
  <c r="K39" i="4"/>
  <c r="M39" i="4" s="1"/>
  <c r="L41" i="1"/>
  <c r="L43" i="1"/>
  <c r="L29" i="1"/>
  <c r="L29" i="5"/>
  <c r="L26" i="1"/>
  <c r="L39" i="5"/>
  <c r="K40" i="5"/>
  <c r="K30" i="4"/>
  <c r="L31" i="1"/>
  <c r="L34" i="1"/>
  <c r="M34" i="1" s="1"/>
  <c r="K32" i="5"/>
  <c r="L38" i="5"/>
  <c r="L28" i="1"/>
  <c r="L27" i="1"/>
  <c r="K32" i="4"/>
  <c r="K26" i="5"/>
  <c r="L37" i="4"/>
  <c r="L31" i="5"/>
  <c r="L45" i="4"/>
  <c r="M45" i="4" s="1"/>
  <c r="K33" i="4"/>
  <c r="M33" i="4" s="1"/>
  <c r="L29" i="4"/>
  <c r="L38" i="4"/>
  <c r="G33" i="5"/>
  <c r="K27" i="5"/>
  <c r="L40" i="5"/>
  <c r="K34" i="5"/>
  <c r="K42" i="5"/>
  <c r="G20" i="1"/>
  <c r="G41" i="5"/>
  <c r="K49" i="5"/>
  <c r="M14" i="2"/>
  <c r="K50" i="5"/>
  <c r="G37" i="5"/>
  <c r="E34" i="1"/>
  <c r="D38" i="2"/>
  <c r="H38" i="2"/>
  <c r="D40" i="2"/>
  <c r="H40" i="2"/>
  <c r="D39" i="2"/>
  <c r="H39" i="2"/>
  <c r="F17" i="2"/>
  <c r="T37" i="2" s="1"/>
  <c r="E34" i="4"/>
  <c r="D53" i="2"/>
  <c r="D51" i="2"/>
  <c r="A14" i="2"/>
  <c r="D11" i="7"/>
  <c r="D52" i="2"/>
  <c r="E52" i="2" s="1"/>
  <c r="D37" i="2"/>
  <c r="D50" i="2"/>
  <c r="T82" i="2"/>
  <c r="T86" i="2"/>
  <c r="T85" i="2"/>
  <c r="T84" i="2"/>
  <c r="T83" i="2"/>
  <c r="T87" i="2"/>
  <c r="R19" i="2"/>
  <c r="R20" i="2" s="1"/>
  <c r="D41" i="2"/>
  <c r="D54" i="2"/>
  <c r="D42" i="2"/>
  <c r="D55" i="2"/>
  <c r="T66" i="2" l="1"/>
  <c r="T71" i="2"/>
  <c r="T67" i="2"/>
  <c r="T69" i="2"/>
  <c r="M32" i="5"/>
  <c r="T68" i="2"/>
  <c r="M45" i="1"/>
  <c r="M32" i="1"/>
  <c r="M31" i="4"/>
  <c r="M31" i="1"/>
  <c r="M26" i="1"/>
  <c r="T95" i="2"/>
  <c r="T90" i="2"/>
  <c r="T110" i="2"/>
  <c r="T91" i="2"/>
  <c r="T93" i="2"/>
  <c r="T94" i="2"/>
  <c r="T78" i="2"/>
  <c r="T100" i="2"/>
  <c r="T101" i="2"/>
  <c r="T102" i="2"/>
  <c r="T103" i="2"/>
  <c r="T98" i="2"/>
  <c r="M37" i="4"/>
  <c r="T107" i="2"/>
  <c r="T77" i="2"/>
  <c r="T111" i="2"/>
  <c r="T106" i="2"/>
  <c r="T108" i="2"/>
  <c r="M34" i="4"/>
  <c r="M34" i="5"/>
  <c r="M35" i="4"/>
  <c r="M45" i="5"/>
  <c r="T74" i="2"/>
  <c r="M28" i="5"/>
  <c r="T76" i="2"/>
  <c r="T75" i="2"/>
  <c r="M30" i="5"/>
  <c r="M28" i="4"/>
  <c r="M30" i="1"/>
  <c r="M27" i="4"/>
  <c r="M25" i="1"/>
  <c r="N25" i="1" s="1"/>
  <c r="M36" i="4"/>
  <c r="M40" i="4"/>
  <c r="M42" i="4"/>
  <c r="M35" i="5"/>
  <c r="M41" i="5"/>
  <c r="M41" i="4"/>
  <c r="M42" i="5"/>
  <c r="M32" i="4"/>
  <c r="M29" i="1"/>
  <c r="Z762" i="2"/>
  <c r="Z1324" i="2"/>
  <c r="V1087" i="2"/>
  <c r="M28" i="1"/>
  <c r="Z966" i="2"/>
  <c r="Z1419" i="2"/>
  <c r="Z959" i="2"/>
  <c r="Z935" i="2"/>
  <c r="Z1580" i="2"/>
  <c r="M42" i="1"/>
  <c r="Z1049" i="2"/>
  <c r="Z734" i="2"/>
  <c r="Z710" i="2"/>
  <c r="Z1554" i="2"/>
  <c r="Z1845" i="2"/>
  <c r="Z1530" i="2"/>
  <c r="Z1222" i="2"/>
  <c r="Z1810" i="2"/>
  <c r="Z1018" i="2"/>
  <c r="Z1786" i="2"/>
  <c r="Z1525" i="2"/>
  <c r="Z634" i="2"/>
  <c r="Z1246" i="2"/>
  <c r="Z1836" i="2"/>
  <c r="Z990" i="2"/>
  <c r="Z1758" i="2"/>
  <c r="Z1471" i="2"/>
  <c r="Z606" i="2"/>
  <c r="Z1426" i="2"/>
  <c r="Z582" i="2"/>
  <c r="Z838" i="2"/>
  <c r="Z1146" i="2"/>
  <c r="Z1402" i="2"/>
  <c r="Z1658" i="2"/>
  <c r="Z857" i="2"/>
  <c r="Z1179" i="2"/>
  <c r="Z1717" i="2"/>
  <c r="Z940" i="2"/>
  <c r="Z1269" i="2"/>
  <c r="Z1170" i="2"/>
  <c r="Z812" i="2"/>
  <c r="Z1118" i="2"/>
  <c r="Z1374" i="2"/>
  <c r="Z1630" i="2"/>
  <c r="Z831" i="2"/>
  <c r="Z1131" i="2"/>
  <c r="Z1653" i="2"/>
  <c r="Z1196" i="2"/>
  <c r="Z907" i="2"/>
  <c r="Z914" i="2"/>
  <c r="Z1734" i="2"/>
  <c r="Z1221" i="2"/>
  <c r="Z786" i="2"/>
  <c r="Z1042" i="2"/>
  <c r="Z1350" i="2"/>
  <c r="Z1606" i="2"/>
  <c r="Z1862" i="2"/>
  <c r="Z1085" i="2"/>
  <c r="Z1595" i="2"/>
  <c r="Z1452" i="2"/>
  <c r="Z883" i="2"/>
  <c r="Z684" i="2"/>
  <c r="Z890" i="2"/>
  <c r="Z1094" i="2"/>
  <c r="Z1298" i="2"/>
  <c r="Z1502" i="2"/>
  <c r="Z1708" i="2"/>
  <c r="Z807" i="2"/>
  <c r="Z1015" i="2"/>
  <c r="Z1363" i="2"/>
  <c r="Z787" i="2"/>
  <c r="Z658" i="2"/>
  <c r="Z862" i="2"/>
  <c r="Z1068" i="2"/>
  <c r="Z1274" i="2"/>
  <c r="Z1478" i="2"/>
  <c r="Z1682" i="2"/>
  <c r="Z1886" i="2"/>
  <c r="Z985" i="2"/>
  <c r="Z1317" i="2"/>
  <c r="Z1819" i="2"/>
  <c r="Z1675" i="2"/>
  <c r="Z574" i="2"/>
  <c r="Z730" i="2"/>
  <c r="Z934" i="2"/>
  <c r="Z598" i="2"/>
  <c r="Z646" i="2"/>
  <c r="Z586" i="2"/>
  <c r="Z610" i="2"/>
  <c r="Z636" i="2"/>
  <c r="Z662" i="2"/>
  <c r="Z686" i="2"/>
  <c r="Z714" i="2"/>
  <c r="Z738" i="2"/>
  <c r="Z764" i="2"/>
  <c r="Z790" i="2"/>
  <c r="Z814" i="2"/>
  <c r="Z842" i="2"/>
  <c r="Z866" i="2"/>
  <c r="Z892" i="2"/>
  <c r="Z918" i="2"/>
  <c r="Z942" i="2"/>
  <c r="Z970" i="2"/>
  <c r="Z994" i="2"/>
  <c r="Z1020" i="2"/>
  <c r="Z1046" i="2"/>
  <c r="Z1070" i="2"/>
  <c r="Z1098" i="2"/>
  <c r="Z1122" i="2"/>
  <c r="Z1148" i="2"/>
  <c r="Z1174" i="2"/>
  <c r="Z1198" i="2"/>
  <c r="Z1226" i="2"/>
  <c r="Z1250" i="2"/>
  <c r="Z1276" i="2"/>
  <c r="Z1302" i="2"/>
  <c r="Z1326" i="2"/>
  <c r="Z1354" i="2"/>
  <c r="Z1378" i="2"/>
  <c r="Z1404" i="2"/>
  <c r="Z1430" i="2"/>
  <c r="Z1454" i="2"/>
  <c r="Z1482" i="2"/>
  <c r="Z1506" i="2"/>
  <c r="Z1532" i="2"/>
  <c r="Z1558" i="2"/>
  <c r="Z1582" i="2"/>
  <c r="Z1610" i="2"/>
  <c r="Z1634" i="2"/>
  <c r="Z1660" i="2"/>
  <c r="Z1686" i="2"/>
  <c r="Z1710" i="2"/>
  <c r="Z1738" i="2"/>
  <c r="Z1762" i="2"/>
  <c r="Z1788" i="2"/>
  <c r="Z1814" i="2"/>
  <c r="Z1838" i="2"/>
  <c r="Z1866" i="2"/>
  <c r="Z1890" i="2"/>
  <c r="Z809" i="2"/>
  <c r="Z835" i="2"/>
  <c r="Z859" i="2"/>
  <c r="Z887" i="2"/>
  <c r="Z911" i="2"/>
  <c r="Z937" i="2"/>
  <c r="Z963" i="2"/>
  <c r="Z987" i="2"/>
  <c r="Z1019" i="2"/>
  <c r="Z1051" i="2"/>
  <c r="Z1087" i="2"/>
  <c r="Z1141" i="2"/>
  <c r="Z1183" i="2"/>
  <c r="Z1227" i="2"/>
  <c r="Z1277" i="2"/>
  <c r="Z1319" i="2"/>
  <c r="Z1371" i="2"/>
  <c r="Z1423" i="2"/>
  <c r="Z1483" i="2"/>
  <c r="Z1535" i="2"/>
  <c r="Z1597" i="2"/>
  <c r="Z1661" i="2"/>
  <c r="Z1723" i="2"/>
  <c r="Z1829" i="2"/>
  <c r="Z763" i="2"/>
  <c r="Z578" i="2"/>
  <c r="Z604" i="2"/>
  <c r="Z630" i="2"/>
  <c r="Z654" i="2"/>
  <c r="Z682" i="2"/>
  <c r="Z706" i="2"/>
  <c r="Z732" i="2"/>
  <c r="Z758" i="2"/>
  <c r="Z782" i="2"/>
  <c r="Z810" i="2"/>
  <c r="Z834" i="2"/>
  <c r="Z860" i="2"/>
  <c r="Z886" i="2"/>
  <c r="Z910" i="2"/>
  <c r="Z938" i="2"/>
  <c r="Z962" i="2"/>
  <c r="Z988" i="2"/>
  <c r="Z1014" i="2"/>
  <c r="Z1038" i="2"/>
  <c r="Z1066" i="2"/>
  <c r="Z1090" i="2"/>
  <c r="Z1116" i="2"/>
  <c r="Z1142" i="2"/>
  <c r="Z1166" i="2"/>
  <c r="Z1194" i="2"/>
  <c r="Z1218" i="2"/>
  <c r="Z1244" i="2"/>
  <c r="Z1270" i="2"/>
  <c r="Z1294" i="2"/>
  <c r="Z1322" i="2"/>
  <c r="Z1346" i="2"/>
  <c r="Z1372" i="2"/>
  <c r="Z1398" i="2"/>
  <c r="Z1422" i="2"/>
  <c r="Z1450" i="2"/>
  <c r="Z1474" i="2"/>
  <c r="Z1500" i="2"/>
  <c r="Z1526" i="2"/>
  <c r="Z1550" i="2"/>
  <c r="Z1578" i="2"/>
  <c r="Z1602" i="2"/>
  <c r="Z1628" i="2"/>
  <c r="Z1654" i="2"/>
  <c r="Z1678" i="2"/>
  <c r="Z1706" i="2"/>
  <c r="Z1730" i="2"/>
  <c r="Z1756" i="2"/>
  <c r="Z1782" i="2"/>
  <c r="Z1806" i="2"/>
  <c r="Z1834" i="2"/>
  <c r="Z1858" i="2"/>
  <c r="Z1884" i="2"/>
  <c r="Z1910" i="2"/>
  <c r="Z827" i="2"/>
  <c r="Z855" i="2"/>
  <c r="Z879" i="2"/>
  <c r="Z905" i="2"/>
  <c r="Z931" i="2"/>
  <c r="Z955" i="2"/>
  <c r="Z983" i="2"/>
  <c r="Z1007" i="2"/>
  <c r="Z1047" i="2"/>
  <c r="Z1083" i="2"/>
  <c r="Z1125" i="2"/>
  <c r="Z1173" i="2"/>
  <c r="Z1215" i="2"/>
  <c r="Z1259" i="2"/>
  <c r="Z1311" i="2"/>
  <c r="Z1355" i="2"/>
  <c r="Z1413" i="2"/>
  <c r="Z1467" i="2"/>
  <c r="Z1519" i="2"/>
  <c r="Z1583" i="2"/>
  <c r="Z1643" i="2"/>
  <c r="Z1711" i="2"/>
  <c r="Z1791" i="2"/>
  <c r="Z791" i="2"/>
  <c r="Z626" i="2"/>
  <c r="Z806" i="2"/>
  <c r="Z908" i="2"/>
  <c r="Z1036" i="2"/>
  <c r="Z1062" i="2"/>
  <c r="Z1086" i="2"/>
  <c r="Z1114" i="2"/>
  <c r="Z1138" i="2"/>
  <c r="Z1164" i="2"/>
  <c r="Z1190" i="2"/>
  <c r="Z1214" i="2"/>
  <c r="Z1242" i="2"/>
  <c r="Z1266" i="2"/>
  <c r="Z1292" i="2"/>
  <c r="Z1318" i="2"/>
  <c r="Z1342" i="2"/>
  <c r="Z1370" i="2"/>
  <c r="Z1394" i="2"/>
  <c r="Z1420" i="2"/>
  <c r="Z1446" i="2"/>
  <c r="Z1470" i="2"/>
  <c r="Z1498" i="2"/>
  <c r="Z1522" i="2"/>
  <c r="Z1548" i="2"/>
  <c r="Z1574" i="2"/>
  <c r="Z1598" i="2"/>
  <c r="Z1626" i="2"/>
  <c r="Z1650" i="2"/>
  <c r="Z1676" i="2"/>
  <c r="Z1702" i="2"/>
  <c r="Z1726" i="2"/>
  <c r="Z1754" i="2"/>
  <c r="Z1778" i="2"/>
  <c r="Z1804" i="2"/>
  <c r="Z1830" i="2"/>
  <c r="Z1854" i="2"/>
  <c r="Z1882" i="2"/>
  <c r="Z1906" i="2"/>
  <c r="Z825" i="2"/>
  <c r="Z851" i="2"/>
  <c r="Z875" i="2"/>
  <c r="Z903" i="2"/>
  <c r="Z927" i="2"/>
  <c r="Z953" i="2"/>
  <c r="Z979" i="2"/>
  <c r="Z1003" i="2"/>
  <c r="Z1039" i="2"/>
  <c r="Z1077" i="2"/>
  <c r="Z1119" i="2"/>
  <c r="Z1167" i="2"/>
  <c r="Z1213" i="2"/>
  <c r="Z1255" i="2"/>
  <c r="Z1301" i="2"/>
  <c r="Z1349" i="2"/>
  <c r="Z1405" i="2"/>
  <c r="Z1455" i="2"/>
  <c r="Z1515" i="2"/>
  <c r="Z1575" i="2"/>
  <c r="Z1639" i="2"/>
  <c r="Z1701" i="2"/>
  <c r="Z1787" i="2"/>
  <c r="Z795" i="2"/>
  <c r="V1195" i="2"/>
  <c r="Z678" i="2"/>
  <c r="Z830" i="2"/>
  <c r="Z986" i="2"/>
  <c r="Z650" i="2"/>
  <c r="Z674" i="2"/>
  <c r="Z700" i="2"/>
  <c r="Z726" i="2"/>
  <c r="Z750" i="2"/>
  <c r="Z778" i="2"/>
  <c r="Z802" i="2"/>
  <c r="Z828" i="2"/>
  <c r="Z854" i="2"/>
  <c r="Z878" i="2"/>
  <c r="Z906" i="2"/>
  <c r="Z930" i="2"/>
  <c r="Z956" i="2"/>
  <c r="Z982" i="2"/>
  <c r="Z1006" i="2"/>
  <c r="Z1034" i="2"/>
  <c r="Z1058" i="2"/>
  <c r="Z1084" i="2"/>
  <c r="Z1110" i="2"/>
  <c r="Z1134" i="2"/>
  <c r="Z1162" i="2"/>
  <c r="Z1186" i="2"/>
  <c r="Z1212" i="2"/>
  <c r="Z1238" i="2"/>
  <c r="Z1262" i="2"/>
  <c r="Z1290" i="2"/>
  <c r="Z1314" i="2"/>
  <c r="Z1340" i="2"/>
  <c r="Z1366" i="2"/>
  <c r="Z1390" i="2"/>
  <c r="Z1418" i="2"/>
  <c r="Z1442" i="2"/>
  <c r="Z1468" i="2"/>
  <c r="Z1494" i="2"/>
  <c r="Z1518" i="2"/>
  <c r="Z1546" i="2"/>
  <c r="Z1570" i="2"/>
  <c r="Z1596" i="2"/>
  <c r="Z1622" i="2"/>
  <c r="Z1646" i="2"/>
  <c r="Z1674" i="2"/>
  <c r="Z1698" i="2"/>
  <c r="Z1724" i="2"/>
  <c r="Z1750" i="2"/>
  <c r="Z1774" i="2"/>
  <c r="Z1802" i="2"/>
  <c r="Z1826" i="2"/>
  <c r="Z1852" i="2"/>
  <c r="Z1878" i="2"/>
  <c r="Z1902" i="2"/>
  <c r="Z823" i="2"/>
  <c r="Z847" i="2"/>
  <c r="Z873" i="2"/>
  <c r="Z899" i="2"/>
  <c r="Z923" i="2"/>
  <c r="Z951" i="2"/>
  <c r="Z975" i="2"/>
  <c r="Z1001" i="2"/>
  <c r="Z1033" i="2"/>
  <c r="Z1071" i="2"/>
  <c r="Z1115" i="2"/>
  <c r="Z1157" i="2"/>
  <c r="Z1211" i="2"/>
  <c r="Z1253" i="2"/>
  <c r="Z1295" i="2"/>
  <c r="Z1343" i="2"/>
  <c r="Z1397" i="2"/>
  <c r="Z1451" i="2"/>
  <c r="Z1509" i="2"/>
  <c r="Z1563" i="2"/>
  <c r="Z1631" i="2"/>
  <c r="Z1691" i="2"/>
  <c r="Z1775" i="2"/>
  <c r="Z1883" i="2"/>
  <c r="Z602" i="2"/>
  <c r="Z754" i="2"/>
  <c r="Z882" i="2"/>
  <c r="Z572" i="2"/>
  <c r="Z594" i="2"/>
  <c r="Z698" i="2"/>
  <c r="Z722" i="2"/>
  <c r="Z748" i="2"/>
  <c r="Z774" i="2"/>
  <c r="Z798" i="2"/>
  <c r="Z826" i="2"/>
  <c r="Z850" i="2"/>
  <c r="Z876" i="2"/>
  <c r="Z902" i="2"/>
  <c r="Z926" i="2"/>
  <c r="Z954" i="2"/>
  <c r="Z978" i="2"/>
  <c r="Z1004" i="2"/>
  <c r="Z1030" i="2"/>
  <c r="Z1054" i="2"/>
  <c r="Z1082" i="2"/>
  <c r="Z1106" i="2"/>
  <c r="Z1132" i="2"/>
  <c r="Z1158" i="2"/>
  <c r="Z1182" i="2"/>
  <c r="Z1210" i="2"/>
  <c r="Z1234" i="2"/>
  <c r="Z1260" i="2"/>
  <c r="Z1286" i="2"/>
  <c r="Z1310" i="2"/>
  <c r="Z1338" i="2"/>
  <c r="Z1362" i="2"/>
  <c r="Z1388" i="2"/>
  <c r="Z1414" i="2"/>
  <c r="Z1438" i="2"/>
  <c r="Z1466" i="2"/>
  <c r="Z1490" i="2"/>
  <c r="Z1516" i="2"/>
  <c r="Z1542" i="2"/>
  <c r="Z1566" i="2"/>
  <c r="Z1594" i="2"/>
  <c r="Z1618" i="2"/>
  <c r="Z1644" i="2"/>
  <c r="Z1670" i="2"/>
  <c r="Z1694" i="2"/>
  <c r="Z1722" i="2"/>
  <c r="Z1746" i="2"/>
  <c r="Z1772" i="2"/>
  <c r="Z1798" i="2"/>
  <c r="Z1822" i="2"/>
  <c r="Z1850" i="2"/>
  <c r="Z1874" i="2"/>
  <c r="Z1900" i="2"/>
  <c r="Z819" i="2"/>
  <c r="Z843" i="2"/>
  <c r="Z871" i="2"/>
  <c r="Z895" i="2"/>
  <c r="Z921" i="2"/>
  <c r="Z947" i="2"/>
  <c r="Z971" i="2"/>
  <c r="Z999" i="2"/>
  <c r="Z1031" i="2"/>
  <c r="Z1065" i="2"/>
  <c r="Z1109" i="2"/>
  <c r="Z1151" i="2"/>
  <c r="Z1199" i="2"/>
  <c r="Z1247" i="2"/>
  <c r="Z1291" i="2"/>
  <c r="Z1339" i="2"/>
  <c r="Z1387" i="2"/>
  <c r="Z1447" i="2"/>
  <c r="Z1499" i="2"/>
  <c r="Z1557" i="2"/>
  <c r="Z1621" i="2"/>
  <c r="Z1683" i="2"/>
  <c r="Z1755" i="2"/>
  <c r="Z1867" i="2"/>
  <c r="Z652" i="2"/>
  <c r="Z780" i="2"/>
  <c r="Z958" i="2"/>
  <c r="Z622" i="2"/>
  <c r="Z620" i="2"/>
  <c r="Z566" i="2"/>
  <c r="Z590" i="2"/>
  <c r="Z618" i="2"/>
  <c r="Z642" i="2"/>
  <c r="Z668" i="2"/>
  <c r="Z694" i="2"/>
  <c r="Z718" i="2"/>
  <c r="Z746" i="2"/>
  <c r="Z770" i="2"/>
  <c r="Z796" i="2"/>
  <c r="Z822" i="2"/>
  <c r="Z846" i="2"/>
  <c r="Z874" i="2"/>
  <c r="Z898" i="2"/>
  <c r="Z924" i="2"/>
  <c r="Z950" i="2"/>
  <c r="Z974" i="2"/>
  <c r="Z1002" i="2"/>
  <c r="Z1026" i="2"/>
  <c r="Z1052" i="2"/>
  <c r="Z1078" i="2"/>
  <c r="Z1102" i="2"/>
  <c r="Z1130" i="2"/>
  <c r="Z1154" i="2"/>
  <c r="Z1180" i="2"/>
  <c r="Z1206" i="2"/>
  <c r="Z1230" i="2"/>
  <c r="Z1258" i="2"/>
  <c r="Z1282" i="2"/>
  <c r="Z1308" i="2"/>
  <c r="Z1334" i="2"/>
  <c r="Z1358" i="2"/>
  <c r="Z1386" i="2"/>
  <c r="Z1410" i="2"/>
  <c r="Z1436" i="2"/>
  <c r="Z1462" i="2"/>
  <c r="Z1486" i="2"/>
  <c r="Z1514" i="2"/>
  <c r="Z1538" i="2"/>
  <c r="Z1564" i="2"/>
  <c r="Z1590" i="2"/>
  <c r="Z1614" i="2"/>
  <c r="Z1642" i="2"/>
  <c r="Z1666" i="2"/>
  <c r="Z1692" i="2"/>
  <c r="Z1718" i="2"/>
  <c r="Z1742" i="2"/>
  <c r="Z1770" i="2"/>
  <c r="Z1794" i="2"/>
  <c r="Z1820" i="2"/>
  <c r="Z1846" i="2"/>
  <c r="Z1870" i="2"/>
  <c r="Z1898" i="2"/>
  <c r="Z815" i="2"/>
  <c r="Z841" i="2"/>
  <c r="Z867" i="2"/>
  <c r="Z891" i="2"/>
  <c r="Z919" i="2"/>
  <c r="Z943" i="2"/>
  <c r="Z969" i="2"/>
  <c r="Z995" i="2"/>
  <c r="Z1027" i="2"/>
  <c r="Z1059" i="2"/>
  <c r="Z1107" i="2"/>
  <c r="Z1149" i="2"/>
  <c r="Z1191" i="2"/>
  <c r="Z1243" i="2"/>
  <c r="Z1285" i="2"/>
  <c r="Z1327" i="2"/>
  <c r="Z1383" i="2"/>
  <c r="Z1439" i="2"/>
  <c r="Z1491" i="2"/>
  <c r="Z1555" i="2"/>
  <c r="Z1615" i="2"/>
  <c r="Z1679" i="2"/>
  <c r="Z1747" i="2"/>
  <c r="Z1851" i="2"/>
  <c r="Z702" i="2"/>
  <c r="Z858" i="2"/>
  <c r="Z1010" i="2"/>
  <c r="Z570" i="2"/>
  <c r="Z670" i="2"/>
  <c r="Z562" i="2"/>
  <c r="Z588" i="2"/>
  <c r="Z614" i="2"/>
  <c r="Z638" i="2"/>
  <c r="Z666" i="2"/>
  <c r="Z690" i="2"/>
  <c r="Z716" i="2"/>
  <c r="Z742" i="2"/>
  <c r="Z766" i="2"/>
  <c r="Z794" i="2"/>
  <c r="Z818" i="2"/>
  <c r="Z844" i="2"/>
  <c r="Z870" i="2"/>
  <c r="Z894" i="2"/>
  <c r="Z922" i="2"/>
  <c r="Z946" i="2"/>
  <c r="Z972" i="2"/>
  <c r="Z998" i="2"/>
  <c r="Z1022" i="2"/>
  <c r="Z1050" i="2"/>
  <c r="Z1074" i="2"/>
  <c r="Z1100" i="2"/>
  <c r="Z1126" i="2"/>
  <c r="Z1150" i="2"/>
  <c r="Z1178" i="2"/>
  <c r="Z1202" i="2"/>
  <c r="Z1228" i="2"/>
  <c r="Z1254" i="2"/>
  <c r="Z1278" i="2"/>
  <c r="Z1306" i="2"/>
  <c r="Z1330" i="2"/>
  <c r="Z1356" i="2"/>
  <c r="Z1382" i="2"/>
  <c r="Z1406" i="2"/>
  <c r="Z1434" i="2"/>
  <c r="Z1458" i="2"/>
  <c r="Z1484" i="2"/>
  <c r="Z1510" i="2"/>
  <c r="Z1534" i="2"/>
  <c r="Z1562" i="2"/>
  <c r="Z1586" i="2"/>
  <c r="Z1612" i="2"/>
  <c r="Z1638" i="2"/>
  <c r="Z1662" i="2"/>
  <c r="Z1690" i="2"/>
  <c r="Z1714" i="2"/>
  <c r="Z1740" i="2"/>
  <c r="Z1766" i="2"/>
  <c r="Z1790" i="2"/>
  <c r="Z1818" i="2"/>
  <c r="Z1842" i="2"/>
  <c r="Z1868" i="2"/>
  <c r="Z1894" i="2"/>
  <c r="Z811" i="2"/>
  <c r="Z839" i="2"/>
  <c r="Z863" i="2"/>
  <c r="Z889" i="2"/>
  <c r="Z915" i="2"/>
  <c r="Z939" i="2"/>
  <c r="Z967" i="2"/>
  <c r="Z991" i="2"/>
  <c r="Z1023" i="2"/>
  <c r="Z1055" i="2"/>
  <c r="Z1099" i="2"/>
  <c r="Z1147" i="2"/>
  <c r="Z1189" i="2"/>
  <c r="Z1235" i="2"/>
  <c r="Z1279" i="2"/>
  <c r="Z1323" i="2"/>
  <c r="Z1381" i="2"/>
  <c r="Z1429" i="2"/>
  <c r="Z1487" i="2"/>
  <c r="Z1547" i="2"/>
  <c r="Z1605" i="2"/>
  <c r="Z1733" i="2"/>
  <c r="V1423" i="2"/>
  <c r="M41" i="1"/>
  <c r="V1387" i="2"/>
  <c r="V1043" i="2"/>
  <c r="V1583" i="2"/>
  <c r="V1659" i="2"/>
  <c r="V1811" i="2"/>
  <c r="V1839" i="2"/>
  <c r="V1879" i="2"/>
  <c r="V1103" i="2"/>
  <c r="Z743" i="2"/>
  <c r="M43" i="4"/>
  <c r="M44" i="4"/>
  <c r="M33" i="5"/>
  <c r="M26" i="4"/>
  <c r="M26" i="5"/>
  <c r="M25" i="4"/>
  <c r="N25" i="4" s="1"/>
  <c r="O24" i="4" s="1"/>
  <c r="M38" i="5"/>
  <c r="M38" i="4"/>
  <c r="M33" i="1"/>
  <c r="M44" i="5"/>
  <c r="M29" i="4"/>
  <c r="M43" i="5"/>
  <c r="M27" i="5"/>
  <c r="M31" i="5"/>
  <c r="M38" i="1"/>
  <c r="M30" i="4"/>
  <c r="M36" i="1"/>
  <c r="M25" i="5"/>
  <c r="N25" i="5" s="1"/>
  <c r="O24" i="5" s="1"/>
  <c r="M37" i="5"/>
  <c r="M40" i="1"/>
  <c r="M27" i="1"/>
  <c r="Z1359" i="2"/>
  <c r="Z1391" i="2"/>
  <c r="Z1427" i="2"/>
  <c r="Z1461" i="2"/>
  <c r="Z1493" i="2"/>
  <c r="Z1531" i="2"/>
  <c r="Z1573" i="2"/>
  <c r="Z1611" i="2"/>
  <c r="Z1647" i="2"/>
  <c r="Z1685" i="2"/>
  <c r="Z1727" i="2"/>
  <c r="Z1789" i="2"/>
  <c r="Z1861" i="2"/>
  <c r="Z775" i="2"/>
  <c r="V1647" i="2"/>
  <c r="V1131" i="2"/>
  <c r="V1359" i="2"/>
  <c r="Z1017" i="2"/>
  <c r="Z1043" i="2"/>
  <c r="Z1067" i="2"/>
  <c r="Z1103" i="2"/>
  <c r="Z1135" i="2"/>
  <c r="Z1171" i="2"/>
  <c r="Z1205" i="2"/>
  <c r="Z1237" i="2"/>
  <c r="Z1275" i="2"/>
  <c r="Z1307" i="2"/>
  <c r="Z1341" i="2"/>
  <c r="Z1375" i="2"/>
  <c r="Z1407" i="2"/>
  <c r="Z1445" i="2"/>
  <c r="Z1477" i="2"/>
  <c r="Z1511" i="2"/>
  <c r="Z1551" i="2"/>
  <c r="Z1589" i="2"/>
  <c r="Z1627" i="2"/>
  <c r="Z1663" i="2"/>
  <c r="Z1707" i="2"/>
  <c r="Z1749" i="2"/>
  <c r="Z1823" i="2"/>
  <c r="Z1887" i="2"/>
  <c r="V1863" i="2"/>
  <c r="V1407" i="2"/>
  <c r="Z1011" i="2"/>
  <c r="Z1035" i="2"/>
  <c r="Z1063" i="2"/>
  <c r="Z1093" i="2"/>
  <c r="Z1127" i="2"/>
  <c r="Z1163" i="2"/>
  <c r="Z1195" i="2"/>
  <c r="Z1231" i="2"/>
  <c r="Z1263" i="2"/>
  <c r="Z1299" i="2"/>
  <c r="Z1333" i="2"/>
  <c r="Z1365" i="2"/>
  <c r="Z1403" i="2"/>
  <c r="Z1435" i="2"/>
  <c r="Z1469" i="2"/>
  <c r="Z1503" i="2"/>
  <c r="Z1541" i="2"/>
  <c r="Z1579" i="2"/>
  <c r="Z1619" i="2"/>
  <c r="Z1659" i="2"/>
  <c r="Z1695" i="2"/>
  <c r="Z1743" i="2"/>
  <c r="Z1797" i="2"/>
  <c r="Z1877" i="2"/>
  <c r="Z755" i="2"/>
  <c r="V1555" i="2"/>
  <c r="X1114" i="2"/>
  <c r="V1695" i="2"/>
  <c r="V1431" i="2"/>
  <c r="V1207" i="2"/>
  <c r="V1723" i="2"/>
  <c r="V1527" i="2"/>
  <c r="V1211" i="2"/>
  <c r="V1751" i="2"/>
  <c r="V1531" i="2"/>
  <c r="V1239" i="2"/>
  <c r="V1783" i="2"/>
  <c r="V1551" i="2"/>
  <c r="V1327" i="2"/>
  <c r="M29" i="5"/>
  <c r="X994" i="2"/>
  <c r="X506" i="2"/>
  <c r="X266" i="2"/>
  <c r="V967" i="2"/>
  <c r="V1071" i="2"/>
  <c r="Z1725" i="2"/>
  <c r="Z1781" i="2"/>
  <c r="Z1831" i="2"/>
  <c r="Z1893" i="2"/>
  <c r="V1867" i="2"/>
  <c r="V1663" i="2"/>
  <c r="V1495" i="2"/>
  <c r="V1271" i="2"/>
  <c r="V1079" i="2"/>
  <c r="V1299" i="2"/>
  <c r="M43" i="1"/>
  <c r="M36" i="5"/>
  <c r="M37" i="1"/>
  <c r="M44" i="1"/>
  <c r="X118" i="2"/>
  <c r="X308" i="2"/>
  <c r="X626" i="2"/>
  <c r="X1086" i="2"/>
  <c r="X236" i="2"/>
  <c r="X504" i="2"/>
  <c r="X932" i="2"/>
  <c r="X216" i="2"/>
  <c r="X484" i="2"/>
  <c r="X868" i="2"/>
  <c r="X188" i="2"/>
  <c r="X472" i="2"/>
  <c r="X766" i="2"/>
  <c r="X164" i="2"/>
  <c r="X438" i="2"/>
  <c r="X706" i="2"/>
  <c r="X1862" i="2"/>
  <c r="X136" i="2"/>
  <c r="X344" i="2"/>
  <c r="X656" i="2"/>
  <c r="X1466" i="2"/>
  <c r="X132" i="2"/>
  <c r="X336" i="2"/>
  <c r="X634" i="2"/>
  <c r="Z1759" i="2"/>
  <c r="Z1811" i="2"/>
  <c r="Z1853" i="2"/>
  <c r="Z1895" i="2"/>
  <c r="V1903" i="2"/>
  <c r="V1775" i="2"/>
  <c r="V1643" i="2"/>
  <c r="V1467" i="2"/>
  <c r="V1323" i="2"/>
  <c r="V1183" i="2"/>
  <c r="V1015" i="2"/>
  <c r="X220" i="2"/>
  <c r="X372" i="2"/>
  <c r="X582" i="2"/>
  <c r="X836" i="2"/>
  <c r="X1196" i="2"/>
  <c r="X368" i="2"/>
  <c r="X548" i="2"/>
  <c r="X816" i="2"/>
  <c r="X1174" i="2"/>
  <c r="X1574" i="2"/>
  <c r="Z1765" i="2"/>
  <c r="Z1813" i="2"/>
  <c r="Z1855" i="2"/>
  <c r="Z1899" i="2"/>
  <c r="V1883" i="2"/>
  <c r="V1759" i="2"/>
  <c r="V1615" i="2"/>
  <c r="V1439" i="2"/>
  <c r="V1303" i="2"/>
  <c r="V1151" i="2"/>
  <c r="V975" i="2"/>
  <c r="X232" i="2"/>
  <c r="X400" i="2"/>
  <c r="X624" i="2"/>
  <c r="X854" i="2"/>
  <c r="X1298" i="2"/>
  <c r="Z1767" i="2"/>
  <c r="Z1803" i="2"/>
  <c r="Z1835" i="2"/>
  <c r="Z1871" i="2"/>
  <c r="Z1903" i="2"/>
  <c r="Z747" i="2"/>
  <c r="V1835" i="2"/>
  <c r="V1719" i="2"/>
  <c r="V1599" i="2"/>
  <c r="V1491" i="2"/>
  <c r="V1375" i="2"/>
  <c r="V1263" i="2"/>
  <c r="V1147" i="2"/>
  <c r="V1039" i="2"/>
  <c r="X168" i="2"/>
  <c r="X280" i="2"/>
  <c r="X410" i="2"/>
  <c r="X550" i="2"/>
  <c r="X708" i="2"/>
  <c r="X950" i="2"/>
  <c r="X1380" i="2"/>
  <c r="Z1533" i="2"/>
  <c r="Z1567" i="2"/>
  <c r="Z1599" i="2"/>
  <c r="Z1637" i="2"/>
  <c r="Z1669" i="2"/>
  <c r="Z1703" i="2"/>
  <c r="Z1739" i="2"/>
  <c r="Z1771" i="2"/>
  <c r="Z1807" i="2"/>
  <c r="Z1839" i="2"/>
  <c r="Z1875" i="2"/>
  <c r="Z1909" i="2"/>
  <c r="V1815" i="2"/>
  <c r="V1707" i="2"/>
  <c r="V1591" i="2"/>
  <c r="V1471" i="2"/>
  <c r="V1363" i="2"/>
  <c r="V1247" i="2"/>
  <c r="V1135" i="2"/>
  <c r="V1019" i="2"/>
  <c r="X182" i="2"/>
  <c r="X288" i="2"/>
  <c r="X436" i="2"/>
  <c r="X568" i="2"/>
  <c r="X764" i="2"/>
  <c r="X988" i="2"/>
  <c r="X1430" i="2"/>
  <c r="V1899" i="2"/>
  <c r="V1855" i="2"/>
  <c r="V1807" i="2"/>
  <c r="V1747" i="2"/>
  <c r="V1687" i="2"/>
  <c r="V1631" i="2"/>
  <c r="V1579" i="2"/>
  <c r="V1519" i="2"/>
  <c r="V1463" i="2"/>
  <c r="V1403" i="2"/>
  <c r="V1343" i="2"/>
  <c r="V1295" i="2"/>
  <c r="V1235" i="2"/>
  <c r="V1175" i="2"/>
  <c r="V1119" i="2"/>
  <c r="V1067" i="2"/>
  <c r="V1003" i="2"/>
  <c r="X138" i="2"/>
  <c r="X190" i="2"/>
  <c r="X248" i="2"/>
  <c r="X312" i="2"/>
  <c r="X378" i="2"/>
  <c r="X452" i="2"/>
  <c r="X516" i="2"/>
  <c r="X584" i="2"/>
  <c r="X670" i="2"/>
  <c r="X768" i="2"/>
  <c r="X876" i="2"/>
  <c r="X1038" i="2"/>
  <c r="X1230" i="2"/>
  <c r="X1492" i="2"/>
  <c r="V1871" i="2"/>
  <c r="V1823" i="2"/>
  <c r="V1771" i="2"/>
  <c r="V1711" i="2"/>
  <c r="V1655" i="2"/>
  <c r="V1595" i="2"/>
  <c r="V1535" i="2"/>
  <c r="V1487" i="2"/>
  <c r="V1427" i="2"/>
  <c r="V1367" i="2"/>
  <c r="V1311" i="2"/>
  <c r="V1259" i="2"/>
  <c r="V1199" i="2"/>
  <c r="V1143" i="2"/>
  <c r="V1083" i="2"/>
  <c r="V1023" i="2"/>
  <c r="X124" i="2"/>
  <c r="X172" i="2"/>
  <c r="X222" i="2"/>
  <c r="X282" i="2"/>
  <c r="X354" i="2"/>
  <c r="X432" i="2"/>
  <c r="X498" i="2"/>
  <c r="X564" i="2"/>
  <c r="X628" i="2"/>
  <c r="X732" i="2"/>
  <c r="X848" i="2"/>
  <c r="X976" i="2"/>
  <c r="X1158" i="2"/>
  <c r="X1394" i="2"/>
  <c r="V1887" i="2"/>
  <c r="V1847" i="2"/>
  <c r="V1787" i="2"/>
  <c r="V1727" i="2"/>
  <c r="V1679" i="2"/>
  <c r="V1619" i="2"/>
  <c r="V1559" i="2"/>
  <c r="V1503" i="2"/>
  <c r="V1451" i="2"/>
  <c r="V1391" i="2"/>
  <c r="V1335" i="2"/>
  <c r="V1275" i="2"/>
  <c r="V1215" i="2"/>
  <c r="V1167" i="2"/>
  <c r="V1107" i="2"/>
  <c r="V1047" i="2"/>
  <c r="V979" i="2"/>
  <c r="X158" i="2"/>
  <c r="X212" i="2"/>
  <c r="X260" i="2"/>
  <c r="X326" i="2"/>
  <c r="X394" i="2"/>
  <c r="X466" i="2"/>
  <c r="X536" i="2"/>
  <c r="X610" i="2"/>
  <c r="X700" i="2"/>
  <c r="X796" i="2"/>
  <c r="X926" i="2"/>
  <c r="X1070" i="2"/>
  <c r="X1266" i="2"/>
  <c r="X1708" i="2"/>
  <c r="V1895" i="2"/>
  <c r="V1851" i="2"/>
  <c r="V1791" i="2"/>
  <c r="V1743" i="2"/>
  <c r="V1683" i="2"/>
  <c r="V1623" i="2"/>
  <c r="V1567" i="2"/>
  <c r="V1515" i="2"/>
  <c r="V1455" i="2"/>
  <c r="V1399" i="2"/>
  <c r="V1339" i="2"/>
  <c r="V1279" i="2"/>
  <c r="V1231" i="2"/>
  <c r="V1171" i="2"/>
  <c r="V1111" i="2"/>
  <c r="V1055" i="2"/>
  <c r="V983" i="2"/>
  <c r="X148" i="2"/>
  <c r="X202" i="2"/>
  <c r="X252" i="2"/>
  <c r="X324" i="2"/>
  <c r="X392" i="2"/>
  <c r="X456" i="2"/>
  <c r="X522" i="2"/>
  <c r="X592" i="2"/>
  <c r="X684" i="2"/>
  <c r="X786" i="2"/>
  <c r="X902" i="2"/>
  <c r="X1064" i="2"/>
  <c r="X1238" i="2"/>
  <c r="X1556" i="2"/>
  <c r="X648" i="2"/>
  <c r="X724" i="2"/>
  <c r="X812" i="2"/>
  <c r="X880" i="2"/>
  <c r="X992" i="2"/>
  <c r="X1128" i="2"/>
  <c r="X1272" i="2"/>
  <c r="X1542" i="2"/>
  <c r="X152" i="2"/>
  <c r="X196" i="2"/>
  <c r="X246" i="2"/>
  <c r="X294" i="2"/>
  <c r="X356" i="2"/>
  <c r="X420" i="2"/>
  <c r="X480" i="2"/>
  <c r="X544" i="2"/>
  <c r="X600" i="2"/>
  <c r="X668" i="2"/>
  <c r="X742" i="2"/>
  <c r="X818" i="2"/>
  <c r="X924" i="2"/>
  <c r="X1020" i="2"/>
  <c r="X1172" i="2"/>
  <c r="X1346" i="2"/>
  <c r="Z767" i="2"/>
  <c r="V991" i="2"/>
  <c r="M35" i="1"/>
  <c r="M39" i="5"/>
  <c r="M39" i="1"/>
  <c r="X1576" i="2"/>
  <c r="Z564" i="2"/>
  <c r="Z580" i="2"/>
  <c r="Z596" i="2"/>
  <c r="Z612" i="2"/>
  <c r="Z628" i="2"/>
  <c r="Z644" i="2"/>
  <c r="Z660" i="2"/>
  <c r="Z676" i="2"/>
  <c r="Z692" i="2"/>
  <c r="Z708" i="2"/>
  <c r="Z724" i="2"/>
  <c r="Z740" i="2"/>
  <c r="Z756" i="2"/>
  <c r="Z772" i="2"/>
  <c r="Z788" i="2"/>
  <c r="Z804" i="2"/>
  <c r="Z820" i="2"/>
  <c r="Z836" i="2"/>
  <c r="Z852" i="2"/>
  <c r="Z868" i="2"/>
  <c r="Z884" i="2"/>
  <c r="Z900" i="2"/>
  <c r="Z916" i="2"/>
  <c r="Z932" i="2"/>
  <c r="Z948" i="2"/>
  <c r="Z964" i="2"/>
  <c r="Z980" i="2"/>
  <c r="Z996" i="2"/>
  <c r="Z1012" i="2"/>
  <c r="Z1028" i="2"/>
  <c r="Z1044" i="2"/>
  <c r="Z1060" i="2"/>
  <c r="Z1076" i="2"/>
  <c r="Z1092" i="2"/>
  <c r="Z1108" i="2"/>
  <c r="Z1124" i="2"/>
  <c r="Z1140" i="2"/>
  <c r="Z1156" i="2"/>
  <c r="Z1172" i="2"/>
  <c r="Z1188" i="2"/>
  <c r="Z1204" i="2"/>
  <c r="Z1220" i="2"/>
  <c r="Z1236" i="2"/>
  <c r="Z1252" i="2"/>
  <c r="Z1268" i="2"/>
  <c r="Z1284" i="2"/>
  <c r="Z1300" i="2"/>
  <c r="Z1316" i="2"/>
  <c r="Z1332" i="2"/>
  <c r="Z1348" i="2"/>
  <c r="Z1364" i="2"/>
  <c r="Z1380" i="2"/>
  <c r="Z1396" i="2"/>
  <c r="Z1412" i="2"/>
  <c r="Z1428" i="2"/>
  <c r="Z1444" i="2"/>
  <c r="Z1460" i="2"/>
  <c r="Z1476" i="2"/>
  <c r="Z1492" i="2"/>
  <c r="Z1508" i="2"/>
  <c r="Z1524" i="2"/>
  <c r="Z1540" i="2"/>
  <c r="Z1556" i="2"/>
  <c r="Z1572" i="2"/>
  <c r="Z1588" i="2"/>
  <c r="Z1604" i="2"/>
  <c r="Z1620" i="2"/>
  <c r="Z1636" i="2"/>
  <c r="Z1652" i="2"/>
  <c r="Z1668" i="2"/>
  <c r="Z1684" i="2"/>
  <c r="Z1700" i="2"/>
  <c r="Z1716" i="2"/>
  <c r="Z1732" i="2"/>
  <c r="Z1748" i="2"/>
  <c r="Z1764" i="2"/>
  <c r="Z1780" i="2"/>
  <c r="Z1796" i="2"/>
  <c r="Z1812" i="2"/>
  <c r="Z1828" i="2"/>
  <c r="Z1844" i="2"/>
  <c r="Z1860" i="2"/>
  <c r="Z1876" i="2"/>
  <c r="Z1892" i="2"/>
  <c r="Z1908" i="2"/>
  <c r="Z817" i="2"/>
  <c r="Z833" i="2"/>
  <c r="Z849" i="2"/>
  <c r="Z865" i="2"/>
  <c r="Z881" i="2"/>
  <c r="Z897" i="2"/>
  <c r="Z913" i="2"/>
  <c r="Z929" i="2"/>
  <c r="Z945" i="2"/>
  <c r="Z961" i="2"/>
  <c r="Z977" i="2"/>
  <c r="Z993" i="2"/>
  <c r="Z1009" i="2"/>
  <c r="Z1025" i="2"/>
  <c r="Z1041" i="2"/>
  <c r="Z1057" i="2"/>
  <c r="Z1075" i="2"/>
  <c r="Z1095" i="2"/>
  <c r="Z1117" i="2"/>
  <c r="Z1139" i="2"/>
  <c r="Z1159" i="2"/>
  <c r="Z1181" i="2"/>
  <c r="Z1203" i="2"/>
  <c r="Z1223" i="2"/>
  <c r="Z1245" i="2"/>
  <c r="Z1267" i="2"/>
  <c r="Z1287" i="2"/>
  <c r="Z1309" i="2"/>
  <c r="Z1331" i="2"/>
  <c r="Z1351" i="2"/>
  <c r="Z1373" i="2"/>
  <c r="Z1395" i="2"/>
  <c r="Z1415" i="2"/>
  <c r="Z1437" i="2"/>
  <c r="Z1459" i="2"/>
  <c r="Z1479" i="2"/>
  <c r="Z1501" i="2"/>
  <c r="Z1523" i="2"/>
  <c r="Z1543" i="2"/>
  <c r="Z1565" i="2"/>
  <c r="Z1587" i="2"/>
  <c r="Z1607" i="2"/>
  <c r="Z1629" i="2"/>
  <c r="Z1651" i="2"/>
  <c r="Z1671" i="2"/>
  <c r="Z1693" i="2"/>
  <c r="Z1715" i="2"/>
  <c r="Z1735" i="2"/>
  <c r="Z1757" i="2"/>
  <c r="Z1779" i="2"/>
  <c r="Z1799" i="2"/>
  <c r="Z1821" i="2"/>
  <c r="Z1843" i="2"/>
  <c r="Z1863" i="2"/>
  <c r="Z1885" i="2"/>
  <c r="Z1907" i="2"/>
  <c r="Z771" i="2"/>
  <c r="V1007" i="2"/>
  <c r="X120" i="2"/>
  <c r="X150" i="2"/>
  <c r="X180" i="2"/>
  <c r="X204" i="2"/>
  <c r="X234" i="2"/>
  <c r="X264" i="2"/>
  <c r="X304" i="2"/>
  <c r="X338" i="2"/>
  <c r="X376" i="2"/>
  <c r="X416" i="2"/>
  <c r="X454" i="2"/>
  <c r="X496" i="2"/>
  <c r="X528" i="2"/>
  <c r="X566" i="2"/>
  <c r="X608" i="2"/>
  <c r="X644" i="2"/>
  <c r="X686" i="2"/>
  <c r="X740" i="2"/>
  <c r="X788" i="2"/>
  <c r="X838" i="2"/>
  <c r="X900" i="2"/>
  <c r="X956" i="2"/>
  <c r="X1028" i="2"/>
  <c r="X1126" i="2"/>
  <c r="X1210" i="2"/>
  <c r="X1300" i="2"/>
  <c r="X1490" i="2"/>
  <c r="X1778" i="2"/>
  <c r="Z576" i="2"/>
  <c r="Z592" i="2"/>
  <c r="Z608" i="2"/>
  <c r="Z624" i="2"/>
  <c r="Z640" i="2"/>
  <c r="Z656" i="2"/>
  <c r="Z672" i="2"/>
  <c r="Z688" i="2"/>
  <c r="Z704" i="2"/>
  <c r="Z720" i="2"/>
  <c r="Z736" i="2"/>
  <c r="Z752" i="2"/>
  <c r="Z768" i="2"/>
  <c r="Z784" i="2"/>
  <c r="Z800" i="2"/>
  <c r="Z816" i="2"/>
  <c r="Z832" i="2"/>
  <c r="Z848" i="2"/>
  <c r="Z864" i="2"/>
  <c r="Z880" i="2"/>
  <c r="Z896" i="2"/>
  <c r="Z912" i="2"/>
  <c r="Z928" i="2"/>
  <c r="Z944" i="2"/>
  <c r="Z960" i="2"/>
  <c r="Z976" i="2"/>
  <c r="Z992" i="2"/>
  <c r="Z1008" i="2"/>
  <c r="Z1024" i="2"/>
  <c r="Z1040" i="2"/>
  <c r="Z1056" i="2"/>
  <c r="Z1072" i="2"/>
  <c r="Z1088" i="2"/>
  <c r="Z1104" i="2"/>
  <c r="Z1120" i="2"/>
  <c r="Z1136" i="2"/>
  <c r="Z1152" i="2"/>
  <c r="Z1168" i="2"/>
  <c r="Z1184" i="2"/>
  <c r="Z1200" i="2"/>
  <c r="Z1216" i="2"/>
  <c r="Z1232" i="2"/>
  <c r="Z1248" i="2"/>
  <c r="Z1264" i="2"/>
  <c r="Z1280" i="2"/>
  <c r="Z1296" i="2"/>
  <c r="Z1312" i="2"/>
  <c r="Z1328" i="2"/>
  <c r="Z1344" i="2"/>
  <c r="Z1360" i="2"/>
  <c r="Z1376" i="2"/>
  <c r="Z1392" i="2"/>
  <c r="Z1408" i="2"/>
  <c r="Z1424" i="2"/>
  <c r="Z1440" i="2"/>
  <c r="Z1456" i="2"/>
  <c r="Z1472" i="2"/>
  <c r="Z1488" i="2"/>
  <c r="Z1504" i="2"/>
  <c r="Z1520" i="2"/>
  <c r="Z1536" i="2"/>
  <c r="Z1552" i="2"/>
  <c r="Z1568" i="2"/>
  <c r="Z1584" i="2"/>
  <c r="Z1600" i="2"/>
  <c r="Z1616" i="2"/>
  <c r="Z1632" i="2"/>
  <c r="Z1648" i="2"/>
  <c r="Z1664" i="2"/>
  <c r="Z1680" i="2"/>
  <c r="Z1696" i="2"/>
  <c r="Z1712" i="2"/>
  <c r="Z1728" i="2"/>
  <c r="Z1744" i="2"/>
  <c r="Z1760" i="2"/>
  <c r="Z1776" i="2"/>
  <c r="Z1792" i="2"/>
  <c r="Z1808" i="2"/>
  <c r="Z1824" i="2"/>
  <c r="Z1840" i="2"/>
  <c r="Z1856" i="2"/>
  <c r="Z1872" i="2"/>
  <c r="Z1888" i="2"/>
  <c r="Z1904" i="2"/>
  <c r="Z813" i="2"/>
  <c r="Z829" i="2"/>
  <c r="Z845" i="2"/>
  <c r="Z861" i="2"/>
  <c r="Z877" i="2"/>
  <c r="Z893" i="2"/>
  <c r="Z909" i="2"/>
  <c r="Z925" i="2"/>
  <c r="Z941" i="2"/>
  <c r="Z957" i="2"/>
  <c r="Z973" i="2"/>
  <c r="Z989" i="2"/>
  <c r="Z1005" i="2"/>
  <c r="Z1021" i="2"/>
  <c r="Z1037" i="2"/>
  <c r="Z1053" i="2"/>
  <c r="Z1069" i="2"/>
  <c r="Z1091" i="2"/>
  <c r="Z1111" i="2"/>
  <c r="Z1133" i="2"/>
  <c r="Z1155" i="2"/>
  <c r="Z1175" i="2"/>
  <c r="Z1197" i="2"/>
  <c r="Z1219" i="2"/>
  <c r="Z1239" i="2"/>
  <c r="Z1261" i="2"/>
  <c r="Z1283" i="2"/>
  <c r="Z1303" i="2"/>
  <c r="Z1325" i="2"/>
  <c r="Z1347" i="2"/>
  <c r="Z1367" i="2"/>
  <c r="Z1389" i="2"/>
  <c r="Z1411" i="2"/>
  <c r="Z1431" i="2"/>
  <c r="Z1453" i="2"/>
  <c r="Z1475" i="2"/>
  <c r="Z1495" i="2"/>
  <c r="Z1517" i="2"/>
  <c r="Z1539" i="2"/>
  <c r="Z1559" i="2"/>
  <c r="Z1581" i="2"/>
  <c r="Z1603" i="2"/>
  <c r="Z1623" i="2"/>
  <c r="Z1645" i="2"/>
  <c r="Z1667" i="2"/>
  <c r="Z1687" i="2"/>
  <c r="Z1709" i="2"/>
  <c r="Z1731" i="2"/>
  <c r="Z1751" i="2"/>
  <c r="Z1773" i="2"/>
  <c r="Z1795" i="2"/>
  <c r="Z1815" i="2"/>
  <c r="Z1837" i="2"/>
  <c r="Z1859" i="2"/>
  <c r="Z1879" i="2"/>
  <c r="Z1901" i="2"/>
  <c r="Z779" i="2"/>
  <c r="Z739" i="2"/>
  <c r="X116" i="2"/>
  <c r="X140" i="2"/>
  <c r="X170" i="2"/>
  <c r="X200" i="2"/>
  <c r="X228" i="2"/>
  <c r="X254" i="2"/>
  <c r="X292" i="2"/>
  <c r="X328" i="2"/>
  <c r="X370" i="2"/>
  <c r="X408" i="2"/>
  <c r="X440" i="2"/>
  <c r="X482" i="2"/>
  <c r="X520" i="2"/>
  <c r="X560" i="2"/>
  <c r="X594" i="2"/>
  <c r="X632" i="2"/>
  <c r="X676" i="2"/>
  <c r="X726" i="2"/>
  <c r="X784" i="2"/>
  <c r="X828" i="2"/>
  <c r="X878" i="2"/>
  <c r="X948" i="2"/>
  <c r="X1012" i="2"/>
  <c r="X1092" i="2"/>
  <c r="X1190" i="2"/>
  <c r="X1282" i="2"/>
  <c r="X1444" i="2"/>
  <c r="X1706" i="2"/>
  <c r="Z568" i="2"/>
  <c r="Z584" i="2"/>
  <c r="Z600" i="2"/>
  <c r="Z616" i="2"/>
  <c r="Z632" i="2"/>
  <c r="Z648" i="2"/>
  <c r="Z664" i="2"/>
  <c r="Z680" i="2"/>
  <c r="Z696" i="2"/>
  <c r="Z712" i="2"/>
  <c r="Z728" i="2"/>
  <c r="Z744" i="2"/>
  <c r="Z760" i="2"/>
  <c r="Z776" i="2"/>
  <c r="Z792" i="2"/>
  <c r="Z808" i="2"/>
  <c r="Z824" i="2"/>
  <c r="Z840" i="2"/>
  <c r="Z856" i="2"/>
  <c r="Z872" i="2"/>
  <c r="Z888" i="2"/>
  <c r="Z904" i="2"/>
  <c r="Z920" i="2"/>
  <c r="Z936" i="2"/>
  <c r="Z952" i="2"/>
  <c r="Z968" i="2"/>
  <c r="Z984" i="2"/>
  <c r="Z1000" i="2"/>
  <c r="Z1016" i="2"/>
  <c r="Z1032" i="2"/>
  <c r="Z1048" i="2"/>
  <c r="Z1064" i="2"/>
  <c r="Z1080" i="2"/>
  <c r="Z1096" i="2"/>
  <c r="Z1112" i="2"/>
  <c r="Z1128" i="2"/>
  <c r="Z1144" i="2"/>
  <c r="Z1160" i="2"/>
  <c r="Z1176" i="2"/>
  <c r="Z1192" i="2"/>
  <c r="Z1208" i="2"/>
  <c r="Z1224" i="2"/>
  <c r="Z1240" i="2"/>
  <c r="Z1256" i="2"/>
  <c r="Z1272" i="2"/>
  <c r="Z1288" i="2"/>
  <c r="Z1304" i="2"/>
  <c r="Z1320" i="2"/>
  <c r="Z1336" i="2"/>
  <c r="Z1352" i="2"/>
  <c r="Z1368" i="2"/>
  <c r="Z1384" i="2"/>
  <c r="Z1400" i="2"/>
  <c r="Z1416" i="2"/>
  <c r="Z1432" i="2"/>
  <c r="Z1448" i="2"/>
  <c r="Z1464" i="2"/>
  <c r="Z1480" i="2"/>
  <c r="Z1496" i="2"/>
  <c r="Z1512" i="2"/>
  <c r="Z1528" i="2"/>
  <c r="Z1544" i="2"/>
  <c r="Z1560" i="2"/>
  <c r="Z1576" i="2"/>
  <c r="Z1592" i="2"/>
  <c r="Z1608" i="2"/>
  <c r="Z1624" i="2"/>
  <c r="Z1640" i="2"/>
  <c r="Z1656" i="2"/>
  <c r="Z1672" i="2"/>
  <c r="Z1688" i="2"/>
  <c r="Z1704" i="2"/>
  <c r="Z1720" i="2"/>
  <c r="Z1736" i="2"/>
  <c r="Z1752" i="2"/>
  <c r="Z1768" i="2"/>
  <c r="Z1784" i="2"/>
  <c r="Z1800" i="2"/>
  <c r="Z1816" i="2"/>
  <c r="Z1832" i="2"/>
  <c r="Z1848" i="2"/>
  <c r="Z1864" i="2"/>
  <c r="Z1880" i="2"/>
  <c r="Z1896" i="2"/>
  <c r="Z1912" i="2"/>
  <c r="Z821" i="2"/>
  <c r="Z837" i="2"/>
  <c r="Z853" i="2"/>
  <c r="Z869" i="2"/>
  <c r="Z885" i="2"/>
  <c r="Z901" i="2"/>
  <c r="Z917" i="2"/>
  <c r="Z933" i="2"/>
  <c r="Z949" i="2"/>
  <c r="Z965" i="2"/>
  <c r="Z981" i="2"/>
  <c r="Z997" i="2"/>
  <c r="Z1013" i="2"/>
  <c r="Z1029" i="2"/>
  <c r="Z1045" i="2"/>
  <c r="Z1061" i="2"/>
  <c r="Z1079" i="2"/>
  <c r="Z1101" i="2"/>
  <c r="Z1123" i="2"/>
  <c r="Z1143" i="2"/>
  <c r="Z1165" i="2"/>
  <c r="Z1187" i="2"/>
  <c r="Z1207" i="2"/>
  <c r="Z1229" i="2"/>
  <c r="Z1251" i="2"/>
  <c r="Z1271" i="2"/>
  <c r="Z1293" i="2"/>
  <c r="Z1315" i="2"/>
  <c r="Z1335" i="2"/>
  <c r="Z1357" i="2"/>
  <c r="Z1379" i="2"/>
  <c r="Z1399" i="2"/>
  <c r="Z1421" i="2"/>
  <c r="Z1443" i="2"/>
  <c r="Z1463" i="2"/>
  <c r="Z1485" i="2"/>
  <c r="Z1507" i="2"/>
  <c r="Z1527" i="2"/>
  <c r="Z1549" i="2"/>
  <c r="Z1571" i="2"/>
  <c r="Z1591" i="2"/>
  <c r="Z1613" i="2"/>
  <c r="Z1635" i="2"/>
  <c r="Z1655" i="2"/>
  <c r="Z1677" i="2"/>
  <c r="Z1699" i="2"/>
  <c r="Z1719" i="2"/>
  <c r="Z1741" i="2"/>
  <c r="Z1763" i="2"/>
  <c r="Z1783" i="2"/>
  <c r="Z1805" i="2"/>
  <c r="Z1827" i="2"/>
  <c r="Z1847" i="2"/>
  <c r="Z1869" i="2"/>
  <c r="Z1891" i="2"/>
  <c r="Z1911" i="2"/>
  <c r="Z759" i="2"/>
  <c r="X126" i="2"/>
  <c r="X156" i="2"/>
  <c r="X184" i="2"/>
  <c r="X214" i="2"/>
  <c r="X244" i="2"/>
  <c r="X272" i="2"/>
  <c r="X310" i="2"/>
  <c r="X352" i="2"/>
  <c r="X388" i="2"/>
  <c r="X422" i="2"/>
  <c r="X464" i="2"/>
  <c r="X500" i="2"/>
  <c r="X538" i="2"/>
  <c r="X580" i="2"/>
  <c r="X612" i="2"/>
  <c r="X650" i="2"/>
  <c r="X704" i="2"/>
  <c r="X752" i="2"/>
  <c r="X798" i="2"/>
  <c r="X852" i="2"/>
  <c r="X908" i="2"/>
  <c r="X982" i="2"/>
  <c r="X1062" i="2"/>
  <c r="X1130" i="2"/>
  <c r="X1236" i="2"/>
  <c r="X1370" i="2"/>
  <c r="X1538" i="2"/>
  <c r="X1876" i="2"/>
  <c r="Z1073" i="2"/>
  <c r="Z1089" i="2"/>
  <c r="Z1105" i="2"/>
  <c r="Z1121" i="2"/>
  <c r="Z1137" i="2"/>
  <c r="Z1153" i="2"/>
  <c r="Z1169" i="2"/>
  <c r="Z1185" i="2"/>
  <c r="Z1201" i="2"/>
  <c r="Z1217" i="2"/>
  <c r="Z1233" i="2"/>
  <c r="Z1249" i="2"/>
  <c r="Z1265" i="2"/>
  <c r="Z1281" i="2"/>
  <c r="Z1297" i="2"/>
  <c r="Z1313" i="2"/>
  <c r="Z1329" i="2"/>
  <c r="Z1345" i="2"/>
  <c r="Z1361" i="2"/>
  <c r="Z1377" i="2"/>
  <c r="Z1393" i="2"/>
  <c r="Z1409" i="2"/>
  <c r="Z1425" i="2"/>
  <c r="Z1441" i="2"/>
  <c r="Z1457" i="2"/>
  <c r="Z1473" i="2"/>
  <c r="Z1489" i="2"/>
  <c r="Z1505" i="2"/>
  <c r="Z1521" i="2"/>
  <c r="Z1537" i="2"/>
  <c r="Z1553" i="2"/>
  <c r="Z1569" i="2"/>
  <c r="Z1585" i="2"/>
  <c r="Z1601" i="2"/>
  <c r="Z1617" i="2"/>
  <c r="Z1633" i="2"/>
  <c r="Z1649" i="2"/>
  <c r="Z1665" i="2"/>
  <c r="Z1681" i="2"/>
  <c r="Z1697" i="2"/>
  <c r="Z1713" i="2"/>
  <c r="Z1729" i="2"/>
  <c r="Z1745" i="2"/>
  <c r="Z1761" i="2"/>
  <c r="Z1777" i="2"/>
  <c r="Z1793" i="2"/>
  <c r="Z1809" i="2"/>
  <c r="Z1825" i="2"/>
  <c r="Z1841" i="2"/>
  <c r="Z1857" i="2"/>
  <c r="Z1873" i="2"/>
  <c r="Z1889" i="2"/>
  <c r="Z1905" i="2"/>
  <c r="Z783" i="2"/>
  <c r="Z751" i="2"/>
  <c r="V1891" i="2"/>
  <c r="V1859" i="2"/>
  <c r="V1819" i="2"/>
  <c r="V1779" i="2"/>
  <c r="V1739" i="2"/>
  <c r="V1691" i="2"/>
  <c r="V1651" i="2"/>
  <c r="V1611" i="2"/>
  <c r="V1563" i="2"/>
  <c r="V1523" i="2"/>
  <c r="V1483" i="2"/>
  <c r="V1435" i="2"/>
  <c r="V1395" i="2"/>
  <c r="V1355" i="2"/>
  <c r="V1307" i="2"/>
  <c r="V1267" i="2"/>
  <c r="V1227" i="2"/>
  <c r="V1179" i="2"/>
  <c r="V1139" i="2"/>
  <c r="V1099" i="2"/>
  <c r="V1051" i="2"/>
  <c r="V1011" i="2"/>
  <c r="V971" i="2"/>
  <c r="X134" i="2"/>
  <c r="X154" i="2"/>
  <c r="X174" i="2"/>
  <c r="X198" i="2"/>
  <c r="X218" i="2"/>
  <c r="X238" i="2"/>
  <c r="X262" i="2"/>
  <c r="X290" i="2"/>
  <c r="X314" i="2"/>
  <c r="X346" i="2"/>
  <c r="X374" i="2"/>
  <c r="X402" i="2"/>
  <c r="X434" i="2"/>
  <c r="X458" i="2"/>
  <c r="X486" i="2"/>
  <c r="X518" i="2"/>
  <c r="X546" i="2"/>
  <c r="X570" i="2"/>
  <c r="X602" i="2"/>
  <c r="X630" i="2"/>
  <c r="X658" i="2"/>
  <c r="X702" i="2"/>
  <c r="X734" i="2"/>
  <c r="X770" i="2"/>
  <c r="X814" i="2"/>
  <c r="X850" i="2"/>
  <c r="X882" i="2"/>
  <c r="X942" i="2"/>
  <c r="X990" i="2"/>
  <c r="X1044" i="2"/>
  <c r="X1116" i="2"/>
  <c r="X1176" i="2"/>
  <c r="X1240" i="2"/>
  <c r="X1348" i="2"/>
  <c r="X1484" i="2"/>
  <c r="T35" i="2"/>
  <c r="X1753" i="2"/>
  <c r="Z1081" i="2"/>
  <c r="Z1097" i="2"/>
  <c r="Z1113" i="2"/>
  <c r="Z1129" i="2"/>
  <c r="Z1145" i="2"/>
  <c r="Z1161" i="2"/>
  <c r="Z1177" i="2"/>
  <c r="Z1193" i="2"/>
  <c r="Z1209" i="2"/>
  <c r="Z1225" i="2"/>
  <c r="Z1241" i="2"/>
  <c r="Z1257" i="2"/>
  <c r="Z1273" i="2"/>
  <c r="Z1289" i="2"/>
  <c r="Z1305" i="2"/>
  <c r="Z1321" i="2"/>
  <c r="Z1337" i="2"/>
  <c r="Z1353" i="2"/>
  <c r="Z1369" i="2"/>
  <c r="Z1385" i="2"/>
  <c r="Z1401" i="2"/>
  <c r="Z1417" i="2"/>
  <c r="Z1433" i="2"/>
  <c r="Z1449" i="2"/>
  <c r="Z1465" i="2"/>
  <c r="Z1481" i="2"/>
  <c r="Z1497" i="2"/>
  <c r="Z1513" i="2"/>
  <c r="Z1529" i="2"/>
  <c r="Z1545" i="2"/>
  <c r="Z1561" i="2"/>
  <c r="Z1577" i="2"/>
  <c r="Z1593" i="2"/>
  <c r="Z1609" i="2"/>
  <c r="Z1625" i="2"/>
  <c r="Z1641" i="2"/>
  <c r="Z1657" i="2"/>
  <c r="Z1673" i="2"/>
  <c r="Z1689" i="2"/>
  <c r="Z1705" i="2"/>
  <c r="Z1721" i="2"/>
  <c r="Z1737" i="2"/>
  <c r="Z1753" i="2"/>
  <c r="Z1769" i="2"/>
  <c r="Z1785" i="2"/>
  <c r="Z1801" i="2"/>
  <c r="Z1817" i="2"/>
  <c r="Z1833" i="2"/>
  <c r="Z1849" i="2"/>
  <c r="Z1865" i="2"/>
  <c r="Z1881" i="2"/>
  <c r="Z1897" i="2"/>
  <c r="Z799" i="2"/>
  <c r="V1907" i="2"/>
  <c r="V1875" i="2"/>
  <c r="V1843" i="2"/>
  <c r="V1803" i="2"/>
  <c r="V1755" i="2"/>
  <c r="V1715" i="2"/>
  <c r="V1675" i="2"/>
  <c r="V1627" i="2"/>
  <c r="V1587" i="2"/>
  <c r="V1547" i="2"/>
  <c r="V1499" i="2"/>
  <c r="V1459" i="2"/>
  <c r="V1419" i="2"/>
  <c r="V1371" i="2"/>
  <c r="V1331" i="2"/>
  <c r="V1291" i="2"/>
  <c r="V1243" i="2"/>
  <c r="V1203" i="2"/>
  <c r="V1163" i="2"/>
  <c r="V1115" i="2"/>
  <c r="V1075" i="2"/>
  <c r="V1035" i="2"/>
  <c r="V987" i="2"/>
  <c r="X122" i="2"/>
  <c r="X142" i="2"/>
  <c r="X166" i="2"/>
  <c r="X186" i="2"/>
  <c r="X206" i="2"/>
  <c r="X230" i="2"/>
  <c r="X250" i="2"/>
  <c r="X274" i="2"/>
  <c r="X306" i="2"/>
  <c r="X330" i="2"/>
  <c r="X358" i="2"/>
  <c r="X390" i="2"/>
  <c r="X418" i="2"/>
  <c r="X442" i="2"/>
  <c r="X474" i="2"/>
  <c r="X502" i="2"/>
  <c r="X530" i="2"/>
  <c r="X562" i="2"/>
  <c r="X586" i="2"/>
  <c r="X614" i="2"/>
  <c r="X646" i="2"/>
  <c r="X678" i="2"/>
  <c r="X710" i="2"/>
  <c r="X754" i="2"/>
  <c r="X790" i="2"/>
  <c r="X830" i="2"/>
  <c r="X870" i="2"/>
  <c r="X910" i="2"/>
  <c r="X962" i="2"/>
  <c r="X1014" i="2"/>
  <c r="X1084" i="2"/>
  <c r="X1140" i="2"/>
  <c r="X1212" i="2"/>
  <c r="X1292" i="2"/>
  <c r="X1404" i="2"/>
  <c r="X1540" i="2"/>
  <c r="X1796" i="2"/>
  <c r="V1703" i="2"/>
  <c r="M40" i="5"/>
  <c r="V1827" i="2"/>
  <c r="V1795" i="2"/>
  <c r="V1763" i="2"/>
  <c r="V1731" i="2"/>
  <c r="V1699" i="2"/>
  <c r="V1667" i="2"/>
  <c r="V1635" i="2"/>
  <c r="V1603" i="2"/>
  <c r="V1571" i="2"/>
  <c r="V1539" i="2"/>
  <c r="V1507" i="2"/>
  <c r="V1475" i="2"/>
  <c r="V1443" i="2"/>
  <c r="V1411" i="2"/>
  <c r="V1379" i="2"/>
  <c r="V1347" i="2"/>
  <c r="V1315" i="2"/>
  <c r="V1283" i="2"/>
  <c r="V1251" i="2"/>
  <c r="V1219" i="2"/>
  <c r="V1187" i="2"/>
  <c r="V1155" i="2"/>
  <c r="V1123" i="2"/>
  <c r="V1091" i="2"/>
  <c r="V1059" i="2"/>
  <c r="V1027" i="2"/>
  <c r="V995" i="2"/>
  <c r="X114" i="2"/>
  <c r="X130" i="2"/>
  <c r="X146" i="2"/>
  <c r="X162" i="2"/>
  <c r="X178" i="2"/>
  <c r="X194" i="2"/>
  <c r="X210" i="2"/>
  <c r="X226" i="2"/>
  <c r="X242" i="2"/>
  <c r="X258" i="2"/>
  <c r="X278" i="2"/>
  <c r="X298" i="2"/>
  <c r="X322" i="2"/>
  <c r="X342" i="2"/>
  <c r="X362" i="2"/>
  <c r="X386" i="2"/>
  <c r="X406" i="2"/>
  <c r="X426" i="2"/>
  <c r="X450" i="2"/>
  <c r="X470" i="2"/>
  <c r="X490" i="2"/>
  <c r="X514" i="2"/>
  <c r="X534" i="2"/>
  <c r="X554" i="2"/>
  <c r="X578" i="2"/>
  <c r="X598" i="2"/>
  <c r="X618" i="2"/>
  <c r="X642" i="2"/>
  <c r="X662" i="2"/>
  <c r="X690" i="2"/>
  <c r="X722" i="2"/>
  <c r="X750" i="2"/>
  <c r="X774" i="2"/>
  <c r="X806" i="2"/>
  <c r="X834" i="2"/>
  <c r="X862" i="2"/>
  <c r="X898" i="2"/>
  <c r="X930" i="2"/>
  <c r="X966" i="2"/>
  <c r="X1010" i="2"/>
  <c r="X1052" i="2"/>
  <c r="X1096" i="2"/>
  <c r="X1156" i="2"/>
  <c r="X1204" i="2"/>
  <c r="X1256" i="2"/>
  <c r="X1340" i="2"/>
  <c r="X1428" i="2"/>
  <c r="X1496" i="2"/>
  <c r="X1604" i="2"/>
  <c r="X1755" i="2"/>
  <c r="V1831" i="2"/>
  <c r="V1799" i="2"/>
  <c r="V1767" i="2"/>
  <c r="V1735" i="2"/>
  <c r="V1671" i="2"/>
  <c r="V1639" i="2"/>
  <c r="V1607" i="2"/>
  <c r="V1575" i="2"/>
  <c r="V1543" i="2"/>
  <c r="V1511" i="2"/>
  <c r="V1479" i="2"/>
  <c r="V1447" i="2"/>
  <c r="V1415" i="2"/>
  <c r="V1383" i="2"/>
  <c r="V1351" i="2"/>
  <c r="V1319" i="2"/>
  <c r="V1287" i="2"/>
  <c r="V1255" i="2"/>
  <c r="V1223" i="2"/>
  <c r="V1191" i="2"/>
  <c r="V1159" i="2"/>
  <c r="V1127" i="2"/>
  <c r="V1095" i="2"/>
  <c r="V1063" i="2"/>
  <c r="V1031" i="2"/>
  <c r="V999" i="2"/>
  <c r="X128" i="2"/>
  <c r="X144" i="2"/>
  <c r="X160" i="2"/>
  <c r="X176" i="2"/>
  <c r="X192" i="2"/>
  <c r="X208" i="2"/>
  <c r="X224" i="2"/>
  <c r="X240" i="2"/>
  <c r="X256" i="2"/>
  <c r="X276" i="2"/>
  <c r="X296" i="2"/>
  <c r="X320" i="2"/>
  <c r="X340" i="2"/>
  <c r="X360" i="2"/>
  <c r="X384" i="2"/>
  <c r="X404" i="2"/>
  <c r="X424" i="2"/>
  <c r="X448" i="2"/>
  <c r="X468" i="2"/>
  <c r="X488" i="2"/>
  <c r="X512" i="2"/>
  <c r="X532" i="2"/>
  <c r="X552" i="2"/>
  <c r="X576" i="2"/>
  <c r="X596" i="2"/>
  <c r="X616" i="2"/>
  <c r="X640" i="2"/>
  <c r="X660" i="2"/>
  <c r="X688" i="2"/>
  <c r="X720" i="2"/>
  <c r="X748" i="2"/>
  <c r="X772" i="2"/>
  <c r="X804" i="2"/>
  <c r="X832" i="2"/>
  <c r="X860" i="2"/>
  <c r="X892" i="2"/>
  <c r="X928" i="2"/>
  <c r="X964" i="2"/>
  <c r="X1008" i="2"/>
  <c r="X1046" i="2"/>
  <c r="X1094" i="2"/>
  <c r="X1150" i="2"/>
  <c r="X1198" i="2"/>
  <c r="X1242" i="2"/>
  <c r="X1338" i="2"/>
  <c r="X1426" i="2"/>
  <c r="X1494" i="2"/>
  <c r="X1602" i="2"/>
  <c r="X1891" i="2"/>
  <c r="X270" i="2"/>
  <c r="X286" i="2"/>
  <c r="X302" i="2"/>
  <c r="X318" i="2"/>
  <c r="X334" i="2"/>
  <c r="X350" i="2"/>
  <c r="X366" i="2"/>
  <c r="X382" i="2"/>
  <c r="X398" i="2"/>
  <c r="X414" i="2"/>
  <c r="X430" i="2"/>
  <c r="X446" i="2"/>
  <c r="X462" i="2"/>
  <c r="X478" i="2"/>
  <c r="X494" i="2"/>
  <c r="X510" i="2"/>
  <c r="X526" i="2"/>
  <c r="X542" i="2"/>
  <c r="X558" i="2"/>
  <c r="X574" i="2"/>
  <c r="X590" i="2"/>
  <c r="X606" i="2"/>
  <c r="X622" i="2"/>
  <c r="X638" i="2"/>
  <c r="X654" i="2"/>
  <c r="X674" i="2"/>
  <c r="X694" i="2"/>
  <c r="X718" i="2"/>
  <c r="X738" i="2"/>
  <c r="X758" i="2"/>
  <c r="X782" i="2"/>
  <c r="X802" i="2"/>
  <c r="X822" i="2"/>
  <c r="X846" i="2"/>
  <c r="X866" i="2"/>
  <c r="X886" i="2"/>
  <c r="X918" i="2"/>
  <c r="X946" i="2"/>
  <c r="X974" i="2"/>
  <c r="X1006" i="2"/>
  <c r="X1032" i="2"/>
  <c r="X1068" i="2"/>
  <c r="X1112" i="2"/>
  <c r="X1148" i="2"/>
  <c r="X1180" i="2"/>
  <c r="X1224" i="2"/>
  <c r="X1260" i="2"/>
  <c r="X1324" i="2"/>
  <c r="X1384" i="2"/>
  <c r="X1452" i="2"/>
  <c r="X1528" i="2"/>
  <c r="X1596" i="2"/>
  <c r="X1672" i="2"/>
  <c r="X1768" i="2"/>
  <c r="X1860" i="2"/>
  <c r="X1711" i="2"/>
  <c r="X268" i="2"/>
  <c r="X284" i="2"/>
  <c r="X300" i="2"/>
  <c r="X316" i="2"/>
  <c r="X332" i="2"/>
  <c r="X348" i="2"/>
  <c r="X364" i="2"/>
  <c r="X380" i="2"/>
  <c r="X396" i="2"/>
  <c r="X412" i="2"/>
  <c r="X428" i="2"/>
  <c r="X444" i="2"/>
  <c r="X460" i="2"/>
  <c r="X476" i="2"/>
  <c r="X492" i="2"/>
  <c r="X508" i="2"/>
  <c r="X524" i="2"/>
  <c r="X540" i="2"/>
  <c r="X556" i="2"/>
  <c r="X572" i="2"/>
  <c r="X588" i="2"/>
  <c r="X604" i="2"/>
  <c r="X620" i="2"/>
  <c r="X636" i="2"/>
  <c r="X652" i="2"/>
  <c r="X672" i="2"/>
  <c r="X692" i="2"/>
  <c r="X716" i="2"/>
  <c r="X736" i="2"/>
  <c r="X756" i="2"/>
  <c r="X780" i="2"/>
  <c r="X800" i="2"/>
  <c r="X820" i="2"/>
  <c r="X844" i="2"/>
  <c r="X864" i="2"/>
  <c r="X884" i="2"/>
  <c r="X912" i="2"/>
  <c r="X944" i="2"/>
  <c r="X972" i="2"/>
  <c r="X996" i="2"/>
  <c r="X1030" i="2"/>
  <c r="X1066" i="2"/>
  <c r="X1102" i="2"/>
  <c r="X1146" i="2"/>
  <c r="X1178" i="2"/>
  <c r="X1214" i="2"/>
  <c r="X1258" i="2"/>
  <c r="X1318" i="2"/>
  <c r="X1382" i="2"/>
  <c r="X1450" i="2"/>
  <c r="X1522" i="2"/>
  <c r="X1578" i="2"/>
  <c r="X1666" i="2"/>
  <c r="X1766" i="2"/>
  <c r="X1858" i="2"/>
  <c r="X1693" i="2"/>
  <c r="X1652" i="2"/>
  <c r="X1748" i="2"/>
  <c r="X1844" i="2"/>
  <c r="X1659" i="2"/>
  <c r="X1845" i="2"/>
  <c r="X1650" i="2"/>
  <c r="X1722" i="2"/>
  <c r="X1830" i="2"/>
  <c r="X1657" i="2"/>
  <c r="X1827" i="2"/>
  <c r="X1644" i="2"/>
  <c r="X1716" i="2"/>
  <c r="X1800" i="2"/>
  <c r="X1908" i="2"/>
  <c r="X1797" i="2"/>
  <c r="X1626" i="2"/>
  <c r="X1714" i="2"/>
  <c r="X1798" i="2"/>
  <c r="X1906" i="2"/>
  <c r="X1773" i="2"/>
  <c r="X1316" i="2"/>
  <c r="X1368" i="2"/>
  <c r="X1412" i="2"/>
  <c r="X1464" i="2"/>
  <c r="X1516" i="2"/>
  <c r="X1572" i="2"/>
  <c r="X1620" i="2"/>
  <c r="X1688" i="2"/>
  <c r="X1756" i="2"/>
  <c r="X1820" i="2"/>
  <c r="X1900" i="2"/>
  <c r="X1739" i="2"/>
  <c r="X1877" i="2"/>
  <c r="X1897" i="2"/>
  <c r="X1306" i="2"/>
  <c r="X1350" i="2"/>
  <c r="X1410" i="2"/>
  <c r="X1458" i="2"/>
  <c r="X1510" i="2"/>
  <c r="X1562" i="2"/>
  <c r="X1606" i="2"/>
  <c r="X1682" i="2"/>
  <c r="X1750" i="2"/>
  <c r="X1818" i="2"/>
  <c r="X1878" i="2"/>
  <c r="X1715" i="2"/>
  <c r="X1869" i="2"/>
  <c r="V892" i="2"/>
  <c r="X896" i="2"/>
  <c r="X916" i="2"/>
  <c r="X940" i="2"/>
  <c r="X960" i="2"/>
  <c r="X980" i="2"/>
  <c r="X1004" i="2"/>
  <c r="X1026" i="2"/>
  <c r="X1050" i="2"/>
  <c r="X1082" i="2"/>
  <c r="X1110" i="2"/>
  <c r="X1134" i="2"/>
  <c r="X1166" i="2"/>
  <c r="X1194" i="2"/>
  <c r="X1222" i="2"/>
  <c r="X1254" i="2"/>
  <c r="X1286" i="2"/>
  <c r="X1322" i="2"/>
  <c r="X1366" i="2"/>
  <c r="X1402" i="2"/>
  <c r="X1434" i="2"/>
  <c r="X1478" i="2"/>
  <c r="X1514" i="2"/>
  <c r="X1554" i="2"/>
  <c r="X1594" i="2"/>
  <c r="X1638" i="2"/>
  <c r="X1686" i="2"/>
  <c r="X1746" i="2"/>
  <c r="X1794" i="2"/>
  <c r="X1834" i="2"/>
  <c r="X1894" i="2"/>
  <c r="X1699" i="2"/>
  <c r="X1785" i="2"/>
  <c r="X894" i="2"/>
  <c r="X914" i="2"/>
  <c r="X934" i="2"/>
  <c r="X958" i="2"/>
  <c r="X978" i="2"/>
  <c r="X998" i="2"/>
  <c r="X1022" i="2"/>
  <c r="X1048" i="2"/>
  <c r="X1076" i="2"/>
  <c r="X1108" i="2"/>
  <c r="X1132" i="2"/>
  <c r="X1160" i="2"/>
  <c r="X1192" i="2"/>
  <c r="X1220" i="2"/>
  <c r="X1244" i="2"/>
  <c r="X1284" i="2"/>
  <c r="X1320" i="2"/>
  <c r="X1356" i="2"/>
  <c r="X1400" i="2"/>
  <c r="X1432" i="2"/>
  <c r="X1468" i="2"/>
  <c r="X1512" i="2"/>
  <c r="X1548" i="2"/>
  <c r="X1580" i="2"/>
  <c r="X1628" i="2"/>
  <c r="X1684" i="2"/>
  <c r="X1732" i="2"/>
  <c r="X1788" i="2"/>
  <c r="X1832" i="2"/>
  <c r="X1880" i="2"/>
  <c r="X1695" i="2"/>
  <c r="X1781" i="2"/>
  <c r="X1893" i="2"/>
  <c r="X666" i="2"/>
  <c r="X682" i="2"/>
  <c r="X698" i="2"/>
  <c r="X714" i="2"/>
  <c r="X730" i="2"/>
  <c r="X746" i="2"/>
  <c r="X762" i="2"/>
  <c r="X778" i="2"/>
  <c r="X794" i="2"/>
  <c r="X810" i="2"/>
  <c r="X826" i="2"/>
  <c r="X842" i="2"/>
  <c r="X858" i="2"/>
  <c r="X874" i="2"/>
  <c r="X890" i="2"/>
  <c r="X906" i="2"/>
  <c r="X922" i="2"/>
  <c r="X938" i="2"/>
  <c r="X954" i="2"/>
  <c r="X970" i="2"/>
  <c r="X986" i="2"/>
  <c r="X1002" i="2"/>
  <c r="X1018" i="2"/>
  <c r="X1036" i="2"/>
  <c r="X1060" i="2"/>
  <c r="X1080" i="2"/>
  <c r="X1100" i="2"/>
  <c r="X1124" i="2"/>
  <c r="X1144" i="2"/>
  <c r="X1164" i="2"/>
  <c r="X1188" i="2"/>
  <c r="X1208" i="2"/>
  <c r="X1228" i="2"/>
  <c r="X1252" i="2"/>
  <c r="X1276" i="2"/>
  <c r="X1304" i="2"/>
  <c r="X1336" i="2"/>
  <c r="X1364" i="2"/>
  <c r="X1388" i="2"/>
  <c r="X1420" i="2"/>
  <c r="X1448" i="2"/>
  <c r="X1476" i="2"/>
  <c r="X1508" i="2"/>
  <c r="X1532" i="2"/>
  <c r="X1560" i="2"/>
  <c r="X1592" i="2"/>
  <c r="X1624" i="2"/>
  <c r="X1660" i="2"/>
  <c r="X1704" i="2"/>
  <c r="X1736" i="2"/>
  <c r="X1772" i="2"/>
  <c r="X1816" i="2"/>
  <c r="X1852" i="2"/>
  <c r="X1884" i="2"/>
  <c r="X1679" i="2"/>
  <c r="X1743" i="2"/>
  <c r="X1813" i="2"/>
  <c r="X664" i="2"/>
  <c r="X680" i="2"/>
  <c r="X696" i="2"/>
  <c r="X712" i="2"/>
  <c r="X728" i="2"/>
  <c r="X744" i="2"/>
  <c r="X760" i="2"/>
  <c r="X776" i="2"/>
  <c r="X792" i="2"/>
  <c r="X808" i="2"/>
  <c r="X824" i="2"/>
  <c r="X840" i="2"/>
  <c r="X856" i="2"/>
  <c r="X872" i="2"/>
  <c r="X888" i="2"/>
  <c r="X904" i="2"/>
  <c r="X920" i="2"/>
  <c r="X936" i="2"/>
  <c r="X952" i="2"/>
  <c r="X968" i="2"/>
  <c r="X984" i="2"/>
  <c r="X1000" i="2"/>
  <c r="X1016" i="2"/>
  <c r="X1034" i="2"/>
  <c r="X1054" i="2"/>
  <c r="X1078" i="2"/>
  <c r="X1098" i="2"/>
  <c r="X1118" i="2"/>
  <c r="X1142" i="2"/>
  <c r="X1162" i="2"/>
  <c r="X1182" i="2"/>
  <c r="X1206" i="2"/>
  <c r="X1226" i="2"/>
  <c r="X1246" i="2"/>
  <c r="X1274" i="2"/>
  <c r="X1302" i="2"/>
  <c r="X1330" i="2"/>
  <c r="X1362" i="2"/>
  <c r="X1386" i="2"/>
  <c r="X1414" i="2"/>
  <c r="X1446" i="2"/>
  <c r="X1474" i="2"/>
  <c r="X1498" i="2"/>
  <c r="X1530" i="2"/>
  <c r="X1558" i="2"/>
  <c r="X1586" i="2"/>
  <c r="X1622" i="2"/>
  <c r="X1658" i="2"/>
  <c r="X1690" i="2"/>
  <c r="X1734" i="2"/>
  <c r="X1770" i="2"/>
  <c r="X1810" i="2"/>
  <c r="X1850" i="2"/>
  <c r="X1882" i="2"/>
  <c r="X1667" i="2"/>
  <c r="X1741" i="2"/>
  <c r="X1811" i="2"/>
  <c r="X1901" i="2"/>
  <c r="X1042" i="2"/>
  <c r="X1058" i="2"/>
  <c r="X1074" i="2"/>
  <c r="X1090" i="2"/>
  <c r="X1106" i="2"/>
  <c r="X1122" i="2"/>
  <c r="X1138" i="2"/>
  <c r="X1154" i="2"/>
  <c r="X1170" i="2"/>
  <c r="X1186" i="2"/>
  <c r="X1202" i="2"/>
  <c r="X1218" i="2"/>
  <c r="X1234" i="2"/>
  <c r="X1250" i="2"/>
  <c r="X1270" i="2"/>
  <c r="X1290" i="2"/>
  <c r="X1314" i="2"/>
  <c r="X1334" i="2"/>
  <c r="X1354" i="2"/>
  <c r="X1378" i="2"/>
  <c r="X1398" i="2"/>
  <c r="X1418" i="2"/>
  <c r="X1442" i="2"/>
  <c r="X1462" i="2"/>
  <c r="X1482" i="2"/>
  <c r="X1506" i="2"/>
  <c r="X1526" i="2"/>
  <c r="X1546" i="2"/>
  <c r="X1570" i="2"/>
  <c r="X1590" i="2"/>
  <c r="X1618" i="2"/>
  <c r="X1642" i="2"/>
  <c r="X1670" i="2"/>
  <c r="X1702" i="2"/>
  <c r="X1730" i="2"/>
  <c r="X1754" i="2"/>
  <c r="X1786" i="2"/>
  <c r="X1814" i="2"/>
  <c r="X1842" i="2"/>
  <c r="X1874" i="2"/>
  <c r="X1898" i="2"/>
  <c r="X1673" i="2"/>
  <c r="X1731" i="2"/>
  <c r="X1779" i="2"/>
  <c r="X1843" i="2"/>
  <c r="X1024" i="2"/>
  <c r="X1040" i="2"/>
  <c r="X1056" i="2"/>
  <c r="X1072" i="2"/>
  <c r="X1088" i="2"/>
  <c r="X1104" i="2"/>
  <c r="X1120" i="2"/>
  <c r="X1136" i="2"/>
  <c r="X1152" i="2"/>
  <c r="X1168" i="2"/>
  <c r="X1184" i="2"/>
  <c r="X1200" i="2"/>
  <c r="X1216" i="2"/>
  <c r="X1232" i="2"/>
  <c r="X1248" i="2"/>
  <c r="X1268" i="2"/>
  <c r="X1288" i="2"/>
  <c r="X1308" i="2"/>
  <c r="X1332" i="2"/>
  <c r="X1352" i="2"/>
  <c r="X1372" i="2"/>
  <c r="X1396" i="2"/>
  <c r="X1416" i="2"/>
  <c r="X1436" i="2"/>
  <c r="X1460" i="2"/>
  <c r="X1480" i="2"/>
  <c r="X1500" i="2"/>
  <c r="X1524" i="2"/>
  <c r="X1544" i="2"/>
  <c r="X1564" i="2"/>
  <c r="X1588" i="2"/>
  <c r="X1608" i="2"/>
  <c r="X1640" i="2"/>
  <c r="X1668" i="2"/>
  <c r="X1692" i="2"/>
  <c r="X1724" i="2"/>
  <c r="X1752" i="2"/>
  <c r="X1780" i="2"/>
  <c r="X1812" i="2"/>
  <c r="X1836" i="2"/>
  <c r="X1864" i="2"/>
  <c r="X1896" i="2"/>
  <c r="X1669" i="2"/>
  <c r="X1717" i="2"/>
  <c r="X1775" i="2"/>
  <c r="X1839" i="2"/>
  <c r="X1903" i="2"/>
  <c r="X1612" i="2"/>
  <c r="X1636" i="2"/>
  <c r="X1656" i="2"/>
  <c r="X1676" i="2"/>
  <c r="X1700" i="2"/>
  <c r="X1720" i="2"/>
  <c r="X1740" i="2"/>
  <c r="X1764" i="2"/>
  <c r="X1784" i="2"/>
  <c r="X1804" i="2"/>
  <c r="X1828" i="2"/>
  <c r="X1848" i="2"/>
  <c r="X1868" i="2"/>
  <c r="X1892" i="2"/>
  <c r="X1912" i="2"/>
  <c r="X1691" i="2"/>
  <c r="X1723" i="2"/>
  <c r="X1765" i="2"/>
  <c r="X1807" i="2"/>
  <c r="X1861" i="2"/>
  <c r="X1610" i="2"/>
  <c r="X1634" i="2"/>
  <c r="X1654" i="2"/>
  <c r="X1674" i="2"/>
  <c r="X1698" i="2"/>
  <c r="X1718" i="2"/>
  <c r="X1738" i="2"/>
  <c r="X1762" i="2"/>
  <c r="X1782" i="2"/>
  <c r="X1802" i="2"/>
  <c r="X1826" i="2"/>
  <c r="X1846" i="2"/>
  <c r="X1866" i="2"/>
  <c r="X1890" i="2"/>
  <c r="X1910" i="2"/>
  <c r="X1689" i="2"/>
  <c r="X1721" i="2"/>
  <c r="X1757" i="2"/>
  <c r="X1805" i="2"/>
  <c r="X1859" i="2"/>
  <c r="X1907" i="2"/>
  <c r="X1677" i="2"/>
  <c r="X1709" i="2"/>
  <c r="X1737" i="2"/>
  <c r="X1763" i="2"/>
  <c r="X1795" i="2"/>
  <c r="X1837" i="2"/>
  <c r="X1875" i="2"/>
  <c r="X1675" i="2"/>
  <c r="X1701" i="2"/>
  <c r="X1733" i="2"/>
  <c r="X1759" i="2"/>
  <c r="X1787" i="2"/>
  <c r="X1829" i="2"/>
  <c r="X1871" i="2"/>
  <c r="X1909" i="2"/>
  <c r="V636" i="2"/>
  <c r="X1264" i="2"/>
  <c r="X1280" i="2"/>
  <c r="X1296" i="2"/>
  <c r="X1312" i="2"/>
  <c r="X1328" i="2"/>
  <c r="X1344" i="2"/>
  <c r="X1360" i="2"/>
  <c r="X1376" i="2"/>
  <c r="X1392" i="2"/>
  <c r="X1408" i="2"/>
  <c r="X1424" i="2"/>
  <c r="X1440" i="2"/>
  <c r="X1456" i="2"/>
  <c r="X1472" i="2"/>
  <c r="X1488" i="2"/>
  <c r="X1504" i="2"/>
  <c r="X1520" i="2"/>
  <c r="X1536" i="2"/>
  <c r="X1552" i="2"/>
  <c r="X1568" i="2"/>
  <c r="X1584" i="2"/>
  <c r="X1600" i="2"/>
  <c r="X1616" i="2"/>
  <c r="X1632" i="2"/>
  <c r="X1648" i="2"/>
  <c r="X1664" i="2"/>
  <c r="X1680" i="2"/>
  <c r="X1696" i="2"/>
  <c r="X1712" i="2"/>
  <c r="X1728" i="2"/>
  <c r="X1744" i="2"/>
  <c r="X1760" i="2"/>
  <c r="X1776" i="2"/>
  <c r="X1792" i="2"/>
  <c r="X1808" i="2"/>
  <c r="X1824" i="2"/>
  <c r="X1840" i="2"/>
  <c r="X1856" i="2"/>
  <c r="X1872" i="2"/>
  <c r="X1888" i="2"/>
  <c r="X1904" i="2"/>
  <c r="X1663" i="2"/>
  <c r="X1685" i="2"/>
  <c r="X1707" i="2"/>
  <c r="X1727" i="2"/>
  <c r="X1749" i="2"/>
  <c r="X1771" i="2"/>
  <c r="X1791" i="2"/>
  <c r="X1823" i="2"/>
  <c r="X1855" i="2"/>
  <c r="X1887" i="2"/>
  <c r="X1262" i="2"/>
  <c r="X1278" i="2"/>
  <c r="X1294" i="2"/>
  <c r="X1310" i="2"/>
  <c r="X1326" i="2"/>
  <c r="X1342" i="2"/>
  <c r="X1358" i="2"/>
  <c r="X1374" i="2"/>
  <c r="X1390" i="2"/>
  <c r="X1406" i="2"/>
  <c r="X1422" i="2"/>
  <c r="X1438" i="2"/>
  <c r="X1454" i="2"/>
  <c r="X1470" i="2"/>
  <c r="X1486" i="2"/>
  <c r="X1502" i="2"/>
  <c r="X1518" i="2"/>
  <c r="X1534" i="2"/>
  <c r="X1550" i="2"/>
  <c r="X1566" i="2"/>
  <c r="X1582" i="2"/>
  <c r="X1598" i="2"/>
  <c r="X1614" i="2"/>
  <c r="X1630" i="2"/>
  <c r="X1646" i="2"/>
  <c r="X1662" i="2"/>
  <c r="X1678" i="2"/>
  <c r="X1694" i="2"/>
  <c r="X1710" i="2"/>
  <c r="X1726" i="2"/>
  <c r="X1742" i="2"/>
  <c r="X1758" i="2"/>
  <c r="X1774" i="2"/>
  <c r="X1790" i="2"/>
  <c r="X1806" i="2"/>
  <c r="X1822" i="2"/>
  <c r="X1838" i="2"/>
  <c r="X1854" i="2"/>
  <c r="X1870" i="2"/>
  <c r="X1886" i="2"/>
  <c r="X1902" i="2"/>
  <c r="X1661" i="2"/>
  <c r="X1683" i="2"/>
  <c r="X1705" i="2"/>
  <c r="X1725" i="2"/>
  <c r="X1747" i="2"/>
  <c r="X1769" i="2"/>
  <c r="X1789" i="2"/>
  <c r="X1821" i="2"/>
  <c r="X1853" i="2"/>
  <c r="X1885" i="2"/>
  <c r="X1655" i="2"/>
  <c r="X1671" i="2"/>
  <c r="X1687" i="2"/>
  <c r="X1703" i="2"/>
  <c r="X1719" i="2"/>
  <c r="X1735" i="2"/>
  <c r="X1751" i="2"/>
  <c r="X1767" i="2"/>
  <c r="X1783" i="2"/>
  <c r="X1799" i="2"/>
  <c r="X1815" i="2"/>
  <c r="X1831" i="2"/>
  <c r="X1847" i="2"/>
  <c r="X1863" i="2"/>
  <c r="X1879" i="2"/>
  <c r="X1895" i="2"/>
  <c r="X1911" i="2"/>
  <c r="X1665" i="2"/>
  <c r="X1681" i="2"/>
  <c r="X1697" i="2"/>
  <c r="X1713" i="2"/>
  <c r="X1729" i="2"/>
  <c r="X1745" i="2"/>
  <c r="X1761" i="2"/>
  <c r="X1777" i="2"/>
  <c r="X1793" i="2"/>
  <c r="X1809" i="2"/>
  <c r="X1825" i="2"/>
  <c r="X1841" i="2"/>
  <c r="X1857" i="2"/>
  <c r="X1873" i="2"/>
  <c r="X1889" i="2"/>
  <c r="X1905" i="2"/>
  <c r="X1803" i="2"/>
  <c r="X1819" i="2"/>
  <c r="X1835" i="2"/>
  <c r="X1851" i="2"/>
  <c r="X1867" i="2"/>
  <c r="X1883" i="2"/>
  <c r="X1899" i="2"/>
  <c r="V508" i="2"/>
  <c r="X1801" i="2"/>
  <c r="X1817" i="2"/>
  <c r="X1833" i="2"/>
  <c r="X1849" i="2"/>
  <c r="X1865" i="2"/>
  <c r="X1881" i="2"/>
  <c r="V124" i="2"/>
  <c r="V252" i="2"/>
  <c r="V764" i="2"/>
  <c r="V1020" i="2"/>
  <c r="V380" i="2"/>
  <c r="V1242" i="2"/>
  <c r="V220" i="2"/>
  <c r="V348" i="2"/>
  <c r="V476" i="2"/>
  <c r="V604" i="2"/>
  <c r="V732" i="2"/>
  <c r="V860" i="2"/>
  <c r="V988" i="2"/>
  <c r="V1140" i="2"/>
  <c r="V188" i="2"/>
  <c r="V316" i="2"/>
  <c r="V444" i="2"/>
  <c r="V572" i="2"/>
  <c r="V700" i="2"/>
  <c r="V828" i="2"/>
  <c r="V956" i="2"/>
  <c r="V1084" i="2"/>
  <c r="V156" i="2"/>
  <c r="V284" i="2"/>
  <c r="V412" i="2"/>
  <c r="V540" i="2"/>
  <c r="V668" i="2"/>
  <c r="V796" i="2"/>
  <c r="V924" i="2"/>
  <c r="V1052" i="2"/>
  <c r="V116" i="2"/>
  <c r="V148" i="2"/>
  <c r="V180" i="2"/>
  <c r="V212" i="2"/>
  <c r="V244" i="2"/>
  <c r="V276" i="2"/>
  <c r="V308" i="2"/>
  <c r="V340" i="2"/>
  <c r="V372" i="2"/>
  <c r="V404" i="2"/>
  <c r="V436" i="2"/>
  <c r="V468" i="2"/>
  <c r="V500" i="2"/>
  <c r="V532" i="2"/>
  <c r="V564" i="2"/>
  <c r="V596" i="2"/>
  <c r="V628" i="2"/>
  <c r="V660" i="2"/>
  <c r="V692" i="2"/>
  <c r="V724" i="2"/>
  <c r="V756" i="2"/>
  <c r="V788" i="2"/>
  <c r="V820" i="2"/>
  <c r="V852" i="2"/>
  <c r="V884" i="2"/>
  <c r="V916" i="2"/>
  <c r="V948" i="2"/>
  <c r="V980" i="2"/>
  <c r="V1012" i="2"/>
  <c r="V1044" i="2"/>
  <c r="V1076" i="2"/>
  <c r="V1124" i="2"/>
  <c r="V1226" i="2"/>
  <c r="V140" i="2"/>
  <c r="V172" i="2"/>
  <c r="V204" i="2"/>
  <c r="V236" i="2"/>
  <c r="V268" i="2"/>
  <c r="V300" i="2"/>
  <c r="V332" i="2"/>
  <c r="V364" i="2"/>
  <c r="V396" i="2"/>
  <c r="V428" i="2"/>
  <c r="V460" i="2"/>
  <c r="V492" i="2"/>
  <c r="V524" i="2"/>
  <c r="V556" i="2"/>
  <c r="V588" i="2"/>
  <c r="V620" i="2"/>
  <c r="V652" i="2"/>
  <c r="V684" i="2"/>
  <c r="V716" i="2"/>
  <c r="V748" i="2"/>
  <c r="V780" i="2"/>
  <c r="V812" i="2"/>
  <c r="V844" i="2"/>
  <c r="V876" i="2"/>
  <c r="V908" i="2"/>
  <c r="V940" i="2"/>
  <c r="V972" i="2"/>
  <c r="V1004" i="2"/>
  <c r="V1036" i="2"/>
  <c r="V1068" i="2"/>
  <c r="V1108" i="2"/>
  <c r="V1184" i="2"/>
  <c r="V132" i="2"/>
  <c r="V164" i="2"/>
  <c r="V196" i="2"/>
  <c r="V228" i="2"/>
  <c r="V260" i="2"/>
  <c r="V292" i="2"/>
  <c r="V324" i="2"/>
  <c r="V356" i="2"/>
  <c r="V388" i="2"/>
  <c r="V420" i="2"/>
  <c r="V452" i="2"/>
  <c r="V484" i="2"/>
  <c r="V516" i="2"/>
  <c r="V548" i="2"/>
  <c r="V580" i="2"/>
  <c r="V612" i="2"/>
  <c r="V644" i="2"/>
  <c r="V676" i="2"/>
  <c r="V708" i="2"/>
  <c r="V740" i="2"/>
  <c r="V772" i="2"/>
  <c r="V804" i="2"/>
  <c r="V836" i="2"/>
  <c r="V868" i="2"/>
  <c r="V900" i="2"/>
  <c r="V932" i="2"/>
  <c r="V964" i="2"/>
  <c r="V996" i="2"/>
  <c r="V1028" i="2"/>
  <c r="V1060" i="2"/>
  <c r="V1092" i="2"/>
  <c r="V1158" i="2"/>
  <c r="V114" i="2"/>
  <c r="V122" i="2"/>
  <c r="V130" i="2"/>
  <c r="V138" i="2"/>
  <c r="V146" i="2"/>
  <c r="V154" i="2"/>
  <c r="V162" i="2"/>
  <c r="V170" i="2"/>
  <c r="V178" i="2"/>
  <c r="V186" i="2"/>
  <c r="V194" i="2"/>
  <c r="V202" i="2"/>
  <c r="V210" i="2"/>
  <c r="V218" i="2"/>
  <c r="V226" i="2"/>
  <c r="V234" i="2"/>
  <c r="V242" i="2"/>
  <c r="V250" i="2"/>
  <c r="V258" i="2"/>
  <c r="V266" i="2"/>
  <c r="V274" i="2"/>
  <c r="V282" i="2"/>
  <c r="V290" i="2"/>
  <c r="V298" i="2"/>
  <c r="V306" i="2"/>
  <c r="V314" i="2"/>
  <c r="V322" i="2"/>
  <c r="V330" i="2"/>
  <c r="V338" i="2"/>
  <c r="V346" i="2"/>
  <c r="V354" i="2"/>
  <c r="V362" i="2"/>
  <c r="V370" i="2"/>
  <c r="V378" i="2"/>
  <c r="V386" i="2"/>
  <c r="V394" i="2"/>
  <c r="V402" i="2"/>
  <c r="V410" i="2"/>
  <c r="V418" i="2"/>
  <c r="V426" i="2"/>
  <c r="V434" i="2"/>
  <c r="V442" i="2"/>
  <c r="V450" i="2"/>
  <c r="V458" i="2"/>
  <c r="V466" i="2"/>
  <c r="V474" i="2"/>
  <c r="V482" i="2"/>
  <c r="V490" i="2"/>
  <c r="V498" i="2"/>
  <c r="V506" i="2"/>
  <c r="V514" i="2"/>
  <c r="V522" i="2"/>
  <c r="V530" i="2"/>
  <c r="V538" i="2"/>
  <c r="V546" i="2"/>
  <c r="V554" i="2"/>
  <c r="V562" i="2"/>
  <c r="V570" i="2"/>
  <c r="V578" i="2"/>
  <c r="V586" i="2"/>
  <c r="V594" i="2"/>
  <c r="V602" i="2"/>
  <c r="V610" i="2"/>
  <c r="V618" i="2"/>
  <c r="V626" i="2"/>
  <c r="V634" i="2"/>
  <c r="V642" i="2"/>
  <c r="V650" i="2"/>
  <c r="V658" i="2"/>
  <c r="V666" i="2"/>
  <c r="V674" i="2"/>
  <c r="V682" i="2"/>
  <c r="V690" i="2"/>
  <c r="V698" i="2"/>
  <c r="V706" i="2"/>
  <c r="V714" i="2"/>
  <c r="V722" i="2"/>
  <c r="V730" i="2"/>
  <c r="V738" i="2"/>
  <c r="V746" i="2"/>
  <c r="V754" i="2"/>
  <c r="V762" i="2"/>
  <c r="V770" i="2"/>
  <c r="V778" i="2"/>
  <c r="V786" i="2"/>
  <c r="V794" i="2"/>
  <c r="V802" i="2"/>
  <c r="V810" i="2"/>
  <c r="V818" i="2"/>
  <c r="V826" i="2"/>
  <c r="V834" i="2"/>
  <c r="V842" i="2"/>
  <c r="V850" i="2"/>
  <c r="V858" i="2"/>
  <c r="V866" i="2"/>
  <c r="V874" i="2"/>
  <c r="V882" i="2"/>
  <c r="V890" i="2"/>
  <c r="V898" i="2"/>
  <c r="V906" i="2"/>
  <c r="V914" i="2"/>
  <c r="V922" i="2"/>
  <c r="V930" i="2"/>
  <c r="V938" i="2"/>
  <c r="V946" i="2"/>
  <c r="V954" i="2"/>
  <c r="V962" i="2"/>
  <c r="V970" i="2"/>
  <c r="V978" i="2"/>
  <c r="V986" i="2"/>
  <c r="V994" i="2"/>
  <c r="V1002" i="2"/>
  <c r="V1010" i="2"/>
  <c r="V1018" i="2"/>
  <c r="V1026" i="2"/>
  <c r="V1034" i="2"/>
  <c r="V1042" i="2"/>
  <c r="V1050" i="2"/>
  <c r="V1058" i="2"/>
  <c r="V1066" i="2"/>
  <c r="V1074" i="2"/>
  <c r="V1082" i="2"/>
  <c r="V1090" i="2"/>
  <c r="V1102" i="2"/>
  <c r="V1118" i="2"/>
  <c r="V1134" i="2"/>
  <c r="V1150" i="2"/>
  <c r="V1174" i="2"/>
  <c r="V1214" i="2"/>
  <c r="V1342" i="2"/>
  <c r="V120" i="2"/>
  <c r="V128" i="2"/>
  <c r="V136" i="2"/>
  <c r="V144" i="2"/>
  <c r="V152" i="2"/>
  <c r="V160" i="2"/>
  <c r="V168" i="2"/>
  <c r="V176" i="2"/>
  <c r="V184" i="2"/>
  <c r="V192" i="2"/>
  <c r="V200" i="2"/>
  <c r="V208" i="2"/>
  <c r="V216" i="2"/>
  <c r="V224" i="2"/>
  <c r="V232" i="2"/>
  <c r="V240" i="2"/>
  <c r="V248" i="2"/>
  <c r="V256" i="2"/>
  <c r="V264" i="2"/>
  <c r="V272" i="2"/>
  <c r="V280" i="2"/>
  <c r="V288" i="2"/>
  <c r="V296" i="2"/>
  <c r="V304" i="2"/>
  <c r="V312" i="2"/>
  <c r="V320" i="2"/>
  <c r="V328" i="2"/>
  <c r="V336" i="2"/>
  <c r="V344" i="2"/>
  <c r="V352" i="2"/>
  <c r="V360" i="2"/>
  <c r="V368" i="2"/>
  <c r="V376" i="2"/>
  <c r="V384" i="2"/>
  <c r="V392" i="2"/>
  <c r="V400" i="2"/>
  <c r="V408" i="2"/>
  <c r="V416" i="2"/>
  <c r="V424" i="2"/>
  <c r="V432" i="2"/>
  <c r="V440" i="2"/>
  <c r="V448" i="2"/>
  <c r="V456" i="2"/>
  <c r="V464" i="2"/>
  <c r="V472" i="2"/>
  <c r="V480" i="2"/>
  <c r="V488" i="2"/>
  <c r="V496" i="2"/>
  <c r="V504" i="2"/>
  <c r="V512" i="2"/>
  <c r="V520" i="2"/>
  <c r="V528" i="2"/>
  <c r="V536" i="2"/>
  <c r="V544" i="2"/>
  <c r="V552" i="2"/>
  <c r="V560" i="2"/>
  <c r="V568" i="2"/>
  <c r="V576" i="2"/>
  <c r="V584" i="2"/>
  <c r="V592" i="2"/>
  <c r="V600" i="2"/>
  <c r="V608" i="2"/>
  <c r="V616" i="2"/>
  <c r="V624" i="2"/>
  <c r="V632" i="2"/>
  <c r="V640" i="2"/>
  <c r="V648" i="2"/>
  <c r="V656" i="2"/>
  <c r="V664" i="2"/>
  <c r="V672" i="2"/>
  <c r="V680" i="2"/>
  <c r="V688" i="2"/>
  <c r="V696" i="2"/>
  <c r="V704" i="2"/>
  <c r="V712" i="2"/>
  <c r="V720" i="2"/>
  <c r="V728" i="2"/>
  <c r="V736" i="2"/>
  <c r="V744" i="2"/>
  <c r="V752" i="2"/>
  <c r="V760" i="2"/>
  <c r="V768" i="2"/>
  <c r="V776" i="2"/>
  <c r="V784" i="2"/>
  <c r="V792" i="2"/>
  <c r="V800" i="2"/>
  <c r="V808" i="2"/>
  <c r="V816" i="2"/>
  <c r="V824" i="2"/>
  <c r="V832" i="2"/>
  <c r="V840" i="2"/>
  <c r="V848" i="2"/>
  <c r="V856" i="2"/>
  <c r="V864" i="2"/>
  <c r="V872" i="2"/>
  <c r="V880" i="2"/>
  <c r="V888" i="2"/>
  <c r="V896" i="2"/>
  <c r="V904" i="2"/>
  <c r="V912" i="2"/>
  <c r="V920" i="2"/>
  <c r="V928" i="2"/>
  <c r="V936" i="2"/>
  <c r="V944" i="2"/>
  <c r="V952" i="2"/>
  <c r="V960" i="2"/>
  <c r="V968" i="2"/>
  <c r="V976" i="2"/>
  <c r="V984" i="2"/>
  <c r="V992" i="2"/>
  <c r="V1000" i="2"/>
  <c r="V1008" i="2"/>
  <c r="V1016" i="2"/>
  <c r="V1024" i="2"/>
  <c r="V1032" i="2"/>
  <c r="V1040" i="2"/>
  <c r="V1048" i="2"/>
  <c r="V1056" i="2"/>
  <c r="V1064" i="2"/>
  <c r="V1072" i="2"/>
  <c r="V1080" i="2"/>
  <c r="V1088" i="2"/>
  <c r="V1100" i="2"/>
  <c r="V1116" i="2"/>
  <c r="V1132" i="2"/>
  <c r="V1148" i="2"/>
  <c r="V1170" i="2"/>
  <c r="V1200" i="2"/>
  <c r="V1264" i="2"/>
  <c r="V118" i="2"/>
  <c r="V126" i="2"/>
  <c r="V134" i="2"/>
  <c r="V142" i="2"/>
  <c r="V150" i="2"/>
  <c r="V158" i="2"/>
  <c r="V166" i="2"/>
  <c r="V174" i="2"/>
  <c r="V182" i="2"/>
  <c r="V190" i="2"/>
  <c r="V198" i="2"/>
  <c r="V206" i="2"/>
  <c r="V214" i="2"/>
  <c r="V222" i="2"/>
  <c r="V230" i="2"/>
  <c r="V238" i="2"/>
  <c r="V246" i="2"/>
  <c r="V254" i="2"/>
  <c r="V262" i="2"/>
  <c r="V270" i="2"/>
  <c r="V278" i="2"/>
  <c r="V286" i="2"/>
  <c r="V294" i="2"/>
  <c r="V302" i="2"/>
  <c r="V310" i="2"/>
  <c r="V318" i="2"/>
  <c r="V326" i="2"/>
  <c r="V334" i="2"/>
  <c r="V342" i="2"/>
  <c r="V350" i="2"/>
  <c r="V358" i="2"/>
  <c r="V366" i="2"/>
  <c r="V374" i="2"/>
  <c r="V382" i="2"/>
  <c r="V390" i="2"/>
  <c r="V398" i="2"/>
  <c r="V406" i="2"/>
  <c r="V414" i="2"/>
  <c r="V422" i="2"/>
  <c r="V430" i="2"/>
  <c r="V438" i="2"/>
  <c r="V446" i="2"/>
  <c r="V454" i="2"/>
  <c r="V462" i="2"/>
  <c r="V470" i="2"/>
  <c r="V478" i="2"/>
  <c r="V486" i="2"/>
  <c r="V494" i="2"/>
  <c r="V502" i="2"/>
  <c r="V510" i="2"/>
  <c r="V518" i="2"/>
  <c r="V526" i="2"/>
  <c r="V534" i="2"/>
  <c r="V542" i="2"/>
  <c r="V550" i="2"/>
  <c r="V558" i="2"/>
  <c r="V566" i="2"/>
  <c r="V574" i="2"/>
  <c r="V582" i="2"/>
  <c r="V590" i="2"/>
  <c r="V598" i="2"/>
  <c r="V606" i="2"/>
  <c r="V614" i="2"/>
  <c r="V622" i="2"/>
  <c r="V630" i="2"/>
  <c r="V638" i="2"/>
  <c r="V646" i="2"/>
  <c r="V654" i="2"/>
  <c r="V662" i="2"/>
  <c r="V670" i="2"/>
  <c r="V678" i="2"/>
  <c r="V686" i="2"/>
  <c r="V694" i="2"/>
  <c r="V702" i="2"/>
  <c r="V710" i="2"/>
  <c r="V718" i="2"/>
  <c r="V726" i="2"/>
  <c r="V734" i="2"/>
  <c r="V742" i="2"/>
  <c r="V750" i="2"/>
  <c r="V758" i="2"/>
  <c r="V766" i="2"/>
  <c r="V774" i="2"/>
  <c r="V782" i="2"/>
  <c r="V790" i="2"/>
  <c r="V798" i="2"/>
  <c r="V806" i="2"/>
  <c r="V814" i="2"/>
  <c r="V822" i="2"/>
  <c r="V830" i="2"/>
  <c r="V838" i="2"/>
  <c r="V846" i="2"/>
  <c r="V854" i="2"/>
  <c r="V862" i="2"/>
  <c r="V870" i="2"/>
  <c r="V878" i="2"/>
  <c r="V886" i="2"/>
  <c r="V894" i="2"/>
  <c r="V902" i="2"/>
  <c r="V910" i="2"/>
  <c r="V918" i="2"/>
  <c r="V926" i="2"/>
  <c r="V934" i="2"/>
  <c r="V942" i="2"/>
  <c r="V950" i="2"/>
  <c r="V958" i="2"/>
  <c r="V966" i="2"/>
  <c r="V974" i="2"/>
  <c r="V982" i="2"/>
  <c r="V990" i="2"/>
  <c r="V998" i="2"/>
  <c r="V1006" i="2"/>
  <c r="V1014" i="2"/>
  <c r="V1022" i="2"/>
  <c r="V1030" i="2"/>
  <c r="V1038" i="2"/>
  <c r="V1046" i="2"/>
  <c r="V1054" i="2"/>
  <c r="V1062" i="2"/>
  <c r="V1070" i="2"/>
  <c r="V1078" i="2"/>
  <c r="V1086" i="2"/>
  <c r="V1094" i="2"/>
  <c r="V1110" i="2"/>
  <c r="V1126" i="2"/>
  <c r="V1142" i="2"/>
  <c r="V1160" i="2"/>
  <c r="V1190" i="2"/>
  <c r="E50" i="2"/>
  <c r="E37" i="2" s="1"/>
  <c r="V1849" i="2"/>
  <c r="E51" i="2"/>
  <c r="E38" i="2" s="1"/>
  <c r="E54" i="2"/>
  <c r="E41" i="2" s="1"/>
  <c r="Z777" i="2"/>
  <c r="E53" i="2"/>
  <c r="E40" i="2" s="1"/>
  <c r="E55" i="2"/>
  <c r="E42" i="2" s="1"/>
  <c r="V1098" i="2"/>
  <c r="V1106" i="2"/>
  <c r="V1114" i="2"/>
  <c r="V1122" i="2"/>
  <c r="V1130" i="2"/>
  <c r="V1138" i="2"/>
  <c r="V1146" i="2"/>
  <c r="V1154" i="2"/>
  <c r="V1168" i="2"/>
  <c r="V1182" i="2"/>
  <c r="V1194" i="2"/>
  <c r="V1210" i="2"/>
  <c r="V1224" i="2"/>
  <c r="V1238" i="2"/>
  <c r="V1254" i="2"/>
  <c r="V1320" i="2"/>
  <c r="V1096" i="2"/>
  <c r="V1104" i="2"/>
  <c r="V1112" i="2"/>
  <c r="V1120" i="2"/>
  <c r="V1128" i="2"/>
  <c r="V1136" i="2"/>
  <c r="V1144" i="2"/>
  <c r="V1152" i="2"/>
  <c r="V1162" i="2"/>
  <c r="V1178" i="2"/>
  <c r="V1192" i="2"/>
  <c r="V1206" i="2"/>
  <c r="V1222" i="2"/>
  <c r="V1234" i="2"/>
  <c r="V1248" i="2"/>
  <c r="V1302" i="2"/>
  <c r="V1798" i="2"/>
  <c r="Z803" i="2"/>
  <c r="V1202" i="2"/>
  <c r="V1216" i="2"/>
  <c r="V1232" i="2"/>
  <c r="V1246" i="2"/>
  <c r="V1286" i="2"/>
  <c r="V1378" i="2"/>
  <c r="V1156" i="2"/>
  <c r="V1166" i="2"/>
  <c r="V1176" i="2"/>
  <c r="V1186" i="2"/>
  <c r="V1198" i="2"/>
  <c r="V1208" i="2"/>
  <c r="V1218" i="2"/>
  <c r="V1230" i="2"/>
  <c r="V1240" i="2"/>
  <c r="V1250" i="2"/>
  <c r="V1274" i="2"/>
  <c r="V1312" i="2"/>
  <c r="V1358" i="2"/>
  <c r="V1258" i="2"/>
  <c r="V1290" i="2"/>
  <c r="V1330" i="2"/>
  <c r="V1416" i="2"/>
  <c r="V1270" i="2"/>
  <c r="V1288" i="2"/>
  <c r="V1306" i="2"/>
  <c r="V1328" i="2"/>
  <c r="V1346" i="2"/>
  <c r="V1382" i="2"/>
  <c r="V1262" i="2"/>
  <c r="V1278" i="2"/>
  <c r="V1298" i="2"/>
  <c r="V1318" i="2"/>
  <c r="V1334" i="2"/>
  <c r="V1366" i="2"/>
  <c r="V1448" i="2"/>
  <c r="V1256" i="2"/>
  <c r="V1266" i="2"/>
  <c r="V1280" i="2"/>
  <c r="V1296" i="2"/>
  <c r="V1310" i="2"/>
  <c r="V1322" i="2"/>
  <c r="V1338" i="2"/>
  <c r="V1362" i="2"/>
  <c r="V1398" i="2"/>
  <c r="V1272" i="2"/>
  <c r="V1282" i="2"/>
  <c r="V1294" i="2"/>
  <c r="V1304" i="2"/>
  <c r="V1314" i="2"/>
  <c r="V1326" i="2"/>
  <c r="V1336" i="2"/>
  <c r="V1350" i="2"/>
  <c r="V1374" i="2"/>
  <c r="V1406" i="2"/>
  <c r="V1164" i="2"/>
  <c r="V1172" i="2"/>
  <c r="V1180" i="2"/>
  <c r="V1188" i="2"/>
  <c r="V1196" i="2"/>
  <c r="V1204" i="2"/>
  <c r="V1212" i="2"/>
  <c r="V1220" i="2"/>
  <c r="V1228" i="2"/>
  <c r="V1236" i="2"/>
  <c r="V1244" i="2"/>
  <c r="V1252" i="2"/>
  <c r="V1260" i="2"/>
  <c r="V1268" i="2"/>
  <c r="V1276" i="2"/>
  <c r="V1284" i="2"/>
  <c r="V1292" i="2"/>
  <c r="V1300" i="2"/>
  <c r="V1308" i="2"/>
  <c r="V1316" i="2"/>
  <c r="V1324" i="2"/>
  <c r="V1332" i="2"/>
  <c r="V1340" i="2"/>
  <c r="V1354" i="2"/>
  <c r="V1370" i="2"/>
  <c r="V1390" i="2"/>
  <c r="V1432" i="2"/>
  <c r="V1480" i="2"/>
  <c r="V1344" i="2"/>
  <c r="V1348" i="2"/>
  <c r="V1352" i="2"/>
  <c r="V1356" i="2"/>
  <c r="V1360" i="2"/>
  <c r="V1364" i="2"/>
  <c r="V1368" i="2"/>
  <c r="V1372" i="2"/>
  <c r="V1376" i="2"/>
  <c r="V1380" i="2"/>
  <c r="V1386" i="2"/>
  <c r="V1394" i="2"/>
  <c r="V1402" i="2"/>
  <c r="V1410" i="2"/>
  <c r="V1424" i="2"/>
  <c r="V1440" i="2"/>
  <c r="V1464" i="2"/>
  <c r="V1522" i="2"/>
  <c r="V1384" i="2"/>
  <c r="V1388" i="2"/>
  <c r="V1392" i="2"/>
  <c r="V1396" i="2"/>
  <c r="V1400" i="2"/>
  <c r="V1404" i="2"/>
  <c r="V1408" i="2"/>
  <c r="V1412" i="2"/>
  <c r="V1420" i="2"/>
  <c r="V1428" i="2"/>
  <c r="V1436" i="2"/>
  <c r="V1444" i="2"/>
  <c r="V1456" i="2"/>
  <c r="V1472" i="2"/>
  <c r="V1496" i="2"/>
  <c r="V1568" i="2"/>
  <c r="V1414" i="2"/>
  <c r="V1418" i="2"/>
  <c r="V1422" i="2"/>
  <c r="V1426" i="2"/>
  <c r="V1430" i="2"/>
  <c r="V1434" i="2"/>
  <c r="V1438" i="2"/>
  <c r="V1442" i="2"/>
  <c r="V1446" i="2"/>
  <c r="V1452" i="2"/>
  <c r="V1460" i="2"/>
  <c r="V1468" i="2"/>
  <c r="V1476" i="2"/>
  <c r="V1488" i="2"/>
  <c r="V1506" i="2"/>
  <c r="V1538" i="2"/>
  <c r="V1620" i="2"/>
  <c r="V1450" i="2"/>
  <c r="V1454" i="2"/>
  <c r="V1458" i="2"/>
  <c r="V1462" i="2"/>
  <c r="V1466" i="2"/>
  <c r="V1470" i="2"/>
  <c r="V1474" i="2"/>
  <c r="V1478" i="2"/>
  <c r="V1484" i="2"/>
  <c r="V1492" i="2"/>
  <c r="V1500" i="2"/>
  <c r="V1514" i="2"/>
  <c r="V1530" i="2"/>
  <c r="V1552" i="2"/>
  <c r="V1588" i="2"/>
  <c r="V1670" i="2"/>
  <c r="V1482" i="2"/>
  <c r="V1486" i="2"/>
  <c r="V1490" i="2"/>
  <c r="V1494" i="2"/>
  <c r="V1498" i="2"/>
  <c r="V1502" i="2"/>
  <c r="V1510" i="2"/>
  <c r="V1518" i="2"/>
  <c r="V1526" i="2"/>
  <c r="V1534" i="2"/>
  <c r="V1544" i="2"/>
  <c r="V1560" i="2"/>
  <c r="V1576" i="2"/>
  <c r="V1604" i="2"/>
  <c r="V1638" i="2"/>
  <c r="V1708" i="2"/>
  <c r="V1504" i="2"/>
  <c r="V1508" i="2"/>
  <c r="V1512" i="2"/>
  <c r="V1516" i="2"/>
  <c r="V1520" i="2"/>
  <c r="V1524" i="2"/>
  <c r="V1528" i="2"/>
  <c r="V1532" i="2"/>
  <c r="V1536" i="2"/>
  <c r="V1540" i="2"/>
  <c r="V1548" i="2"/>
  <c r="V1556" i="2"/>
  <c r="V1564" i="2"/>
  <c r="V1572" i="2"/>
  <c r="V1580" i="2"/>
  <c r="V1596" i="2"/>
  <c r="V1612" i="2"/>
  <c r="V1628" i="2"/>
  <c r="V1654" i="2"/>
  <c r="V1686" i="2"/>
  <c r="V1740" i="2"/>
  <c r="V1542" i="2"/>
  <c r="V1546" i="2"/>
  <c r="V1550" i="2"/>
  <c r="V1554" i="2"/>
  <c r="V1558" i="2"/>
  <c r="V1562" i="2"/>
  <c r="V1566" i="2"/>
  <c r="V1570" i="2"/>
  <c r="V1574" i="2"/>
  <c r="V1578" i="2"/>
  <c r="V1584" i="2"/>
  <c r="V1592" i="2"/>
  <c r="V1600" i="2"/>
  <c r="V1608" i="2"/>
  <c r="V1616" i="2"/>
  <c r="V1624" i="2"/>
  <c r="V1632" i="2"/>
  <c r="V1646" i="2"/>
  <c r="V1662" i="2"/>
  <c r="V1678" i="2"/>
  <c r="V1694" i="2"/>
  <c r="V1724" i="2"/>
  <c r="V1766" i="2"/>
  <c r="V1850" i="2"/>
  <c r="V1582" i="2"/>
  <c r="V1586" i="2"/>
  <c r="V1590" i="2"/>
  <c r="V1594" i="2"/>
  <c r="V1598" i="2"/>
  <c r="V1602" i="2"/>
  <c r="V1606" i="2"/>
  <c r="V1610" i="2"/>
  <c r="V1614" i="2"/>
  <c r="V1618" i="2"/>
  <c r="V1622" i="2"/>
  <c r="V1626" i="2"/>
  <c r="V1630" i="2"/>
  <c r="V1634" i="2"/>
  <c r="V1642" i="2"/>
  <c r="V1650" i="2"/>
  <c r="V1658" i="2"/>
  <c r="V1666" i="2"/>
  <c r="V1674" i="2"/>
  <c r="V1682" i="2"/>
  <c r="V1690" i="2"/>
  <c r="V1700" i="2"/>
  <c r="V1716" i="2"/>
  <c r="V1732" i="2"/>
  <c r="V1750" i="2"/>
  <c r="V1782" i="2"/>
  <c r="V1818" i="2"/>
  <c r="V1882" i="2"/>
  <c r="V1636" i="2"/>
  <c r="V1640" i="2"/>
  <c r="V1644" i="2"/>
  <c r="V1648" i="2"/>
  <c r="V1652" i="2"/>
  <c r="V1656" i="2"/>
  <c r="V1660" i="2"/>
  <c r="V1664" i="2"/>
  <c r="V1668" i="2"/>
  <c r="V1672" i="2"/>
  <c r="V1676" i="2"/>
  <c r="V1680" i="2"/>
  <c r="V1684" i="2"/>
  <c r="V1688" i="2"/>
  <c r="V1692" i="2"/>
  <c r="V1696" i="2"/>
  <c r="V1704" i="2"/>
  <c r="V1712" i="2"/>
  <c r="V1720" i="2"/>
  <c r="V1728" i="2"/>
  <c r="V1736" i="2"/>
  <c r="V1744" i="2"/>
  <c r="V1758" i="2"/>
  <c r="V1774" i="2"/>
  <c r="V1790" i="2"/>
  <c r="V1806" i="2"/>
  <c r="V1834" i="2"/>
  <c r="V1866" i="2"/>
  <c r="V1898" i="2"/>
  <c r="V1698" i="2"/>
  <c r="V1702" i="2"/>
  <c r="V1706" i="2"/>
  <c r="V1710" i="2"/>
  <c r="V1714" i="2"/>
  <c r="V1718" i="2"/>
  <c r="V1722" i="2"/>
  <c r="V1726" i="2"/>
  <c r="V1730" i="2"/>
  <c r="V1734" i="2"/>
  <c r="V1738" i="2"/>
  <c r="V1742" i="2"/>
  <c r="V1746" i="2"/>
  <c r="V1754" i="2"/>
  <c r="V1762" i="2"/>
  <c r="V1770" i="2"/>
  <c r="V1778" i="2"/>
  <c r="V1786" i="2"/>
  <c r="V1794" i="2"/>
  <c r="V1802" i="2"/>
  <c r="V1810" i="2"/>
  <c r="V1826" i="2"/>
  <c r="V1842" i="2"/>
  <c r="V1858" i="2"/>
  <c r="V1874" i="2"/>
  <c r="V1890" i="2"/>
  <c r="V1906" i="2"/>
  <c r="V1748" i="2"/>
  <c r="V1752" i="2"/>
  <c r="V1756" i="2"/>
  <c r="V1760" i="2"/>
  <c r="V1764" i="2"/>
  <c r="V1768" i="2"/>
  <c r="V1772" i="2"/>
  <c r="V1776" i="2"/>
  <c r="V1780" i="2"/>
  <c r="V1784" i="2"/>
  <c r="V1788" i="2"/>
  <c r="V1792" i="2"/>
  <c r="V1796" i="2"/>
  <c r="V1800" i="2"/>
  <c r="V1804" i="2"/>
  <c r="V1808" i="2"/>
  <c r="V1814" i="2"/>
  <c r="V1822" i="2"/>
  <c r="V1830" i="2"/>
  <c r="V1838" i="2"/>
  <c r="V1846" i="2"/>
  <c r="V1854" i="2"/>
  <c r="V1862" i="2"/>
  <c r="V1870" i="2"/>
  <c r="V1878" i="2"/>
  <c r="V1886" i="2"/>
  <c r="V1894" i="2"/>
  <c r="V1902" i="2"/>
  <c r="V1910" i="2"/>
  <c r="V1812" i="2"/>
  <c r="V1816" i="2"/>
  <c r="V1820" i="2"/>
  <c r="V1824" i="2"/>
  <c r="V1828" i="2"/>
  <c r="V1832" i="2"/>
  <c r="V1836" i="2"/>
  <c r="V1840" i="2"/>
  <c r="V1844" i="2"/>
  <c r="V1848" i="2"/>
  <c r="V1852" i="2"/>
  <c r="V1856" i="2"/>
  <c r="V1860" i="2"/>
  <c r="V1864" i="2"/>
  <c r="V1868" i="2"/>
  <c r="V1872" i="2"/>
  <c r="V1876" i="2"/>
  <c r="V1880" i="2"/>
  <c r="V1884" i="2"/>
  <c r="V1888" i="2"/>
  <c r="V1892" i="2"/>
  <c r="V1896" i="2"/>
  <c r="V1900" i="2"/>
  <c r="V1904" i="2"/>
  <c r="V1908" i="2"/>
  <c r="V1912" i="2"/>
  <c r="T36" i="2"/>
  <c r="T34" i="2"/>
  <c r="B33" i="2" s="1"/>
  <c r="D33" i="2" s="1"/>
  <c r="T39" i="2"/>
  <c r="T38" i="2"/>
  <c r="Z793" i="2"/>
  <c r="Z801" i="2"/>
  <c r="Z805" i="2"/>
  <c r="Z797" i="2"/>
  <c r="Z789" i="2"/>
  <c r="Z781" i="2"/>
  <c r="Z773" i="2"/>
  <c r="Z765" i="2"/>
  <c r="Z757" i="2"/>
  <c r="Z749" i="2"/>
  <c r="Z741" i="2"/>
  <c r="Z735" i="2"/>
  <c r="Z731" i="2"/>
  <c r="Z727" i="2"/>
  <c r="Z723" i="2"/>
  <c r="Z719" i="2"/>
  <c r="Z715" i="2"/>
  <c r="Z711" i="2"/>
  <c r="Z707" i="2"/>
  <c r="Z703" i="2"/>
  <c r="Z699" i="2"/>
  <c r="Z695" i="2"/>
  <c r="Z691" i="2"/>
  <c r="Z687" i="2"/>
  <c r="Z683" i="2"/>
  <c r="Z679" i="2"/>
  <c r="Z675" i="2"/>
  <c r="Z671" i="2"/>
  <c r="Z667" i="2"/>
  <c r="Z663" i="2"/>
  <c r="Z659" i="2"/>
  <c r="Z655" i="2"/>
  <c r="Z651" i="2"/>
  <c r="Z647" i="2"/>
  <c r="Z643" i="2"/>
  <c r="Z639" i="2"/>
  <c r="Z635" i="2"/>
  <c r="Z631" i="2"/>
  <c r="Z627" i="2"/>
  <c r="Z623" i="2"/>
  <c r="Z619" i="2"/>
  <c r="Z615" i="2"/>
  <c r="Z611" i="2"/>
  <c r="Z607" i="2"/>
  <c r="Z603" i="2"/>
  <c r="Z599" i="2"/>
  <c r="Z595" i="2"/>
  <c r="Z591" i="2"/>
  <c r="Z587" i="2"/>
  <c r="Z583" i="2"/>
  <c r="Z579" i="2"/>
  <c r="Z575" i="2"/>
  <c r="Z571" i="2"/>
  <c r="Z567" i="2"/>
  <c r="Z563" i="2"/>
  <c r="Z560" i="2"/>
  <c r="Z558" i="2"/>
  <c r="Z556" i="2"/>
  <c r="Z554" i="2"/>
  <c r="Z552" i="2"/>
  <c r="Z550" i="2"/>
  <c r="Z548" i="2"/>
  <c r="Z546" i="2"/>
  <c r="Z544" i="2"/>
  <c r="Z542" i="2"/>
  <c r="Z540" i="2"/>
  <c r="Z538" i="2"/>
  <c r="Z536" i="2"/>
  <c r="Z534" i="2"/>
  <c r="Z532" i="2"/>
  <c r="Z530" i="2"/>
  <c r="Z528" i="2"/>
  <c r="Z526" i="2"/>
  <c r="Z524" i="2"/>
  <c r="Z522" i="2"/>
  <c r="Z520" i="2"/>
  <c r="Z518" i="2"/>
  <c r="Z516" i="2"/>
  <c r="Z514" i="2"/>
  <c r="Z512" i="2"/>
  <c r="Z510" i="2"/>
  <c r="Z508" i="2"/>
  <c r="Z506" i="2"/>
  <c r="Z504" i="2"/>
  <c r="Z502" i="2"/>
  <c r="Z500" i="2"/>
  <c r="Z498" i="2"/>
  <c r="Z496" i="2"/>
  <c r="Z494" i="2"/>
  <c r="Z492" i="2"/>
  <c r="Z490" i="2"/>
  <c r="Z488" i="2"/>
  <c r="Z486" i="2"/>
  <c r="Z484" i="2"/>
  <c r="Z482" i="2"/>
  <c r="Z480" i="2"/>
  <c r="Z478" i="2"/>
  <c r="Z476" i="2"/>
  <c r="Z474" i="2"/>
  <c r="Z472" i="2"/>
  <c r="Z470" i="2"/>
  <c r="Z468" i="2"/>
  <c r="Z466" i="2"/>
  <c r="Z464" i="2"/>
  <c r="Z462" i="2"/>
  <c r="Z460" i="2"/>
  <c r="Z458" i="2"/>
  <c r="Z456" i="2"/>
  <c r="Z454" i="2"/>
  <c r="Z452" i="2"/>
  <c r="Z450" i="2"/>
  <c r="Z448" i="2"/>
  <c r="Z446" i="2"/>
  <c r="Z444" i="2"/>
  <c r="Z442" i="2"/>
  <c r="Z440" i="2"/>
  <c r="Z438" i="2"/>
  <c r="Z436" i="2"/>
  <c r="Z434" i="2"/>
  <c r="Z432" i="2"/>
  <c r="Z430" i="2"/>
  <c r="Z428" i="2"/>
  <c r="Z426" i="2"/>
  <c r="Z424" i="2"/>
  <c r="Z422" i="2"/>
  <c r="Z420" i="2"/>
  <c r="Z418" i="2"/>
  <c r="Z416" i="2"/>
  <c r="Z414" i="2"/>
  <c r="Z412" i="2"/>
  <c r="Z410" i="2"/>
  <c r="Z408" i="2"/>
  <c r="Z406" i="2"/>
  <c r="Z404" i="2"/>
  <c r="Z402" i="2"/>
  <c r="Z400" i="2"/>
  <c r="Z398" i="2"/>
  <c r="Z396" i="2"/>
  <c r="Z394" i="2"/>
  <c r="Z392" i="2"/>
  <c r="Z390" i="2"/>
  <c r="Z388" i="2"/>
  <c r="Z386" i="2"/>
  <c r="Z384" i="2"/>
  <c r="Z382" i="2"/>
  <c r="Z380" i="2"/>
  <c r="Z378" i="2"/>
  <c r="Z376" i="2"/>
  <c r="Z374" i="2"/>
  <c r="Z372" i="2"/>
  <c r="Z370" i="2"/>
  <c r="Z368" i="2"/>
  <c r="Z366" i="2"/>
  <c r="Z364" i="2"/>
  <c r="Z362" i="2"/>
  <c r="Z360" i="2"/>
  <c r="Z358" i="2"/>
  <c r="Z356" i="2"/>
  <c r="Z354" i="2"/>
  <c r="Z352" i="2"/>
  <c r="Z350" i="2"/>
  <c r="Z348" i="2"/>
  <c r="Z346" i="2"/>
  <c r="Z344" i="2"/>
  <c r="Z342" i="2"/>
  <c r="Z340" i="2"/>
  <c r="Z338" i="2"/>
  <c r="Z336" i="2"/>
  <c r="Z334" i="2"/>
  <c r="Z332" i="2"/>
  <c r="Z330" i="2"/>
  <c r="Z328" i="2"/>
  <c r="Z326" i="2"/>
  <c r="Z324" i="2"/>
  <c r="Z322" i="2"/>
  <c r="Z320" i="2"/>
  <c r="Z318" i="2"/>
  <c r="Z316" i="2"/>
  <c r="Z314" i="2"/>
  <c r="Z312" i="2"/>
  <c r="Z310" i="2"/>
  <c r="Z308" i="2"/>
  <c r="Z306" i="2"/>
  <c r="Z304" i="2"/>
  <c r="Z302" i="2"/>
  <c r="Z300" i="2"/>
  <c r="Z298" i="2"/>
  <c r="Z296" i="2"/>
  <c r="Z294" i="2"/>
  <c r="Z292" i="2"/>
  <c r="Z290" i="2"/>
  <c r="Z288" i="2"/>
  <c r="Z286" i="2"/>
  <c r="Z284" i="2"/>
  <c r="Z282" i="2"/>
  <c r="Z280" i="2"/>
  <c r="Z278" i="2"/>
  <c r="Z276" i="2"/>
  <c r="Z274" i="2"/>
  <c r="Z272" i="2"/>
  <c r="Z270" i="2"/>
  <c r="Z268" i="2"/>
  <c r="Z266" i="2"/>
  <c r="Z264" i="2"/>
  <c r="Z262" i="2"/>
  <c r="Z260" i="2"/>
  <c r="Z258" i="2"/>
  <c r="Z256" i="2"/>
  <c r="Z254" i="2"/>
  <c r="Z252" i="2"/>
  <c r="Z250" i="2"/>
  <c r="Z248" i="2"/>
  <c r="Z246" i="2"/>
  <c r="Z244" i="2"/>
  <c r="Z242" i="2"/>
  <c r="Z240" i="2"/>
  <c r="Z238" i="2"/>
  <c r="Z236" i="2"/>
  <c r="Z234" i="2"/>
  <c r="Z232" i="2"/>
  <c r="Z230" i="2"/>
  <c r="Z228" i="2"/>
  <c r="Z226" i="2"/>
  <c r="Z224" i="2"/>
  <c r="Z222" i="2"/>
  <c r="Z220" i="2"/>
  <c r="Z218" i="2"/>
  <c r="Z216" i="2"/>
  <c r="Z214" i="2"/>
  <c r="Z212" i="2"/>
  <c r="Z210" i="2"/>
  <c r="Z208" i="2"/>
  <c r="Z206" i="2"/>
  <c r="Z204" i="2"/>
  <c r="Z202" i="2"/>
  <c r="Z200" i="2"/>
  <c r="Z198" i="2"/>
  <c r="Z196" i="2"/>
  <c r="Z194" i="2"/>
  <c r="Z192" i="2"/>
  <c r="Z190" i="2"/>
  <c r="Z188" i="2"/>
  <c r="Z186" i="2"/>
  <c r="Z184" i="2"/>
  <c r="Z182" i="2"/>
  <c r="Z180" i="2"/>
  <c r="Z761" i="2"/>
  <c r="Z753" i="2"/>
  <c r="Z745" i="2"/>
  <c r="Z737" i="2"/>
  <c r="Z733" i="2"/>
  <c r="Z729" i="2"/>
  <c r="Z725" i="2"/>
  <c r="Z721" i="2"/>
  <c r="Z717" i="2"/>
  <c r="Z713" i="2"/>
  <c r="Z709" i="2"/>
  <c r="Z705" i="2"/>
  <c r="Z701" i="2"/>
  <c r="Z697" i="2"/>
  <c r="Z693" i="2"/>
  <c r="Z689" i="2"/>
  <c r="Z685" i="2"/>
  <c r="Z681" i="2"/>
  <c r="Z677" i="2"/>
  <c r="Z673" i="2"/>
  <c r="Z669" i="2"/>
  <c r="Z665" i="2"/>
  <c r="Z661" i="2"/>
  <c r="Z657" i="2"/>
  <c r="Z653" i="2"/>
  <c r="Z649" i="2"/>
  <c r="Z645" i="2"/>
  <c r="Z641" i="2"/>
  <c r="Z637" i="2"/>
  <c r="Z633" i="2"/>
  <c r="Z629" i="2"/>
  <c r="Z625" i="2"/>
  <c r="Z621" i="2"/>
  <c r="Z617" i="2"/>
  <c r="Z613" i="2"/>
  <c r="Z609" i="2"/>
  <c r="Z605" i="2"/>
  <c r="Z601" i="2"/>
  <c r="Z597" i="2"/>
  <c r="Z593" i="2"/>
  <c r="Z589" i="2"/>
  <c r="Z585" i="2"/>
  <c r="Z581" i="2"/>
  <c r="Z577" i="2"/>
  <c r="Z573" i="2"/>
  <c r="Z569" i="2"/>
  <c r="Z565" i="2"/>
  <c r="Z561" i="2"/>
  <c r="Z559" i="2"/>
  <c r="Z557" i="2"/>
  <c r="Z555" i="2"/>
  <c r="Z553" i="2"/>
  <c r="Z551" i="2"/>
  <c r="Z549" i="2"/>
  <c r="Z547" i="2"/>
  <c r="Z545" i="2"/>
  <c r="Z543" i="2"/>
  <c r="Z541" i="2"/>
  <c r="Z539" i="2"/>
  <c r="Z537" i="2"/>
  <c r="Z535" i="2"/>
  <c r="Z533" i="2"/>
  <c r="Z531" i="2"/>
  <c r="Z529" i="2"/>
  <c r="Z527" i="2"/>
  <c r="Z525" i="2"/>
  <c r="Z523" i="2"/>
  <c r="Z521" i="2"/>
  <c r="Z519" i="2"/>
  <c r="Z517" i="2"/>
  <c r="Z515" i="2"/>
  <c r="Z513" i="2"/>
  <c r="Z511" i="2"/>
  <c r="Z509" i="2"/>
  <c r="Z507" i="2"/>
  <c r="Z505" i="2"/>
  <c r="Z503" i="2"/>
  <c r="Z501" i="2"/>
  <c r="Z499" i="2"/>
  <c r="Z497" i="2"/>
  <c r="Z495" i="2"/>
  <c r="Z493" i="2"/>
  <c r="Z491" i="2"/>
  <c r="Z489" i="2"/>
  <c r="Z487" i="2"/>
  <c r="Z485" i="2"/>
  <c r="Z483" i="2"/>
  <c r="Z481" i="2"/>
  <c r="Z479" i="2"/>
  <c r="Z477" i="2"/>
  <c r="Z475" i="2"/>
  <c r="Z473" i="2"/>
  <c r="Z471" i="2"/>
  <c r="Z469" i="2"/>
  <c r="Z467" i="2"/>
  <c r="Z465" i="2"/>
  <c r="Z463" i="2"/>
  <c r="Z461" i="2"/>
  <c r="Z459" i="2"/>
  <c r="Z457" i="2"/>
  <c r="Z455" i="2"/>
  <c r="Z453" i="2"/>
  <c r="Z451" i="2"/>
  <c r="Z449" i="2"/>
  <c r="Z447" i="2"/>
  <c r="Z445" i="2"/>
  <c r="Z443" i="2"/>
  <c r="Z441" i="2"/>
  <c r="Z439" i="2"/>
  <c r="Z437" i="2"/>
  <c r="Z435" i="2"/>
  <c r="Z433" i="2"/>
  <c r="Z431" i="2"/>
  <c r="Z429" i="2"/>
  <c r="Z427" i="2"/>
  <c r="Z425" i="2"/>
  <c r="Z423" i="2"/>
  <c r="Z421" i="2"/>
  <c r="Z419" i="2"/>
  <c r="Z417" i="2"/>
  <c r="Z415" i="2"/>
  <c r="Z413" i="2"/>
  <c r="Z411" i="2"/>
  <c r="Z409" i="2"/>
  <c r="Z407" i="2"/>
  <c r="Z405" i="2"/>
  <c r="Z403" i="2"/>
  <c r="Z401" i="2"/>
  <c r="Z399" i="2"/>
  <c r="Z397" i="2"/>
  <c r="Z395" i="2"/>
  <c r="Z393" i="2"/>
  <c r="Z391" i="2"/>
  <c r="Z389" i="2"/>
  <c r="Z387" i="2"/>
  <c r="Z385" i="2"/>
  <c r="Z383" i="2"/>
  <c r="Z381" i="2"/>
  <c r="Z379" i="2"/>
  <c r="Z377" i="2"/>
  <c r="Z375" i="2"/>
  <c r="Z373" i="2"/>
  <c r="Z371" i="2"/>
  <c r="Z369" i="2"/>
  <c r="Z367" i="2"/>
  <c r="Z365" i="2"/>
  <c r="Z363" i="2"/>
  <c r="Z361" i="2"/>
  <c r="Z359" i="2"/>
  <c r="Z357" i="2"/>
  <c r="Z355" i="2"/>
  <c r="Z353" i="2"/>
  <c r="Z351" i="2"/>
  <c r="Z349" i="2"/>
  <c r="Z347" i="2"/>
  <c r="Z345" i="2"/>
  <c r="Z343" i="2"/>
  <c r="Z341" i="2"/>
  <c r="Z339" i="2"/>
  <c r="Z337" i="2"/>
  <c r="Z335" i="2"/>
  <c r="Z333" i="2"/>
  <c r="Z331" i="2"/>
  <c r="Z329" i="2"/>
  <c r="Z327" i="2"/>
  <c r="Z325" i="2"/>
  <c r="Z323" i="2"/>
  <c r="Z321" i="2"/>
  <c r="Z319" i="2"/>
  <c r="Z317" i="2"/>
  <c r="Z315" i="2"/>
  <c r="Z313" i="2"/>
  <c r="Z311" i="2"/>
  <c r="Z309" i="2"/>
  <c r="Z307" i="2"/>
  <c r="Z305" i="2"/>
  <c r="Z303" i="2"/>
  <c r="Z301" i="2"/>
  <c r="Z299" i="2"/>
  <c r="Z297" i="2"/>
  <c r="Z295" i="2"/>
  <c r="Z293" i="2"/>
  <c r="Z291" i="2"/>
  <c r="Z289" i="2"/>
  <c r="Z287" i="2"/>
  <c r="Z285" i="2"/>
  <c r="Z283" i="2"/>
  <c r="Z281" i="2"/>
  <c r="Z279" i="2"/>
  <c r="Z277" i="2"/>
  <c r="Z275" i="2"/>
  <c r="Z273" i="2"/>
  <c r="Z271" i="2"/>
  <c r="Z269" i="2"/>
  <c r="Z267" i="2"/>
  <c r="Z265" i="2"/>
  <c r="Z263" i="2"/>
  <c r="Z261" i="2"/>
  <c r="Z259" i="2"/>
  <c r="Z257" i="2"/>
  <c r="Z255" i="2"/>
  <c r="Z253" i="2"/>
  <c r="Z251" i="2"/>
  <c r="Z249" i="2"/>
  <c r="Z247" i="2"/>
  <c r="Z245" i="2"/>
  <c r="Z243" i="2"/>
  <c r="Z241" i="2"/>
  <c r="Z239" i="2"/>
  <c r="Z237" i="2"/>
  <c r="Z235" i="2"/>
  <c r="Z233" i="2"/>
  <c r="Z231" i="2"/>
  <c r="Z229" i="2"/>
  <c r="Z227" i="2"/>
  <c r="Z225" i="2"/>
  <c r="Z223" i="2"/>
  <c r="Z221" i="2"/>
  <c r="Z219" i="2"/>
  <c r="Z217" i="2"/>
  <c r="Z215" i="2"/>
  <c r="Z213" i="2"/>
  <c r="Z211" i="2"/>
  <c r="Z209" i="2"/>
  <c r="Z207" i="2"/>
  <c r="Z205" i="2"/>
  <c r="Z203" i="2"/>
  <c r="Z201" i="2"/>
  <c r="Z199" i="2"/>
  <c r="Z197" i="2"/>
  <c r="Z195" i="2"/>
  <c r="Z193" i="2"/>
  <c r="Z191" i="2"/>
  <c r="Z189" i="2"/>
  <c r="Z187" i="2"/>
  <c r="Z185" i="2"/>
  <c r="Z183" i="2"/>
  <c r="Z181" i="2"/>
  <c r="Z179" i="2"/>
  <c r="Z177" i="2"/>
  <c r="Z175" i="2"/>
  <c r="Z173" i="2"/>
  <c r="Z171" i="2"/>
  <c r="Z169" i="2"/>
  <c r="Z167" i="2"/>
  <c r="Z165" i="2"/>
  <c r="Z163" i="2"/>
  <c r="Z161" i="2"/>
  <c r="Z178" i="2"/>
  <c r="Z174" i="2"/>
  <c r="Z170" i="2"/>
  <c r="Z166" i="2"/>
  <c r="Z162" i="2"/>
  <c r="Z159" i="2"/>
  <c r="Z157" i="2"/>
  <c r="Z155" i="2"/>
  <c r="Z153" i="2"/>
  <c r="Z151" i="2"/>
  <c r="Z149" i="2"/>
  <c r="Z147" i="2"/>
  <c r="Z145" i="2"/>
  <c r="Z143" i="2"/>
  <c r="Z141" i="2"/>
  <c r="Z139" i="2"/>
  <c r="Z137" i="2"/>
  <c r="Z135" i="2"/>
  <c r="Z133" i="2"/>
  <c r="Z131" i="2"/>
  <c r="Z129" i="2"/>
  <c r="Z127" i="2"/>
  <c r="Z125" i="2"/>
  <c r="Z123" i="2"/>
  <c r="Z121" i="2"/>
  <c r="Z119" i="2"/>
  <c r="Z117" i="2"/>
  <c r="Z115" i="2"/>
  <c r="Z113" i="2"/>
  <c r="Z176" i="2"/>
  <c r="Z172" i="2"/>
  <c r="Z168" i="2"/>
  <c r="Z164" i="2"/>
  <c r="Z160" i="2"/>
  <c r="Z158" i="2"/>
  <c r="Z156" i="2"/>
  <c r="Z154" i="2"/>
  <c r="Z152" i="2"/>
  <c r="Z150" i="2"/>
  <c r="Z148" i="2"/>
  <c r="Z146" i="2"/>
  <c r="Z144" i="2"/>
  <c r="Z142" i="2"/>
  <c r="Z140" i="2"/>
  <c r="Z138" i="2"/>
  <c r="Z136" i="2"/>
  <c r="Z134" i="2"/>
  <c r="Z132" i="2"/>
  <c r="Z130" i="2"/>
  <c r="Z128" i="2"/>
  <c r="Z126" i="2"/>
  <c r="Z124" i="2"/>
  <c r="Z122" i="2"/>
  <c r="Z120" i="2"/>
  <c r="Z118" i="2"/>
  <c r="Z116" i="2"/>
  <c r="Z114" i="2"/>
  <c r="Z785" i="2"/>
  <c r="Z769" i="2"/>
  <c r="V1897" i="2"/>
  <c r="V1865" i="2"/>
  <c r="V1881" i="2"/>
  <c r="X1547" i="2"/>
  <c r="X1543" i="2"/>
  <c r="X1539" i="2"/>
  <c r="X1535" i="2"/>
  <c r="X1531" i="2"/>
  <c r="X1527" i="2"/>
  <c r="X1523" i="2"/>
  <c r="X1519" i="2"/>
  <c r="X1515" i="2"/>
  <c r="X1511" i="2"/>
  <c r="X1507" i="2"/>
  <c r="X1503" i="2"/>
  <c r="X1499" i="2"/>
  <c r="X1495" i="2"/>
  <c r="X1491" i="2"/>
  <c r="X1487" i="2"/>
  <c r="X1483" i="2"/>
  <c r="X1479" i="2"/>
  <c r="X1475" i="2"/>
  <c r="X1471" i="2"/>
  <c r="X1467" i="2"/>
  <c r="X1463" i="2"/>
  <c r="X1459" i="2"/>
  <c r="X1455" i="2"/>
  <c r="X1451" i="2"/>
  <c r="X1447" i="2"/>
  <c r="X1443" i="2"/>
  <c r="X1439" i="2"/>
  <c r="X1435" i="2"/>
  <c r="X1431" i="2"/>
  <c r="X1427" i="2"/>
  <c r="X1423" i="2"/>
  <c r="X1419" i="2"/>
  <c r="X1415" i="2"/>
  <c r="X1411" i="2"/>
  <c r="X1407" i="2"/>
  <c r="X1403" i="2"/>
  <c r="X1399" i="2"/>
  <c r="X1395" i="2"/>
  <c r="X1391" i="2"/>
  <c r="X1387" i="2"/>
  <c r="X1383" i="2"/>
  <c r="X1379" i="2"/>
  <c r="X1375" i="2"/>
  <c r="X1371" i="2"/>
  <c r="X1367" i="2"/>
  <c r="X1363" i="2"/>
  <c r="X1359" i="2"/>
  <c r="X1355" i="2"/>
  <c r="X1351" i="2"/>
  <c r="X1347" i="2"/>
  <c r="X1343" i="2"/>
  <c r="X1339" i="2"/>
  <c r="X1335" i="2"/>
  <c r="X1331" i="2"/>
  <c r="X1327" i="2"/>
  <c r="X1323" i="2"/>
  <c r="X1319" i="2"/>
  <c r="X1315" i="2"/>
  <c r="X1311" i="2"/>
  <c r="X1307" i="2"/>
  <c r="X1303" i="2"/>
  <c r="X1299" i="2"/>
  <c r="X1295" i="2"/>
  <c r="X1291" i="2"/>
  <c r="X1287" i="2"/>
  <c r="X1283" i="2"/>
  <c r="X1279" i="2"/>
  <c r="X1275" i="2"/>
  <c r="X1271" i="2"/>
  <c r="X1267" i="2"/>
  <c r="X1263" i="2"/>
  <c r="X1259" i="2"/>
  <c r="X1255" i="2"/>
  <c r="X1251" i="2"/>
  <c r="X1247" i="2"/>
  <c r="X1243" i="2"/>
  <c r="X1239" i="2"/>
  <c r="X1235" i="2"/>
  <c r="X1231" i="2"/>
  <c r="X1227" i="2"/>
  <c r="X1223" i="2"/>
  <c r="X1219" i="2"/>
  <c r="X1215" i="2"/>
  <c r="X1211" i="2"/>
  <c r="X1207" i="2"/>
  <c r="X1203" i="2"/>
  <c r="X1199" i="2"/>
  <c r="X1195" i="2"/>
  <c r="X1191" i="2"/>
  <c r="X1187" i="2"/>
  <c r="X1183" i="2"/>
  <c r="X1179" i="2"/>
  <c r="X1175" i="2"/>
  <c r="X1171" i="2"/>
  <c r="X1167" i="2"/>
  <c r="X1163" i="2"/>
  <c r="X1159" i="2"/>
  <c r="X1155" i="2"/>
  <c r="X1151" i="2"/>
  <c r="X1147" i="2"/>
  <c r="X1143" i="2"/>
  <c r="X1139" i="2"/>
  <c r="X1135" i="2"/>
  <c r="X1131" i="2"/>
  <c r="X1127" i="2"/>
  <c r="X1123" i="2"/>
  <c r="X1119" i="2"/>
  <c r="X1115" i="2"/>
  <c r="X1111" i="2"/>
  <c r="X1107" i="2"/>
  <c r="X1103" i="2"/>
  <c r="X1099" i="2"/>
  <c r="X1095" i="2"/>
  <c r="X1091" i="2"/>
  <c r="X1087" i="2"/>
  <c r="X1083" i="2"/>
  <c r="X1079" i="2"/>
  <c r="X1075" i="2"/>
  <c r="X1071" i="2"/>
  <c r="X1067" i="2"/>
  <c r="X1063" i="2"/>
  <c r="X1059" i="2"/>
  <c r="X1055" i="2"/>
  <c r="X1051" i="2"/>
  <c r="X1047" i="2"/>
  <c r="X1043" i="2"/>
  <c r="X1039" i="2"/>
  <c r="X1035" i="2"/>
  <c r="X1031" i="2"/>
  <c r="X1027" i="2"/>
  <c r="X1023" i="2"/>
  <c r="X1019" i="2"/>
  <c r="X1015" i="2"/>
  <c r="X1011" i="2"/>
  <c r="X1007" i="2"/>
  <c r="X1003" i="2"/>
  <c r="X999" i="2"/>
  <c r="X995" i="2"/>
  <c r="X991" i="2"/>
  <c r="X987" i="2"/>
  <c r="X983" i="2"/>
  <c r="X979" i="2"/>
  <c r="X975" i="2"/>
  <c r="X971" i="2"/>
  <c r="X967" i="2"/>
  <c r="X963" i="2"/>
  <c r="X959" i="2"/>
  <c r="X955" i="2"/>
  <c r="X951" i="2"/>
  <c r="X947" i="2"/>
  <c r="X943" i="2"/>
  <c r="X939" i="2"/>
  <c r="X935" i="2"/>
  <c r="X931" i="2"/>
  <c r="X927" i="2"/>
  <c r="X923" i="2"/>
  <c r="X919" i="2"/>
  <c r="X915" i="2"/>
  <c r="X911" i="2"/>
  <c r="X907" i="2"/>
  <c r="X903" i="2"/>
  <c r="X899" i="2"/>
  <c r="X895" i="2"/>
  <c r="X891" i="2"/>
  <c r="X887" i="2"/>
  <c r="X883" i="2"/>
  <c r="X879" i="2"/>
  <c r="X875" i="2"/>
  <c r="X871" i="2"/>
  <c r="X867" i="2"/>
  <c r="X863" i="2"/>
  <c r="X859" i="2"/>
  <c r="X855" i="2"/>
  <c r="X851" i="2"/>
  <c r="X847" i="2"/>
  <c r="X843" i="2"/>
  <c r="X839" i="2"/>
  <c r="X835" i="2"/>
  <c r="X831" i="2"/>
  <c r="X827" i="2"/>
  <c r="X823" i="2"/>
  <c r="X819" i="2"/>
  <c r="X815" i="2"/>
  <c r="X811" i="2"/>
  <c r="X807" i="2"/>
  <c r="X803" i="2"/>
  <c r="X799" i="2"/>
  <c r="X795" i="2"/>
  <c r="X791" i="2"/>
  <c r="X787" i="2"/>
  <c r="X783" i="2"/>
  <c r="X779" i="2"/>
  <c r="X775" i="2"/>
  <c r="X771" i="2"/>
  <c r="X767" i="2"/>
  <c r="X763" i="2"/>
  <c r="X759" i="2"/>
  <c r="X755" i="2"/>
  <c r="X751" i="2"/>
  <c r="X747" i="2"/>
  <c r="X743" i="2"/>
  <c r="X739" i="2"/>
  <c r="X735" i="2"/>
  <c r="X731" i="2"/>
  <c r="X727" i="2"/>
  <c r="X723" i="2"/>
  <c r="X719" i="2"/>
  <c r="X715" i="2"/>
  <c r="X711" i="2"/>
  <c r="X707" i="2"/>
  <c r="X703" i="2"/>
  <c r="X699" i="2"/>
  <c r="X695" i="2"/>
  <c r="X691" i="2"/>
  <c r="X687" i="2"/>
  <c r="X683" i="2"/>
  <c r="X679" i="2"/>
  <c r="X675" i="2"/>
  <c r="X671" i="2"/>
  <c r="X667" i="2"/>
  <c r="X663" i="2"/>
  <c r="X659" i="2"/>
  <c r="X655" i="2"/>
  <c r="X651" i="2"/>
  <c r="X647" i="2"/>
  <c r="X643" i="2"/>
  <c r="X639" i="2"/>
  <c r="X1653" i="2"/>
  <c r="X1649" i="2"/>
  <c r="X1645" i="2"/>
  <c r="X1641" i="2"/>
  <c r="X1637" i="2"/>
  <c r="X1633" i="2"/>
  <c r="X1629" i="2"/>
  <c r="X1625" i="2"/>
  <c r="X1621" i="2"/>
  <c r="X1617" i="2"/>
  <c r="X1613" i="2"/>
  <c r="X1609" i="2"/>
  <c r="X1605" i="2"/>
  <c r="X1601" i="2"/>
  <c r="X1597" i="2"/>
  <c r="X1593" i="2"/>
  <c r="X1589" i="2"/>
  <c r="X1585" i="2"/>
  <c r="X1581" i="2"/>
  <c r="X1577" i="2"/>
  <c r="X1573" i="2"/>
  <c r="X1569" i="2"/>
  <c r="X1565" i="2"/>
  <c r="X1561" i="2"/>
  <c r="X1557" i="2"/>
  <c r="X1553" i="2"/>
  <c r="X1549" i="2"/>
  <c r="X1545" i="2"/>
  <c r="X1541" i="2"/>
  <c r="X1537" i="2"/>
  <c r="X1533" i="2"/>
  <c r="X1529" i="2"/>
  <c r="X1525" i="2"/>
  <c r="X1521" i="2"/>
  <c r="X1517" i="2"/>
  <c r="X1513" i="2"/>
  <c r="X1509" i="2"/>
  <c r="X1505" i="2"/>
  <c r="X1501" i="2"/>
  <c r="X1497" i="2"/>
  <c r="X1493" i="2"/>
  <c r="X1489" i="2"/>
  <c r="X1485" i="2"/>
  <c r="X1481" i="2"/>
  <c r="X1477" i="2"/>
  <c r="X1473" i="2"/>
  <c r="X1469" i="2"/>
  <c r="X1465" i="2"/>
  <c r="X1461" i="2"/>
  <c r="X1457" i="2"/>
  <c r="X1453" i="2"/>
  <c r="X1449" i="2"/>
  <c r="X1445" i="2"/>
  <c r="X1441" i="2"/>
  <c r="X1437" i="2"/>
  <c r="X1433" i="2"/>
  <c r="X1429" i="2"/>
  <c r="X1425" i="2"/>
  <c r="X1421" i="2"/>
  <c r="X1417" i="2"/>
  <c r="X1413" i="2"/>
  <c r="X1409" i="2"/>
  <c r="X1405" i="2"/>
  <c r="X1401" i="2"/>
  <c r="X1397" i="2"/>
  <c r="X1393" i="2"/>
  <c r="X1389" i="2"/>
  <c r="X1385" i="2"/>
  <c r="X1381" i="2"/>
  <c r="X1377" i="2"/>
  <c r="X1373" i="2"/>
  <c r="X1369" i="2"/>
  <c r="X1365" i="2"/>
  <c r="X1361" i="2"/>
  <c r="X1357" i="2"/>
  <c r="X1353" i="2"/>
  <c r="X1349" i="2"/>
  <c r="X1345" i="2"/>
  <c r="X1341" i="2"/>
  <c r="X1337" i="2"/>
  <c r="X1333" i="2"/>
  <c r="X1329" i="2"/>
  <c r="X1325" i="2"/>
  <c r="X1321" i="2"/>
  <c r="X1317" i="2"/>
  <c r="X1313" i="2"/>
  <c r="X1309" i="2"/>
  <c r="X1305" i="2"/>
  <c r="X1301" i="2"/>
  <c r="X1297" i="2"/>
  <c r="X1293" i="2"/>
  <c r="X1289" i="2"/>
  <c r="X1285" i="2"/>
  <c r="X1281" i="2"/>
  <c r="X1277" i="2"/>
  <c r="X1273" i="2"/>
  <c r="X1269" i="2"/>
  <c r="X1265" i="2"/>
  <c r="X1261" i="2"/>
  <c r="X1257" i="2"/>
  <c r="X1253" i="2"/>
  <c r="X1249" i="2"/>
  <c r="X1245" i="2"/>
  <c r="X1241" i="2"/>
  <c r="X1237" i="2"/>
  <c r="X1233" i="2"/>
  <c r="X1229" i="2"/>
  <c r="X1225" i="2"/>
  <c r="X1221" i="2"/>
  <c r="X1217" i="2"/>
  <c r="X1213" i="2"/>
  <c r="X1209" i="2"/>
  <c r="X1205" i="2"/>
  <c r="X1201" i="2"/>
  <c r="X1197" i="2"/>
  <c r="X1193" i="2"/>
  <c r="X1189" i="2"/>
  <c r="X1185" i="2"/>
  <c r="X1181" i="2"/>
  <c r="X1177" i="2"/>
  <c r="X1173" i="2"/>
  <c r="X1169" i="2"/>
  <c r="X1165" i="2"/>
  <c r="X1161" i="2"/>
  <c r="X1157" i="2"/>
  <c r="X1153" i="2"/>
  <c r="X1149" i="2"/>
  <c r="X1145" i="2"/>
  <c r="X1141" i="2"/>
  <c r="X1137" i="2"/>
  <c r="X1133" i="2"/>
  <c r="X1129" i="2"/>
  <c r="X1125" i="2"/>
  <c r="X1121" i="2"/>
  <c r="X1117" i="2"/>
  <c r="X1113" i="2"/>
  <c r="X1109" i="2"/>
  <c r="X1105" i="2"/>
  <c r="X1101" i="2"/>
  <c r="X1097" i="2"/>
  <c r="X1093" i="2"/>
  <c r="X1089" i="2"/>
  <c r="X1085" i="2"/>
  <c r="X1081" i="2"/>
  <c r="X1077" i="2"/>
  <c r="X1073" i="2"/>
  <c r="X1069" i="2"/>
  <c r="X1065" i="2"/>
  <c r="X1061" i="2"/>
  <c r="X1057" i="2"/>
  <c r="X1053" i="2"/>
  <c r="X1049" i="2"/>
  <c r="X1045" i="2"/>
  <c r="X1041" i="2"/>
  <c r="X1037" i="2"/>
  <c r="X1033" i="2"/>
  <c r="X1029" i="2"/>
  <c r="X1025" i="2"/>
  <c r="X1021" i="2"/>
  <c r="X1017" i="2"/>
  <c r="X1013" i="2"/>
  <c r="X1009" i="2"/>
  <c r="X1005" i="2"/>
  <c r="X1001" i="2"/>
  <c r="X997" i="2"/>
  <c r="X993" i="2"/>
  <c r="X989" i="2"/>
  <c r="X985" i="2"/>
  <c r="X981" i="2"/>
  <c r="X977" i="2"/>
  <c r="X973" i="2"/>
  <c r="X969" i="2"/>
  <c r="X965" i="2"/>
  <c r="X961" i="2"/>
  <c r="X957" i="2"/>
  <c r="X953" i="2"/>
  <c r="X949" i="2"/>
  <c r="X945" i="2"/>
  <c r="X941" i="2"/>
  <c r="X937" i="2"/>
  <c r="X933" i="2"/>
  <c r="X929" i="2"/>
  <c r="X925" i="2"/>
  <c r="X921" i="2"/>
  <c r="X917" i="2"/>
  <c r="X913" i="2"/>
  <c r="X909" i="2"/>
  <c r="X905" i="2"/>
  <c r="X901" i="2"/>
  <c r="X897" i="2"/>
  <c r="X893" i="2"/>
  <c r="X889" i="2"/>
  <c r="X885" i="2"/>
  <c r="X881" i="2"/>
  <c r="X877" i="2"/>
  <c r="X873" i="2"/>
  <c r="X869" i="2"/>
  <c r="X865" i="2"/>
  <c r="X861" i="2"/>
  <c r="X857" i="2"/>
  <c r="X853" i="2"/>
  <c r="X849" i="2"/>
  <c r="X845" i="2"/>
  <c r="X841" i="2"/>
  <c r="X837" i="2"/>
  <c r="X833" i="2"/>
  <c r="X829" i="2"/>
  <c r="X825" i="2"/>
  <c r="X821" i="2"/>
  <c r="X817" i="2"/>
  <c r="X813" i="2"/>
  <c r="X809" i="2"/>
  <c r="X805" i="2"/>
  <c r="X801" i="2"/>
  <c r="X797" i="2"/>
  <c r="X793" i="2"/>
  <c r="X789" i="2"/>
  <c r="X785" i="2"/>
  <c r="X781" i="2"/>
  <c r="X777" i="2"/>
  <c r="X773" i="2"/>
  <c r="X769" i="2"/>
  <c r="X765" i="2"/>
  <c r="X761" i="2"/>
  <c r="X757" i="2"/>
  <c r="X753" i="2"/>
  <c r="X749" i="2"/>
  <c r="X745" i="2"/>
  <c r="X741" i="2"/>
  <c r="X737" i="2"/>
  <c r="X733" i="2"/>
  <c r="X729" i="2"/>
  <c r="X725" i="2"/>
  <c r="X721" i="2"/>
  <c r="X717" i="2"/>
  <c r="X713" i="2"/>
  <c r="X709" i="2"/>
  <c r="X705" i="2"/>
  <c r="X701" i="2"/>
  <c r="X697" i="2"/>
  <c r="X693" i="2"/>
  <c r="X689" i="2"/>
  <c r="X685" i="2"/>
  <c r="X681" i="2"/>
  <c r="X677" i="2"/>
  <c r="X673" i="2"/>
  <c r="X669" i="2"/>
  <c r="X665" i="2"/>
  <c r="X661" i="2"/>
  <c r="X657" i="2"/>
  <c r="X653" i="2"/>
  <c r="X649" i="2"/>
  <c r="X645" i="2"/>
  <c r="X641" i="2"/>
  <c r="X637" i="2"/>
  <c r="X633" i="2"/>
  <c r="X629" i="2"/>
  <c r="X625" i="2"/>
  <c r="X621" i="2"/>
  <c r="X617" i="2"/>
  <c r="X613" i="2"/>
  <c r="X609" i="2"/>
  <c r="X605" i="2"/>
  <c r="X601" i="2"/>
  <c r="X597" i="2"/>
  <c r="X593" i="2"/>
  <c r="X589" i="2"/>
  <c r="X585" i="2"/>
  <c r="X581" i="2"/>
  <c r="X577" i="2"/>
  <c r="X573" i="2"/>
  <c r="X569" i="2"/>
  <c r="X565" i="2"/>
  <c r="X561" i="2"/>
  <c r="X557" i="2"/>
  <c r="X553" i="2"/>
  <c r="X549" i="2"/>
  <c r="X545" i="2"/>
  <c r="X541" i="2"/>
  <c r="X537" i="2"/>
  <c r="X533" i="2"/>
  <c r="X529" i="2"/>
  <c r="X525" i="2"/>
  <c r="X521" i="2"/>
  <c r="X517" i="2"/>
  <c r="X513" i="2"/>
  <c r="X509" i="2"/>
  <c r="X505" i="2"/>
  <c r="X501" i="2"/>
  <c r="X497" i="2"/>
  <c r="X493" i="2"/>
  <c r="X489" i="2"/>
  <c r="X485" i="2"/>
  <c r="X481" i="2"/>
  <c r="X477" i="2"/>
  <c r="X473" i="2"/>
  <c r="X469" i="2"/>
  <c r="X465" i="2"/>
  <c r="X461" i="2"/>
  <c r="X457" i="2"/>
  <c r="X453" i="2"/>
  <c r="X449" i="2"/>
  <c r="X445" i="2"/>
  <c r="X441" i="2"/>
  <c r="X437" i="2"/>
  <c r="X433" i="2"/>
  <c r="X429" i="2"/>
  <c r="X425" i="2"/>
  <c r="X421" i="2"/>
  <c r="X417" i="2"/>
  <c r="X413" i="2"/>
  <c r="X409" i="2"/>
  <c r="X405" i="2"/>
  <c r="X401" i="2"/>
  <c r="X397" i="2"/>
  <c r="X393" i="2"/>
  <c r="X389" i="2"/>
  <c r="X385" i="2"/>
  <c r="X381" i="2"/>
  <c r="X377" i="2"/>
  <c r="X373" i="2"/>
  <c r="X369" i="2"/>
  <c r="X365" i="2"/>
  <c r="X361" i="2"/>
  <c r="X357" i="2"/>
  <c r="X353" i="2"/>
  <c r="X349" i="2"/>
  <c r="X345" i="2"/>
  <c r="X341" i="2"/>
  <c r="X337" i="2"/>
  <c r="X333" i="2"/>
  <c r="X329" i="2"/>
  <c r="X325" i="2"/>
  <c r="X321" i="2"/>
  <c r="X317" i="2"/>
  <c r="X313" i="2"/>
  <c r="X309" i="2"/>
  <c r="X305" i="2"/>
  <c r="X301" i="2"/>
  <c r="X297" i="2"/>
  <c r="X293" i="2"/>
  <c r="X289" i="2"/>
  <c r="X285" i="2"/>
  <c r="X281" i="2"/>
  <c r="X277" i="2"/>
  <c r="X273" i="2"/>
  <c r="X269" i="2"/>
  <c r="X265" i="2"/>
  <c r="X261" i="2"/>
  <c r="X257" i="2"/>
  <c r="X253" i="2"/>
  <c r="X249" i="2"/>
  <c r="X245" i="2"/>
  <c r="X241" i="2"/>
  <c r="X237" i="2"/>
  <c r="X233" i="2"/>
  <c r="X229" i="2"/>
  <c r="X225" i="2"/>
  <c r="X221" i="2"/>
  <c r="X217" i="2"/>
  <c r="X213" i="2"/>
  <c r="X209" i="2"/>
  <c r="X205" i="2"/>
  <c r="X201" i="2"/>
  <c r="X197" i="2"/>
  <c r="X193" i="2"/>
  <c r="X189" i="2"/>
  <c r="X185" i="2"/>
  <c r="X181" i="2"/>
  <c r="X177" i="2"/>
  <c r="X173" i="2"/>
  <c r="X169" i="2"/>
  <c r="X165" i="2"/>
  <c r="X161" i="2"/>
  <c r="X157" i="2"/>
  <c r="X153" i="2"/>
  <c r="X149" i="2"/>
  <c r="X145" i="2"/>
  <c r="X141" i="2"/>
  <c r="X137" i="2"/>
  <c r="X133" i="2"/>
  <c r="X129" i="2"/>
  <c r="X125" i="2"/>
  <c r="X121" i="2"/>
  <c r="X117" i="2"/>
  <c r="X113" i="2"/>
  <c r="X635" i="2"/>
  <c r="X631" i="2"/>
  <c r="X627" i="2"/>
  <c r="X623" i="2"/>
  <c r="X619" i="2"/>
  <c r="X615" i="2"/>
  <c r="X611" i="2"/>
  <c r="X607" i="2"/>
  <c r="X603" i="2"/>
  <c r="X599" i="2"/>
  <c r="X595" i="2"/>
  <c r="X591" i="2"/>
  <c r="X587" i="2"/>
  <c r="X583" i="2"/>
  <c r="X579" i="2"/>
  <c r="X575" i="2"/>
  <c r="X571" i="2"/>
  <c r="X567" i="2"/>
  <c r="X563" i="2"/>
  <c r="X559" i="2"/>
  <c r="X555" i="2"/>
  <c r="X551" i="2"/>
  <c r="X547" i="2"/>
  <c r="X543" i="2"/>
  <c r="X539" i="2"/>
  <c r="X535" i="2"/>
  <c r="X531" i="2"/>
  <c r="X527" i="2"/>
  <c r="X523" i="2"/>
  <c r="X519" i="2"/>
  <c r="X515" i="2"/>
  <c r="X511" i="2"/>
  <c r="X507" i="2"/>
  <c r="X503" i="2"/>
  <c r="X499" i="2"/>
  <c r="X495" i="2"/>
  <c r="X491" i="2"/>
  <c r="X487" i="2"/>
  <c r="X483" i="2"/>
  <c r="X479" i="2"/>
  <c r="X475" i="2"/>
  <c r="X471" i="2"/>
  <c r="X467" i="2"/>
  <c r="X463" i="2"/>
  <c r="X459" i="2"/>
  <c r="X455" i="2"/>
  <c r="X451" i="2"/>
  <c r="X447" i="2"/>
  <c r="X443" i="2"/>
  <c r="X439" i="2"/>
  <c r="X435" i="2"/>
  <c r="X431" i="2"/>
  <c r="X427" i="2"/>
  <c r="X423" i="2"/>
  <c r="X419" i="2"/>
  <c r="X415" i="2"/>
  <c r="X411" i="2"/>
  <c r="X407" i="2"/>
  <c r="X403" i="2"/>
  <c r="X399" i="2"/>
  <c r="X395" i="2"/>
  <c r="X391" i="2"/>
  <c r="X387" i="2"/>
  <c r="X383" i="2"/>
  <c r="X379" i="2"/>
  <c r="X375" i="2"/>
  <c r="X371" i="2"/>
  <c r="X367" i="2"/>
  <c r="X363" i="2"/>
  <c r="X359" i="2"/>
  <c r="X355" i="2"/>
  <c r="X351" i="2"/>
  <c r="X347" i="2"/>
  <c r="X343" i="2"/>
  <c r="X339" i="2"/>
  <c r="X335" i="2"/>
  <c r="X331" i="2"/>
  <c r="X327" i="2"/>
  <c r="X323" i="2"/>
  <c r="X319" i="2"/>
  <c r="X315" i="2"/>
  <c r="X311" i="2"/>
  <c r="X307" i="2"/>
  <c r="X303" i="2"/>
  <c r="X299" i="2"/>
  <c r="X295" i="2"/>
  <c r="X291" i="2"/>
  <c r="X287" i="2"/>
  <c r="X283" i="2"/>
  <c r="X279" i="2"/>
  <c r="X275" i="2"/>
  <c r="X271" i="2"/>
  <c r="X267" i="2"/>
  <c r="X263" i="2"/>
  <c r="X259" i="2"/>
  <c r="X255" i="2"/>
  <c r="X251" i="2"/>
  <c r="X247" i="2"/>
  <c r="X243" i="2"/>
  <c r="X239" i="2"/>
  <c r="X235" i="2"/>
  <c r="X231" i="2"/>
  <c r="X227" i="2"/>
  <c r="X223" i="2"/>
  <c r="X219" i="2"/>
  <c r="X215" i="2"/>
  <c r="X211" i="2"/>
  <c r="X207" i="2"/>
  <c r="X203" i="2"/>
  <c r="X199" i="2"/>
  <c r="X195" i="2"/>
  <c r="X191" i="2"/>
  <c r="X187" i="2"/>
  <c r="X183" i="2"/>
  <c r="X179" i="2"/>
  <c r="X175" i="2"/>
  <c r="X171" i="2"/>
  <c r="X167" i="2"/>
  <c r="X163" i="2"/>
  <c r="X159" i="2"/>
  <c r="X155" i="2"/>
  <c r="X151" i="2"/>
  <c r="X147" i="2"/>
  <c r="X143" i="2"/>
  <c r="X139" i="2"/>
  <c r="X135" i="2"/>
  <c r="X131" i="2"/>
  <c r="X127" i="2"/>
  <c r="X123" i="2"/>
  <c r="X119" i="2"/>
  <c r="X115" i="2"/>
  <c r="E39" i="2"/>
  <c r="X1643" i="2"/>
  <c r="X1635" i="2"/>
  <c r="X1627" i="2"/>
  <c r="X1619" i="2"/>
  <c r="X1611" i="2"/>
  <c r="X1603" i="2"/>
  <c r="X1595" i="2"/>
  <c r="X1587" i="2"/>
  <c r="X1579" i="2"/>
  <c r="X1571" i="2"/>
  <c r="X1563" i="2"/>
  <c r="X1555" i="2"/>
  <c r="X1651" i="2"/>
  <c r="V1911" i="2"/>
  <c r="V1909" i="2"/>
  <c r="V1901" i="2"/>
  <c r="V1893" i="2"/>
  <c r="V1885" i="2"/>
  <c r="V1877" i="2"/>
  <c r="V1869" i="2"/>
  <c r="V1861" i="2"/>
  <c r="V1853" i="2"/>
  <c r="V1845" i="2"/>
  <c r="V1837" i="2"/>
  <c r="V1829" i="2"/>
  <c r="V1821" i="2"/>
  <c r="V1813" i="2"/>
  <c r="V1805" i="2"/>
  <c r="V1797" i="2"/>
  <c r="V1789" i="2"/>
  <c r="V1781" i="2"/>
  <c r="V1773" i="2"/>
  <c r="V1765" i="2"/>
  <c r="V1757" i="2"/>
  <c r="V1749" i="2"/>
  <c r="V1741" i="2"/>
  <c r="V1733" i="2"/>
  <c r="V1725" i="2"/>
  <c r="V1717" i="2"/>
  <c r="V1709" i="2"/>
  <c r="V1701" i="2"/>
  <c r="V1693" i="2"/>
  <c r="V1685" i="2"/>
  <c r="V1677" i="2"/>
  <c r="V1669" i="2"/>
  <c r="V1661" i="2"/>
  <c r="V1653" i="2"/>
  <c r="V1645" i="2"/>
  <c r="V1637" i="2"/>
  <c r="V1629" i="2"/>
  <c r="V1621" i="2"/>
  <c r="V1613" i="2"/>
  <c r="V1605" i="2"/>
  <c r="V1597" i="2"/>
  <c r="V1589" i="2"/>
  <c r="V1581" i="2"/>
  <c r="V1573" i="2"/>
  <c r="V1565" i="2"/>
  <c r="V1557" i="2"/>
  <c r="V1549" i="2"/>
  <c r="V1541" i="2"/>
  <c r="V1533" i="2"/>
  <c r="V1525" i="2"/>
  <c r="V1517" i="2"/>
  <c r="V1509" i="2"/>
  <c r="V1501" i="2"/>
  <c r="V1493" i="2"/>
  <c r="V1485" i="2"/>
  <c r="V1477" i="2"/>
  <c r="V1469" i="2"/>
  <c r="V1461" i="2"/>
  <c r="V1453" i="2"/>
  <c r="V1445" i="2"/>
  <c r="V1437" i="2"/>
  <c r="V1429" i="2"/>
  <c r="V1421" i="2"/>
  <c r="V1413" i="2"/>
  <c r="V1405" i="2"/>
  <c r="V1397" i="2"/>
  <c r="V1389" i="2"/>
  <c r="V1381" i="2"/>
  <c r="V1373" i="2"/>
  <c r="V1365" i="2"/>
  <c r="V1357" i="2"/>
  <c r="V1349" i="2"/>
  <c r="V1341" i="2"/>
  <c r="V1333" i="2"/>
  <c r="V1325" i="2"/>
  <c r="V1317" i="2"/>
  <c r="V1309" i="2"/>
  <c r="V1301" i="2"/>
  <c r="V1293" i="2"/>
  <c r="V1285" i="2"/>
  <c r="V1277" i="2"/>
  <c r="V1269" i="2"/>
  <c r="V1261" i="2"/>
  <c r="V1253" i="2"/>
  <c r="V1245" i="2"/>
  <c r="V1237" i="2"/>
  <c r="V1229" i="2"/>
  <c r="V1221" i="2"/>
  <c r="V1213" i="2"/>
  <c r="V1205" i="2"/>
  <c r="V1197" i="2"/>
  <c r="V1189" i="2"/>
  <c r="V1181" i="2"/>
  <c r="V1173" i="2"/>
  <c r="V1165" i="2"/>
  <c r="V1157" i="2"/>
  <c r="V1149" i="2"/>
  <c r="V1141" i="2"/>
  <c r="V1133" i="2"/>
  <c r="V1125" i="2"/>
  <c r="V1117" i="2"/>
  <c r="V1109" i="2"/>
  <c r="V1101" i="2"/>
  <c r="V1093" i="2"/>
  <c r="V1085" i="2"/>
  <c r="V1077" i="2"/>
  <c r="V1069" i="2"/>
  <c r="V1061" i="2"/>
  <c r="V1053" i="2"/>
  <c r="V1045" i="2"/>
  <c r="V1037" i="2"/>
  <c r="V1029" i="2"/>
  <c r="V1021" i="2"/>
  <c r="V1013" i="2"/>
  <c r="V1005" i="2"/>
  <c r="V997" i="2"/>
  <c r="V989" i="2"/>
  <c r="V981" i="2"/>
  <c r="V973" i="2"/>
  <c r="V965" i="2"/>
  <c r="V961" i="2"/>
  <c r="V957" i="2"/>
  <c r="V953" i="2"/>
  <c r="V949" i="2"/>
  <c r="V945" i="2"/>
  <c r="V1841" i="2"/>
  <c r="V1833" i="2"/>
  <c r="V1825" i="2"/>
  <c r="V1817" i="2"/>
  <c r="V1809" i="2"/>
  <c r="V1801" i="2"/>
  <c r="V1793" i="2"/>
  <c r="V1785" i="2"/>
  <c r="V1777" i="2"/>
  <c r="V1769" i="2"/>
  <c r="V1761" i="2"/>
  <c r="V1753" i="2"/>
  <c r="V1745" i="2"/>
  <c r="V1737" i="2"/>
  <c r="V1729" i="2"/>
  <c r="V1721" i="2"/>
  <c r="V1713" i="2"/>
  <c r="V1705" i="2"/>
  <c r="V1697" i="2"/>
  <c r="V1689" i="2"/>
  <c r="V1681" i="2"/>
  <c r="V1673" i="2"/>
  <c r="V1665" i="2"/>
  <c r="V1657" i="2"/>
  <c r="V1649" i="2"/>
  <c r="V1641" i="2"/>
  <c r="V1633" i="2"/>
  <c r="V1625" i="2"/>
  <c r="V1617" i="2"/>
  <c r="V1609" i="2"/>
  <c r="V1601" i="2"/>
  <c r="V1593" i="2"/>
  <c r="V1585" i="2"/>
  <c r="V1577" i="2"/>
  <c r="V1569" i="2"/>
  <c r="V1561" i="2"/>
  <c r="V1553" i="2"/>
  <c r="V1545" i="2"/>
  <c r="V1537" i="2"/>
  <c r="V1529" i="2"/>
  <c r="V1521" i="2"/>
  <c r="V1513" i="2"/>
  <c r="V1505" i="2"/>
  <c r="V1497" i="2"/>
  <c r="V1489" i="2"/>
  <c r="V1481" i="2"/>
  <c r="V1473" i="2"/>
  <c r="V1465" i="2"/>
  <c r="V1457" i="2"/>
  <c r="V1449" i="2"/>
  <c r="V1441" i="2"/>
  <c r="V1433" i="2"/>
  <c r="V1425" i="2"/>
  <c r="V1417" i="2"/>
  <c r="V1409" i="2"/>
  <c r="V1401" i="2"/>
  <c r="V1393" i="2"/>
  <c r="V1385" i="2"/>
  <c r="V1377" i="2"/>
  <c r="V1369" i="2"/>
  <c r="V1361" i="2"/>
  <c r="V1353" i="2"/>
  <c r="V1345" i="2"/>
  <c r="V1337" i="2"/>
  <c r="V1329" i="2"/>
  <c r="V1321" i="2"/>
  <c r="V1313" i="2"/>
  <c r="V1305" i="2"/>
  <c r="V1297" i="2"/>
  <c r="V1289" i="2"/>
  <c r="V1281" i="2"/>
  <c r="V1273" i="2"/>
  <c r="V1265" i="2"/>
  <c r="V1257" i="2"/>
  <c r="V1249" i="2"/>
  <c r="V1241" i="2"/>
  <c r="V1233" i="2"/>
  <c r="V1225" i="2"/>
  <c r="V1217" i="2"/>
  <c r="V1209" i="2"/>
  <c r="V1201" i="2"/>
  <c r="V1193" i="2"/>
  <c r="V1185" i="2"/>
  <c r="V1177" i="2"/>
  <c r="V1169" i="2"/>
  <c r="V1161" i="2"/>
  <c r="V1153" i="2"/>
  <c r="V1145" i="2"/>
  <c r="V1137" i="2"/>
  <c r="V1129" i="2"/>
  <c r="V1121" i="2"/>
  <c r="V1113" i="2"/>
  <c r="V1105" i="2"/>
  <c r="V1097" i="2"/>
  <c r="V1089" i="2"/>
  <c r="V1081" i="2"/>
  <c r="V1073" i="2"/>
  <c r="V1065" i="2"/>
  <c r="V1057" i="2"/>
  <c r="V1049" i="2"/>
  <c r="V1041" i="2"/>
  <c r="V1033" i="2"/>
  <c r="V1025" i="2"/>
  <c r="V1017" i="2"/>
  <c r="V1009" i="2"/>
  <c r="V1001" i="2"/>
  <c r="V993" i="2"/>
  <c r="V985" i="2"/>
  <c r="V977" i="2"/>
  <c r="V969" i="2"/>
  <c r="V963" i="2"/>
  <c r="V959" i="2"/>
  <c r="V955" i="2"/>
  <c r="V951" i="2"/>
  <c r="V947" i="2"/>
  <c r="V943" i="2"/>
  <c r="V939" i="2"/>
  <c r="V935" i="2"/>
  <c r="V931" i="2"/>
  <c r="V927" i="2"/>
  <c r="V941" i="2"/>
  <c r="V933" i="2"/>
  <c r="V925" i="2"/>
  <c r="V921" i="2"/>
  <c r="V917" i="2"/>
  <c r="V913" i="2"/>
  <c r="V909" i="2"/>
  <c r="V905" i="2"/>
  <c r="V901" i="2"/>
  <c r="V897" i="2"/>
  <c r="V893" i="2"/>
  <c r="V889" i="2"/>
  <c r="V885" i="2"/>
  <c r="V881" i="2"/>
  <c r="V877" i="2"/>
  <c r="V873" i="2"/>
  <c r="V869" i="2"/>
  <c r="V865" i="2"/>
  <c r="V861" i="2"/>
  <c r="V857" i="2"/>
  <c r="V853" i="2"/>
  <c r="V849" i="2"/>
  <c r="V845" i="2"/>
  <c r="V841" i="2"/>
  <c r="V837" i="2"/>
  <c r="V833" i="2"/>
  <c r="V829" i="2"/>
  <c r="V825" i="2"/>
  <c r="V821" i="2"/>
  <c r="V817" i="2"/>
  <c r="V813" i="2"/>
  <c r="V809" i="2"/>
  <c r="V805" i="2"/>
  <c r="V801" i="2"/>
  <c r="V797" i="2"/>
  <c r="V793" i="2"/>
  <c r="V789" i="2"/>
  <c r="V785" i="2"/>
  <c r="V781" i="2"/>
  <c r="V777" i="2"/>
  <c r="V773" i="2"/>
  <c r="V769" i="2"/>
  <c r="V765" i="2"/>
  <c r="V761" i="2"/>
  <c r="V757" i="2"/>
  <c r="V753" i="2"/>
  <c r="V749" i="2"/>
  <c r="V745" i="2"/>
  <c r="V741" i="2"/>
  <c r="V737" i="2"/>
  <c r="V733" i="2"/>
  <c r="V729" i="2"/>
  <c r="V725" i="2"/>
  <c r="V721" i="2"/>
  <c r="V717" i="2"/>
  <c r="V713" i="2"/>
  <c r="V709" i="2"/>
  <c r="V705" i="2"/>
  <c r="V701" i="2"/>
  <c r="V697" i="2"/>
  <c r="V693" i="2"/>
  <c r="V689" i="2"/>
  <c r="V685" i="2"/>
  <c r="V681" i="2"/>
  <c r="V677" i="2"/>
  <c r="V673" i="2"/>
  <c r="V669" i="2"/>
  <c r="V665" i="2"/>
  <c r="V661" i="2"/>
  <c r="V657" i="2"/>
  <c r="V653" i="2"/>
  <c r="V649" i="2"/>
  <c r="V645" i="2"/>
  <c r="V641" i="2"/>
  <c r="V637" i="2"/>
  <c r="V633" i="2"/>
  <c r="V629" i="2"/>
  <c r="V625" i="2"/>
  <c r="V621" i="2"/>
  <c r="V617" i="2"/>
  <c r="V613" i="2"/>
  <c r="V609" i="2"/>
  <c r="V605" i="2"/>
  <c r="V601" i="2"/>
  <c r="V597" i="2"/>
  <c r="V593" i="2"/>
  <c r="V589" i="2"/>
  <c r="V585" i="2"/>
  <c r="V581" i="2"/>
  <c r="V577" i="2"/>
  <c r="V573" i="2"/>
  <c r="V569" i="2"/>
  <c r="V565" i="2"/>
  <c r="V561" i="2"/>
  <c r="V557" i="2"/>
  <c r="V553" i="2"/>
  <c r="V549" i="2"/>
  <c r="V545" i="2"/>
  <c r="V541" i="2"/>
  <c r="V537" i="2"/>
  <c r="V533" i="2"/>
  <c r="V529" i="2"/>
  <c r="V525" i="2"/>
  <c r="V521" i="2"/>
  <c r="V517" i="2"/>
  <c r="V513" i="2"/>
  <c r="V509" i="2"/>
  <c r="V505" i="2"/>
  <c r="V501" i="2"/>
  <c r="V497" i="2"/>
  <c r="V493" i="2"/>
  <c r="V489" i="2"/>
  <c r="V485" i="2"/>
  <c r="V481" i="2"/>
  <c r="V477" i="2"/>
  <c r="V473" i="2"/>
  <c r="V469" i="2"/>
  <c r="V465" i="2"/>
  <c r="V461" i="2"/>
  <c r="V457" i="2"/>
  <c r="V453" i="2"/>
  <c r="V449" i="2"/>
  <c r="V445" i="2"/>
  <c r="V441" i="2"/>
  <c r="V437" i="2"/>
  <c r="V433" i="2"/>
  <c r="V429" i="2"/>
  <c r="V425" i="2"/>
  <c r="V421" i="2"/>
  <c r="V417" i="2"/>
  <c r="V413" i="2"/>
  <c r="V409" i="2"/>
  <c r="V405" i="2"/>
  <c r="V401" i="2"/>
  <c r="V397" i="2"/>
  <c r="V393" i="2"/>
  <c r="V389" i="2"/>
  <c r="V385" i="2"/>
  <c r="V381" i="2"/>
  <c r="V377" i="2"/>
  <c r="V373" i="2"/>
  <c r="V369" i="2"/>
  <c r="V365" i="2"/>
  <c r="V361" i="2"/>
  <c r="V357" i="2"/>
  <c r="V353" i="2"/>
  <c r="V349" i="2"/>
  <c r="V345" i="2"/>
  <c r="V341" i="2"/>
  <c r="V337" i="2"/>
  <c r="V333" i="2"/>
  <c r="V329" i="2"/>
  <c r="V325" i="2"/>
  <c r="V321" i="2"/>
  <c r="V317" i="2"/>
  <c r="V313" i="2"/>
  <c r="V309" i="2"/>
  <c r="V305" i="2"/>
  <c r="V301" i="2"/>
  <c r="V297" i="2"/>
  <c r="V293" i="2"/>
  <c r="V289" i="2"/>
  <c r="V285" i="2"/>
  <c r="V281" i="2"/>
  <c r="V277" i="2"/>
  <c r="V273" i="2"/>
  <c r="V269" i="2"/>
  <c r="V265" i="2"/>
  <c r="V261" i="2"/>
  <c r="V257" i="2"/>
  <c r="V253" i="2"/>
  <c r="V249" i="2"/>
  <c r="V245" i="2"/>
  <c r="V241" i="2"/>
  <c r="V237" i="2"/>
  <c r="V233" i="2"/>
  <c r="V229" i="2"/>
  <c r="V225" i="2"/>
  <c r="V221" i="2"/>
  <c r="V217" i="2"/>
  <c r="V213" i="2"/>
  <c r="V209" i="2"/>
  <c r="V205" i="2"/>
  <c r="V201" i="2"/>
  <c r="V197" i="2"/>
  <c r="V193" i="2"/>
  <c r="V189" i="2"/>
  <c r="V185" i="2"/>
  <c r="V181" i="2"/>
  <c r="V177" i="2"/>
  <c r="V173" i="2"/>
  <c r="V169" i="2"/>
  <c r="V165" i="2"/>
  <c r="V161" i="2"/>
  <c r="V157" i="2"/>
  <c r="V153" i="2"/>
  <c r="V149" i="2"/>
  <c r="V145" i="2"/>
  <c r="V141" i="2"/>
  <c r="V137" i="2"/>
  <c r="V133" i="2"/>
  <c r="V129" i="2"/>
  <c r="V125" i="2"/>
  <c r="V121" i="2"/>
  <c r="V117" i="2"/>
  <c r="V113" i="2"/>
  <c r="V937" i="2"/>
  <c r="V929" i="2"/>
  <c r="V923" i="2"/>
  <c r="V919" i="2"/>
  <c r="V915" i="2"/>
  <c r="V911" i="2"/>
  <c r="V907" i="2"/>
  <c r="V903" i="2"/>
  <c r="V899" i="2"/>
  <c r="V895" i="2"/>
  <c r="V891" i="2"/>
  <c r="V887" i="2"/>
  <c r="V883" i="2"/>
  <c r="V879" i="2"/>
  <c r="V875" i="2"/>
  <c r="V871" i="2"/>
  <c r="V867" i="2"/>
  <c r="V863" i="2"/>
  <c r="V859" i="2"/>
  <c r="V855" i="2"/>
  <c r="V851" i="2"/>
  <c r="V847" i="2"/>
  <c r="V843" i="2"/>
  <c r="V839" i="2"/>
  <c r="V835" i="2"/>
  <c r="V831" i="2"/>
  <c r="V827" i="2"/>
  <c r="V823" i="2"/>
  <c r="V819" i="2"/>
  <c r="V815" i="2"/>
  <c r="V811" i="2"/>
  <c r="V807" i="2"/>
  <c r="V803" i="2"/>
  <c r="V799" i="2"/>
  <c r="V795" i="2"/>
  <c r="V791" i="2"/>
  <c r="V787" i="2"/>
  <c r="V783" i="2"/>
  <c r="V779" i="2"/>
  <c r="V775" i="2"/>
  <c r="V771" i="2"/>
  <c r="V767" i="2"/>
  <c r="V763" i="2"/>
  <c r="V759" i="2"/>
  <c r="V755" i="2"/>
  <c r="V751" i="2"/>
  <c r="V747" i="2"/>
  <c r="V743" i="2"/>
  <c r="V739" i="2"/>
  <c r="V735" i="2"/>
  <c r="V731" i="2"/>
  <c r="V727" i="2"/>
  <c r="V723" i="2"/>
  <c r="V719" i="2"/>
  <c r="V715" i="2"/>
  <c r="V711" i="2"/>
  <c r="V707" i="2"/>
  <c r="V703" i="2"/>
  <c r="V699" i="2"/>
  <c r="V695" i="2"/>
  <c r="V691" i="2"/>
  <c r="V687" i="2"/>
  <c r="V683" i="2"/>
  <c r="V679" i="2"/>
  <c r="V675" i="2"/>
  <c r="V671" i="2"/>
  <c r="V667" i="2"/>
  <c r="V663" i="2"/>
  <c r="V659" i="2"/>
  <c r="V655" i="2"/>
  <c r="V651" i="2"/>
  <c r="V647" i="2"/>
  <c r="V643" i="2"/>
  <c r="V639" i="2"/>
  <c r="V635" i="2"/>
  <c r="V631" i="2"/>
  <c r="V627" i="2"/>
  <c r="V623" i="2"/>
  <c r="V619" i="2"/>
  <c r="V615" i="2"/>
  <c r="V611" i="2"/>
  <c r="V607" i="2"/>
  <c r="V603" i="2"/>
  <c r="V599" i="2"/>
  <c r="V595" i="2"/>
  <c r="V591" i="2"/>
  <c r="V587" i="2"/>
  <c r="V583" i="2"/>
  <c r="V579" i="2"/>
  <c r="V575" i="2"/>
  <c r="V571" i="2"/>
  <c r="V567" i="2"/>
  <c r="V563" i="2"/>
  <c r="V559" i="2"/>
  <c r="V555" i="2"/>
  <c r="V551" i="2"/>
  <c r="V547" i="2"/>
  <c r="V543" i="2"/>
  <c r="V539" i="2"/>
  <c r="V535" i="2"/>
  <c r="V531" i="2"/>
  <c r="V527" i="2"/>
  <c r="V523" i="2"/>
  <c r="V519" i="2"/>
  <c r="V515" i="2"/>
  <c r="V511" i="2"/>
  <c r="V507" i="2"/>
  <c r="V503" i="2"/>
  <c r="V499" i="2"/>
  <c r="V495" i="2"/>
  <c r="V491" i="2"/>
  <c r="V487" i="2"/>
  <c r="V483" i="2"/>
  <c r="V479" i="2"/>
  <c r="V475" i="2"/>
  <c r="V471" i="2"/>
  <c r="V467" i="2"/>
  <c r="V463" i="2"/>
  <c r="V459" i="2"/>
  <c r="V455" i="2"/>
  <c r="V451" i="2"/>
  <c r="V447" i="2"/>
  <c r="V443" i="2"/>
  <c r="V439" i="2"/>
  <c r="V435" i="2"/>
  <c r="V431" i="2"/>
  <c r="V427" i="2"/>
  <c r="V423" i="2"/>
  <c r="V419" i="2"/>
  <c r="V415" i="2"/>
  <c r="V411" i="2"/>
  <c r="V407" i="2"/>
  <c r="V403" i="2"/>
  <c r="V399" i="2"/>
  <c r="V395" i="2"/>
  <c r="V391" i="2"/>
  <c r="V387" i="2"/>
  <c r="V383" i="2"/>
  <c r="V379" i="2"/>
  <c r="V375" i="2"/>
  <c r="V371" i="2"/>
  <c r="V367" i="2"/>
  <c r="V363" i="2"/>
  <c r="V359" i="2"/>
  <c r="V355" i="2"/>
  <c r="V351" i="2"/>
  <c r="V347" i="2"/>
  <c r="V343" i="2"/>
  <c r="V339" i="2"/>
  <c r="V335" i="2"/>
  <c r="V331" i="2"/>
  <c r="V327" i="2"/>
  <c r="V323" i="2"/>
  <c r="V319" i="2"/>
  <c r="V315" i="2"/>
  <c r="V311" i="2"/>
  <c r="V307" i="2"/>
  <c r="V303" i="2"/>
  <c r="V299" i="2"/>
  <c r="V295" i="2"/>
  <c r="V291" i="2"/>
  <c r="V287" i="2"/>
  <c r="V283" i="2"/>
  <c r="V279" i="2"/>
  <c r="V275" i="2"/>
  <c r="V271" i="2"/>
  <c r="V267" i="2"/>
  <c r="V263" i="2"/>
  <c r="V259" i="2"/>
  <c r="V255" i="2"/>
  <c r="V251" i="2"/>
  <c r="V247" i="2"/>
  <c r="V243" i="2"/>
  <c r="V239" i="2"/>
  <c r="V235" i="2"/>
  <c r="V231" i="2"/>
  <c r="V227" i="2"/>
  <c r="V223" i="2"/>
  <c r="V219" i="2"/>
  <c r="V215" i="2"/>
  <c r="V211" i="2"/>
  <c r="V207" i="2"/>
  <c r="V203" i="2"/>
  <c r="V199" i="2"/>
  <c r="V195" i="2"/>
  <c r="V191" i="2"/>
  <c r="V187" i="2"/>
  <c r="V183" i="2"/>
  <c r="V179" i="2"/>
  <c r="V175" i="2"/>
  <c r="V171" i="2"/>
  <c r="V167" i="2"/>
  <c r="V163" i="2"/>
  <c r="V159" i="2"/>
  <c r="V155" i="2"/>
  <c r="V151" i="2"/>
  <c r="V147" i="2"/>
  <c r="V143" i="2"/>
  <c r="V139" i="2"/>
  <c r="V135" i="2"/>
  <c r="V131" i="2"/>
  <c r="V127" i="2"/>
  <c r="V123" i="2"/>
  <c r="V119" i="2"/>
  <c r="V115" i="2"/>
  <c r="X1647" i="2"/>
  <c r="X1639" i="2"/>
  <c r="X1631" i="2"/>
  <c r="X1623" i="2"/>
  <c r="X1615" i="2"/>
  <c r="X1607" i="2"/>
  <c r="X1599" i="2"/>
  <c r="X1591" i="2"/>
  <c r="X1583" i="2"/>
  <c r="X1575" i="2"/>
  <c r="X1567" i="2"/>
  <c r="X1559" i="2"/>
  <c r="X1551" i="2"/>
  <c r="V1889" i="2"/>
  <c r="V1873" i="2"/>
  <c r="V1857" i="2"/>
  <c r="V1905" i="2"/>
  <c r="T1912" i="2"/>
  <c r="T1910" i="2"/>
  <c r="T1908" i="2"/>
  <c r="T1906" i="2"/>
  <c r="T1904" i="2"/>
  <c r="T1902" i="2"/>
  <c r="T1900" i="2"/>
  <c r="T1898" i="2"/>
  <c r="T1896" i="2"/>
  <c r="T1894" i="2"/>
  <c r="T1892" i="2"/>
  <c r="T1890" i="2"/>
  <c r="T1888" i="2"/>
  <c r="T1886" i="2"/>
  <c r="T1884" i="2"/>
  <c r="T1882" i="2"/>
  <c r="T1880" i="2"/>
  <c r="T1878" i="2"/>
  <c r="T1876" i="2"/>
  <c r="T1874" i="2"/>
  <c r="T1872" i="2"/>
  <c r="T1870" i="2"/>
  <c r="T1868" i="2"/>
  <c r="T1866" i="2"/>
  <c r="T1864" i="2"/>
  <c r="T1862" i="2"/>
  <c r="T1860" i="2"/>
  <c r="T1858" i="2"/>
  <c r="T1856" i="2"/>
  <c r="T1854" i="2"/>
  <c r="T1852" i="2"/>
  <c r="T1850" i="2"/>
  <c r="T1848" i="2"/>
  <c r="T1846" i="2"/>
  <c r="T1844" i="2"/>
  <c r="T1842" i="2"/>
  <c r="T1840" i="2"/>
  <c r="T1838" i="2"/>
  <c r="T1836" i="2"/>
  <c r="T1834" i="2"/>
  <c r="T1832" i="2"/>
  <c r="T1830" i="2"/>
  <c r="T1828" i="2"/>
  <c r="T1826" i="2"/>
  <c r="T1824" i="2"/>
  <c r="T1822" i="2"/>
  <c r="T1820" i="2"/>
  <c r="T1818" i="2"/>
  <c r="T1816" i="2"/>
  <c r="T1814" i="2"/>
  <c r="T1812" i="2"/>
  <c r="T1810" i="2"/>
  <c r="T1808" i="2"/>
  <c r="T1806" i="2"/>
  <c r="T1804" i="2"/>
  <c r="T1802" i="2"/>
  <c r="T1800" i="2"/>
  <c r="T1798" i="2"/>
  <c r="T1796" i="2"/>
  <c r="T1794" i="2"/>
  <c r="T1792" i="2"/>
  <c r="T1790" i="2"/>
  <c r="T1788" i="2"/>
  <c r="T1786" i="2"/>
  <c r="T1784" i="2"/>
  <c r="T1782" i="2"/>
  <c r="T1780" i="2"/>
  <c r="T1778" i="2"/>
  <c r="T1776" i="2"/>
  <c r="T1774" i="2"/>
  <c r="T1772" i="2"/>
  <c r="T1770" i="2"/>
  <c r="T1768" i="2"/>
  <c r="T1766" i="2"/>
  <c r="T1764" i="2"/>
  <c r="T1762" i="2"/>
  <c r="T1760" i="2"/>
  <c r="T1758" i="2"/>
  <c r="T1756" i="2"/>
  <c r="T1754" i="2"/>
  <c r="T1752" i="2"/>
  <c r="T1750" i="2"/>
  <c r="T1748" i="2"/>
  <c r="T1746" i="2"/>
  <c r="T1744" i="2"/>
  <c r="T1742" i="2"/>
  <c r="T1740" i="2"/>
  <c r="T1738" i="2"/>
  <c r="T1736" i="2"/>
  <c r="T1734" i="2"/>
  <c r="T1732" i="2"/>
  <c r="T1730" i="2"/>
  <c r="T1728" i="2"/>
  <c r="T1726" i="2"/>
  <c r="T1724" i="2"/>
  <c r="T1722" i="2"/>
  <c r="T1720" i="2"/>
  <c r="T1718" i="2"/>
  <c r="T1716" i="2"/>
  <c r="T1714" i="2"/>
  <c r="T1712" i="2"/>
  <c r="T1710" i="2"/>
  <c r="T1708" i="2"/>
  <c r="T1706" i="2"/>
  <c r="T1704" i="2"/>
  <c r="T1702" i="2"/>
  <c r="T1700" i="2"/>
  <c r="T1698" i="2"/>
  <c r="T1696" i="2"/>
  <c r="T1694" i="2"/>
  <c r="T1692" i="2"/>
  <c r="T1690" i="2"/>
  <c r="T1688" i="2"/>
  <c r="T1686" i="2"/>
  <c r="T1684" i="2"/>
  <c r="T1682" i="2"/>
  <c r="T1680" i="2"/>
  <c r="T1678" i="2"/>
  <c r="T1676" i="2"/>
  <c r="T1674" i="2"/>
  <c r="T1672" i="2"/>
  <c r="T1670" i="2"/>
  <c r="T1668" i="2"/>
  <c r="T1666" i="2"/>
  <c r="T1664" i="2"/>
  <c r="T1662" i="2"/>
  <c r="T1660" i="2"/>
  <c r="T1658" i="2"/>
  <c r="T1656" i="2"/>
  <c r="T1654" i="2"/>
  <c r="T1652" i="2"/>
  <c r="T1650" i="2"/>
  <c r="T1648" i="2"/>
  <c r="T1646" i="2"/>
  <c r="T1644" i="2"/>
  <c r="T1642" i="2"/>
  <c r="T1640" i="2"/>
  <c r="T1638" i="2"/>
  <c r="T1636" i="2"/>
  <c r="T1634" i="2"/>
  <c r="T1632" i="2"/>
  <c r="T1630" i="2"/>
  <c r="T1628" i="2"/>
  <c r="T1626" i="2"/>
  <c r="T1624" i="2"/>
  <c r="T1622" i="2"/>
  <c r="T1620" i="2"/>
  <c r="T1618" i="2"/>
  <c r="T1616" i="2"/>
  <c r="T1614" i="2"/>
  <c r="T1612" i="2"/>
  <c r="T1610" i="2"/>
  <c r="T1608" i="2"/>
  <c r="T1606" i="2"/>
  <c r="T1604" i="2"/>
  <c r="T1602" i="2"/>
  <c r="T1600" i="2"/>
  <c r="T1598" i="2"/>
  <c r="T1596" i="2"/>
  <c r="T1594" i="2"/>
  <c r="T1592" i="2"/>
  <c r="T1590" i="2"/>
  <c r="T1588" i="2"/>
  <c r="T1586" i="2"/>
  <c r="T1584" i="2"/>
  <c r="T1582" i="2"/>
  <c r="T1580" i="2"/>
  <c r="T1578" i="2"/>
  <c r="T1576" i="2"/>
  <c r="T1574" i="2"/>
  <c r="T1572" i="2"/>
  <c r="T1570" i="2"/>
  <c r="T1568" i="2"/>
  <c r="T1566" i="2"/>
  <c r="T1564" i="2"/>
  <c r="T1562" i="2"/>
  <c r="T1560" i="2"/>
  <c r="T1558" i="2"/>
  <c r="T1556" i="2"/>
  <c r="T1554" i="2"/>
  <c r="T1552" i="2"/>
  <c r="T1550" i="2"/>
  <c r="T1548" i="2"/>
  <c r="T1546" i="2"/>
  <c r="T1544" i="2"/>
  <c r="T1542" i="2"/>
  <c r="T1540" i="2"/>
  <c r="T1538" i="2"/>
  <c r="T1536" i="2"/>
  <c r="T1534" i="2"/>
  <c r="T1532" i="2"/>
  <c r="T1530" i="2"/>
  <c r="T1528" i="2"/>
  <c r="T1526" i="2"/>
  <c r="T1524" i="2"/>
  <c r="T1522" i="2"/>
  <c r="T1520" i="2"/>
  <c r="T1518" i="2"/>
  <c r="T1516" i="2"/>
  <c r="T1514" i="2"/>
  <c r="T1512" i="2"/>
  <c r="T1510" i="2"/>
  <c r="T1508" i="2"/>
  <c r="T1506" i="2"/>
  <c r="T1504" i="2"/>
  <c r="T1502" i="2"/>
  <c r="T1500" i="2"/>
  <c r="T1498" i="2"/>
  <c r="T1496" i="2"/>
  <c r="T1494" i="2"/>
  <c r="T1492" i="2"/>
  <c r="T1490" i="2"/>
  <c r="T1488" i="2"/>
  <c r="T1486" i="2"/>
  <c r="T1484" i="2"/>
  <c r="T1482" i="2"/>
  <c r="T1480" i="2"/>
  <c r="T1478" i="2"/>
  <c r="T1476" i="2"/>
  <c r="T1474" i="2"/>
  <c r="T1472" i="2"/>
  <c r="T1470" i="2"/>
  <c r="T1468" i="2"/>
  <c r="T1466" i="2"/>
  <c r="T1464" i="2"/>
  <c r="T1462" i="2"/>
  <c r="T1460" i="2"/>
  <c r="T1458" i="2"/>
  <c r="T1909" i="2"/>
  <c r="T1905" i="2"/>
  <c r="T1901" i="2"/>
  <c r="T1897" i="2"/>
  <c r="T1893" i="2"/>
  <c r="T1889" i="2"/>
  <c r="T1885" i="2"/>
  <c r="T1881" i="2"/>
  <c r="T1877" i="2"/>
  <c r="T1873" i="2"/>
  <c r="T1869" i="2"/>
  <c r="T1865" i="2"/>
  <c r="T1861" i="2"/>
  <c r="T1857" i="2"/>
  <c r="T1853" i="2"/>
  <c r="T1849" i="2"/>
  <c r="T1845" i="2"/>
  <c r="T1841" i="2"/>
  <c r="T1837" i="2"/>
  <c r="T1833" i="2"/>
  <c r="T1829" i="2"/>
  <c r="T1825" i="2"/>
  <c r="T1821" i="2"/>
  <c r="T1817" i="2"/>
  <c r="T1813" i="2"/>
  <c r="T1809" i="2"/>
  <c r="T1805" i="2"/>
  <c r="T1801" i="2"/>
  <c r="T1797" i="2"/>
  <c r="T1793" i="2"/>
  <c r="T1789" i="2"/>
  <c r="T1785" i="2"/>
  <c r="T1781" i="2"/>
  <c r="T1777" i="2"/>
  <c r="T1773" i="2"/>
  <c r="T1769" i="2"/>
  <c r="T1765" i="2"/>
  <c r="T1761" i="2"/>
  <c r="T1757" i="2"/>
  <c r="T1753" i="2"/>
  <c r="T1749" i="2"/>
  <c r="T1745" i="2"/>
  <c r="T1741" i="2"/>
  <c r="T1737" i="2"/>
  <c r="T1733" i="2"/>
  <c r="T1729" i="2"/>
  <c r="T1725" i="2"/>
  <c r="T1721" i="2"/>
  <c r="T1717" i="2"/>
  <c r="T1713" i="2"/>
  <c r="T1709" i="2"/>
  <c r="T1705" i="2"/>
  <c r="T1701" i="2"/>
  <c r="T1697" i="2"/>
  <c r="T1693" i="2"/>
  <c r="T1689" i="2"/>
  <c r="T1685" i="2"/>
  <c r="T1681" i="2"/>
  <c r="T1677" i="2"/>
  <c r="T1673" i="2"/>
  <c r="T1669" i="2"/>
  <c r="T1665" i="2"/>
  <c r="T1661" i="2"/>
  <c r="T1657" i="2"/>
  <c r="T1653" i="2"/>
  <c r="T1649" i="2"/>
  <c r="T1645" i="2"/>
  <c r="T1641" i="2"/>
  <c r="T1637" i="2"/>
  <c r="T1633" i="2"/>
  <c r="T1629" i="2"/>
  <c r="T1625" i="2"/>
  <c r="T1621" i="2"/>
  <c r="T1617" i="2"/>
  <c r="T1613" i="2"/>
  <c r="T1609" i="2"/>
  <c r="T1605" i="2"/>
  <c r="T1601" i="2"/>
  <c r="T1597" i="2"/>
  <c r="T1593" i="2"/>
  <c r="T1589" i="2"/>
  <c r="T1585" i="2"/>
  <c r="T1581" i="2"/>
  <c r="T1577" i="2"/>
  <c r="T1573" i="2"/>
  <c r="T1569" i="2"/>
  <c r="T1565" i="2"/>
  <c r="T1561" i="2"/>
  <c r="T1557" i="2"/>
  <c r="T1553" i="2"/>
  <c r="T1549" i="2"/>
  <c r="T1545" i="2"/>
  <c r="T1541" i="2"/>
  <c r="T1537" i="2"/>
  <c r="T1533" i="2"/>
  <c r="T1529" i="2"/>
  <c r="T1525" i="2"/>
  <c r="T1521" i="2"/>
  <c r="T1517" i="2"/>
  <c r="T1513" i="2"/>
  <c r="T1509" i="2"/>
  <c r="T1505" i="2"/>
  <c r="T1501" i="2"/>
  <c r="T1497" i="2"/>
  <c r="T1493" i="2"/>
  <c r="T1489" i="2"/>
  <c r="T1485" i="2"/>
  <c r="T1481" i="2"/>
  <c r="T1477" i="2"/>
  <c r="T1473" i="2"/>
  <c r="T1469" i="2"/>
  <c r="T1465" i="2"/>
  <c r="T1461" i="2"/>
  <c r="T1457" i="2"/>
  <c r="T1455" i="2"/>
  <c r="T1453" i="2"/>
  <c r="T1451" i="2"/>
  <c r="T1449" i="2"/>
  <c r="T1447" i="2"/>
  <c r="T1445" i="2"/>
  <c r="T1443" i="2"/>
  <c r="T1441" i="2"/>
  <c r="T1439" i="2"/>
  <c r="T1437" i="2"/>
  <c r="T1435" i="2"/>
  <c r="T1433" i="2"/>
  <c r="T1431" i="2"/>
  <c r="T1429" i="2"/>
  <c r="T1427" i="2"/>
  <c r="T1425" i="2"/>
  <c r="T1423" i="2"/>
  <c r="T1421" i="2"/>
  <c r="T1419" i="2"/>
  <c r="T1417" i="2"/>
  <c r="T1415" i="2"/>
  <c r="T1413" i="2"/>
  <c r="T1411" i="2"/>
  <c r="T1409" i="2"/>
  <c r="T1407" i="2"/>
  <c r="T1405" i="2"/>
  <c r="T1403" i="2"/>
  <c r="T1401" i="2"/>
  <c r="T1399" i="2"/>
  <c r="T1397" i="2"/>
  <c r="T1395" i="2"/>
  <c r="T1393" i="2"/>
  <c r="T1391" i="2"/>
  <c r="T1389" i="2"/>
  <c r="T1387" i="2"/>
  <c r="T1385" i="2"/>
  <c r="T1383" i="2"/>
  <c r="T1381" i="2"/>
  <c r="T1379" i="2"/>
  <c r="T1377" i="2"/>
  <c r="T1375" i="2"/>
  <c r="T1373" i="2"/>
  <c r="T1371" i="2"/>
  <c r="T1369" i="2"/>
  <c r="T1367" i="2"/>
  <c r="T1365" i="2"/>
  <c r="T1363" i="2"/>
  <c r="T1361" i="2"/>
  <c r="T1359" i="2"/>
  <c r="T1357" i="2"/>
  <c r="T1355" i="2"/>
  <c r="T1353" i="2"/>
  <c r="T1351" i="2"/>
  <c r="T1349" i="2"/>
  <c r="T1347" i="2"/>
  <c r="T1345" i="2"/>
  <c r="T1343" i="2"/>
  <c r="T1341" i="2"/>
  <c r="T1339" i="2"/>
  <c r="T1337" i="2"/>
  <c r="T1335" i="2"/>
  <c r="T1333" i="2"/>
  <c r="T1331" i="2"/>
  <c r="T1329" i="2"/>
  <c r="T1327" i="2"/>
  <c r="T1325" i="2"/>
  <c r="T1323" i="2"/>
  <c r="T1321" i="2"/>
  <c r="T1319" i="2"/>
  <c r="T1317" i="2"/>
  <c r="T1315" i="2"/>
  <c r="T1313" i="2"/>
  <c r="T1311" i="2"/>
  <c r="T1309" i="2"/>
  <c r="T1307" i="2"/>
  <c r="T1305" i="2"/>
  <c r="T1303" i="2"/>
  <c r="T1301" i="2"/>
  <c r="T1299" i="2"/>
  <c r="T1297" i="2"/>
  <c r="T1295" i="2"/>
  <c r="T1293" i="2"/>
  <c r="T1291" i="2"/>
  <c r="T1289" i="2"/>
  <c r="T1287" i="2"/>
  <c r="T1285" i="2"/>
  <c r="T1283" i="2"/>
  <c r="T1281" i="2"/>
  <c r="T1279" i="2"/>
  <c r="T1277" i="2"/>
  <c r="T1275" i="2"/>
  <c r="T1273" i="2"/>
  <c r="T1271" i="2"/>
  <c r="T1269" i="2"/>
  <c r="T1267" i="2"/>
  <c r="T1265" i="2"/>
  <c r="T1263" i="2"/>
  <c r="T1261" i="2"/>
  <c r="T1259" i="2"/>
  <c r="T1257" i="2"/>
  <c r="T1255" i="2"/>
  <c r="T1253" i="2"/>
  <c r="T1251" i="2"/>
  <c r="T1249" i="2"/>
  <c r="T1247" i="2"/>
  <c r="T1245" i="2"/>
  <c r="T1243" i="2"/>
  <c r="T1241" i="2"/>
  <c r="T1239" i="2"/>
  <c r="T1237" i="2"/>
  <c r="T1235" i="2"/>
  <c r="T1233" i="2"/>
  <c r="T1231" i="2"/>
  <c r="T1229" i="2"/>
  <c r="T1227" i="2"/>
  <c r="T1225" i="2"/>
  <c r="T1223" i="2"/>
  <c r="T1221" i="2"/>
  <c r="T1219" i="2"/>
  <c r="T1217" i="2"/>
  <c r="T1215" i="2"/>
  <c r="T1213" i="2"/>
  <c r="T1211" i="2"/>
  <c r="T1209" i="2"/>
  <c r="T1207" i="2"/>
  <c r="T1205" i="2"/>
  <c r="T1203" i="2"/>
  <c r="T1201" i="2"/>
  <c r="T1199" i="2"/>
  <c r="T1197" i="2"/>
  <c r="T1195" i="2"/>
  <c r="T1193" i="2"/>
  <c r="T1191" i="2"/>
  <c r="T1189" i="2"/>
  <c r="T1187" i="2"/>
  <c r="T1185" i="2"/>
  <c r="T1183" i="2"/>
  <c r="T1181" i="2"/>
  <c r="T1179" i="2"/>
  <c r="T1177" i="2"/>
  <c r="T1175" i="2"/>
  <c r="T1173" i="2"/>
  <c r="T1171" i="2"/>
  <c r="T1169" i="2"/>
  <c r="T1167" i="2"/>
  <c r="T1165" i="2"/>
  <c r="T1163" i="2"/>
  <c r="T1161" i="2"/>
  <c r="T1159" i="2"/>
  <c r="T1157" i="2"/>
  <c r="T1155" i="2"/>
  <c r="T1153" i="2"/>
  <c r="T1151" i="2"/>
  <c r="T1149" i="2"/>
  <c r="T1147" i="2"/>
  <c r="T1145" i="2"/>
  <c r="T1143" i="2"/>
  <c r="T1141" i="2"/>
  <c r="T1139" i="2"/>
  <c r="T1137" i="2"/>
  <c r="T1135" i="2"/>
  <c r="T1133" i="2"/>
  <c r="T1131" i="2"/>
  <c r="T1129" i="2"/>
  <c r="T1127" i="2"/>
  <c r="T1125" i="2"/>
  <c r="T1123" i="2"/>
  <c r="T1121" i="2"/>
  <c r="T1119" i="2"/>
  <c r="T1117" i="2"/>
  <c r="T1115" i="2"/>
  <c r="T1113" i="2"/>
  <c r="T1111" i="2"/>
  <c r="T1109" i="2"/>
  <c r="T1107" i="2"/>
  <c r="T1105" i="2"/>
  <c r="T1103" i="2"/>
  <c r="T1101" i="2"/>
  <c r="T1099" i="2"/>
  <c r="T1097" i="2"/>
  <c r="T1095" i="2"/>
  <c r="T1093" i="2"/>
  <c r="T1091" i="2"/>
  <c r="T1089" i="2"/>
  <c r="T1087" i="2"/>
  <c r="T1085" i="2"/>
  <c r="T1083" i="2"/>
  <c r="T1081" i="2"/>
  <c r="T1079" i="2"/>
  <c r="T1077" i="2"/>
  <c r="T1075" i="2"/>
  <c r="T1073" i="2"/>
  <c r="T1071" i="2"/>
  <c r="T1069" i="2"/>
  <c r="T1067" i="2"/>
  <c r="T1065" i="2"/>
  <c r="T1063" i="2"/>
  <c r="T1061" i="2"/>
  <c r="T1059" i="2"/>
  <c r="T1057" i="2"/>
  <c r="T1055" i="2"/>
  <c r="T1053" i="2"/>
  <c r="T1051" i="2"/>
  <c r="T1049" i="2"/>
  <c r="T1047" i="2"/>
  <c r="T1045" i="2"/>
  <c r="T1043" i="2"/>
  <c r="T1041" i="2"/>
  <c r="T1039" i="2"/>
  <c r="T1037" i="2"/>
  <c r="T1035" i="2"/>
  <c r="T1033" i="2"/>
  <c r="T1031" i="2"/>
  <c r="T1029" i="2"/>
  <c r="T1027" i="2"/>
  <c r="T1025" i="2"/>
  <c r="T1023" i="2"/>
  <c r="T1021" i="2"/>
  <c r="T1019" i="2"/>
  <c r="T1017" i="2"/>
  <c r="T1015" i="2"/>
  <c r="T1013" i="2"/>
  <c r="T1011" i="2"/>
  <c r="T1009" i="2"/>
  <c r="T1007" i="2"/>
  <c r="T1005" i="2"/>
  <c r="T1003" i="2"/>
  <c r="T1001" i="2"/>
  <c r="T999" i="2"/>
  <c r="T997" i="2"/>
  <c r="T995" i="2"/>
  <c r="T993" i="2"/>
  <c r="T991" i="2"/>
  <c r="T989" i="2"/>
  <c r="T987" i="2"/>
  <c r="T985" i="2"/>
  <c r="T983" i="2"/>
  <c r="T981" i="2"/>
  <c r="T979" i="2"/>
  <c r="T977" i="2"/>
  <c r="T975" i="2"/>
  <c r="T973" i="2"/>
  <c r="T971" i="2"/>
  <c r="T969" i="2"/>
  <c r="T967" i="2"/>
  <c r="T965" i="2"/>
  <c r="T963" i="2"/>
  <c r="T961" i="2"/>
  <c r="T959" i="2"/>
  <c r="T957" i="2"/>
  <c r="T955" i="2"/>
  <c r="T953" i="2"/>
  <c r="T951" i="2"/>
  <c r="T949" i="2"/>
  <c r="T947" i="2"/>
  <c r="T945" i="2"/>
  <c r="T943" i="2"/>
  <c r="T941" i="2"/>
  <c r="T939" i="2"/>
  <c r="T937" i="2"/>
  <c r="T935" i="2"/>
  <c r="T933" i="2"/>
  <c r="T931" i="2"/>
  <c r="T929" i="2"/>
  <c r="T927" i="2"/>
  <c r="T925" i="2"/>
  <c r="T923" i="2"/>
  <c r="T921" i="2"/>
  <c r="T919" i="2"/>
  <c r="T917" i="2"/>
  <c r="T915" i="2"/>
  <c r="T913" i="2"/>
  <c r="T911" i="2"/>
  <c r="T909" i="2"/>
  <c r="T907" i="2"/>
  <c r="T905" i="2"/>
  <c r="T903" i="2"/>
  <c r="T901" i="2"/>
  <c r="T899" i="2"/>
  <c r="T897" i="2"/>
  <c r="T895" i="2"/>
  <c r="T893" i="2"/>
  <c r="T891" i="2"/>
  <c r="T889" i="2"/>
  <c r="T887" i="2"/>
  <c r="T885" i="2"/>
  <c r="T883" i="2"/>
  <c r="T881" i="2"/>
  <c r="T879" i="2"/>
  <c r="T877" i="2"/>
  <c r="T875" i="2"/>
  <c r="T873" i="2"/>
  <c r="T871" i="2"/>
  <c r="T869" i="2"/>
  <c r="T867" i="2"/>
  <c r="T865" i="2"/>
  <c r="T863" i="2"/>
  <c r="T861" i="2"/>
  <c r="T859" i="2"/>
  <c r="T857" i="2"/>
  <c r="T855" i="2"/>
  <c r="T853" i="2"/>
  <c r="T851" i="2"/>
  <c r="T849" i="2"/>
  <c r="T847" i="2"/>
  <c r="T845" i="2"/>
  <c r="T843" i="2"/>
  <c r="T841" i="2"/>
  <c r="T839" i="2"/>
  <c r="T837" i="2"/>
  <c r="T835" i="2"/>
  <c r="T833" i="2"/>
  <c r="T831" i="2"/>
  <c r="T829" i="2"/>
  <c r="T827" i="2"/>
  <c r="T825" i="2"/>
  <c r="T823" i="2"/>
  <c r="T821" i="2"/>
  <c r="T819" i="2"/>
  <c r="T817" i="2"/>
  <c r="T815" i="2"/>
  <c r="T813" i="2"/>
  <c r="T811" i="2"/>
  <c r="T809" i="2"/>
  <c r="T807" i="2"/>
  <c r="T805" i="2"/>
  <c r="T803" i="2"/>
  <c r="T801" i="2"/>
  <c r="T799" i="2"/>
  <c r="T797" i="2"/>
  <c r="T795" i="2"/>
  <c r="T793" i="2"/>
  <c r="T791" i="2"/>
  <c r="T789" i="2"/>
  <c r="T787" i="2"/>
  <c r="T785" i="2"/>
  <c r="T783" i="2"/>
  <c r="T781" i="2"/>
  <c r="T779" i="2"/>
  <c r="T777" i="2"/>
  <c r="T775" i="2"/>
  <c r="T773" i="2"/>
  <c r="T771" i="2"/>
  <c r="T769" i="2"/>
  <c r="T767" i="2"/>
  <c r="T765" i="2"/>
  <c r="T763" i="2"/>
  <c r="T761" i="2"/>
  <c r="T759" i="2"/>
  <c r="T757" i="2"/>
  <c r="T755" i="2"/>
  <c r="T753" i="2"/>
  <c r="T751" i="2"/>
  <c r="T749" i="2"/>
  <c r="T747" i="2"/>
  <c r="T745" i="2"/>
  <c r="T743" i="2"/>
  <c r="T741" i="2"/>
  <c r="T739" i="2"/>
  <c r="T737" i="2"/>
  <c r="T735" i="2"/>
  <c r="T733" i="2"/>
  <c r="T731" i="2"/>
  <c r="T729" i="2"/>
  <c r="T727" i="2"/>
  <c r="T725" i="2"/>
  <c r="T723" i="2"/>
  <c r="T721" i="2"/>
  <c r="T719" i="2"/>
  <c r="T717" i="2"/>
  <c r="T715" i="2"/>
  <c r="T713" i="2"/>
  <c r="T711" i="2"/>
  <c r="T709" i="2"/>
  <c r="T707" i="2"/>
  <c r="T705" i="2"/>
  <c r="T703" i="2"/>
  <c r="T701" i="2"/>
  <c r="T699" i="2"/>
  <c r="T697" i="2"/>
  <c r="T695" i="2"/>
  <c r="T693" i="2"/>
  <c r="T691" i="2"/>
  <c r="T689" i="2"/>
  <c r="T687" i="2"/>
  <c r="T685" i="2"/>
  <c r="T683" i="2"/>
  <c r="T681" i="2"/>
  <c r="T679" i="2"/>
  <c r="T677" i="2"/>
  <c r="T675" i="2"/>
  <c r="T673" i="2"/>
  <c r="T671" i="2"/>
  <c r="T669" i="2"/>
  <c r="T667" i="2"/>
  <c r="T665" i="2"/>
  <c r="T663" i="2"/>
  <c r="T661" i="2"/>
  <c r="T659" i="2"/>
  <c r="T657" i="2"/>
  <c r="T655" i="2"/>
  <c r="T653" i="2"/>
  <c r="T651" i="2"/>
  <c r="T649" i="2"/>
  <c r="T647" i="2"/>
  <c r="T645" i="2"/>
  <c r="T643" i="2"/>
  <c r="T641" i="2"/>
  <c r="T639" i="2"/>
  <c r="T637" i="2"/>
  <c r="T635" i="2"/>
  <c r="T633" i="2"/>
  <c r="T631" i="2"/>
  <c r="T629" i="2"/>
  <c r="T627" i="2"/>
  <c r="T625" i="2"/>
  <c r="T623" i="2"/>
  <c r="T621" i="2"/>
  <c r="T619" i="2"/>
  <c r="T617" i="2"/>
  <c r="T615" i="2"/>
  <c r="T613" i="2"/>
  <c r="T611" i="2"/>
  <c r="T609" i="2"/>
  <c r="T607" i="2"/>
  <c r="T605" i="2"/>
  <c r="T603" i="2"/>
  <c r="T601" i="2"/>
  <c r="T599" i="2"/>
  <c r="T597" i="2"/>
  <c r="T595" i="2"/>
  <c r="T593" i="2"/>
  <c r="T591" i="2"/>
  <c r="T589" i="2"/>
  <c r="T587" i="2"/>
  <c r="T585" i="2"/>
  <c r="T583" i="2"/>
  <c r="T581" i="2"/>
  <c r="T579" i="2"/>
  <c r="T577" i="2"/>
  <c r="T575" i="2"/>
  <c r="T573" i="2"/>
  <c r="T571" i="2"/>
  <c r="T569" i="2"/>
  <c r="T567" i="2"/>
  <c r="T565" i="2"/>
  <c r="T563" i="2"/>
  <c r="T561" i="2"/>
  <c r="T559" i="2"/>
  <c r="T557" i="2"/>
  <c r="T555" i="2"/>
  <c r="T553" i="2"/>
  <c r="T551" i="2"/>
  <c r="T549" i="2"/>
  <c r="T547" i="2"/>
  <c r="T545" i="2"/>
  <c r="T543" i="2"/>
  <c r="T541" i="2"/>
  <c r="T539" i="2"/>
  <c r="T537" i="2"/>
  <c r="T535" i="2"/>
  <c r="T533" i="2"/>
  <c r="T531" i="2"/>
  <c r="T529" i="2"/>
  <c r="T527" i="2"/>
  <c r="T525" i="2"/>
  <c r="T523" i="2"/>
  <c r="T521" i="2"/>
  <c r="T519" i="2"/>
  <c r="T517" i="2"/>
  <c r="T515" i="2"/>
  <c r="T513" i="2"/>
  <c r="T511" i="2"/>
  <c r="T509" i="2"/>
  <c r="T507" i="2"/>
  <c r="T505" i="2"/>
  <c r="T503" i="2"/>
  <c r="T501" i="2"/>
  <c r="T499" i="2"/>
  <c r="T497" i="2"/>
  <c r="T495" i="2"/>
  <c r="T493" i="2"/>
  <c r="T491" i="2"/>
  <c r="T489" i="2"/>
  <c r="T487" i="2"/>
  <c r="T485" i="2"/>
  <c r="T483" i="2"/>
  <c r="T481" i="2"/>
  <c r="T479" i="2"/>
  <c r="T477" i="2"/>
  <c r="T475" i="2"/>
  <c r="T473" i="2"/>
  <c r="T471" i="2"/>
  <c r="T469" i="2"/>
  <c r="T467" i="2"/>
  <c r="T465" i="2"/>
  <c r="T463" i="2"/>
  <c r="T461" i="2"/>
  <c r="T459" i="2"/>
  <c r="T457" i="2"/>
  <c r="T455" i="2"/>
  <c r="T453" i="2"/>
  <c r="T451" i="2"/>
  <c r="T449" i="2"/>
  <c r="T447" i="2"/>
  <c r="T445" i="2"/>
  <c r="T443" i="2"/>
  <c r="T441" i="2"/>
  <c r="T439" i="2"/>
  <c r="T437" i="2"/>
  <c r="T435" i="2"/>
  <c r="T433" i="2"/>
  <c r="T431" i="2"/>
  <c r="T429" i="2"/>
  <c r="T427" i="2"/>
  <c r="T425" i="2"/>
  <c r="T423" i="2"/>
  <c r="T421" i="2"/>
  <c r="T419" i="2"/>
  <c r="T417" i="2"/>
  <c r="T415" i="2"/>
  <c r="T413" i="2"/>
  <c r="T411" i="2"/>
  <c r="T409" i="2"/>
  <c r="T407" i="2"/>
  <c r="T405" i="2"/>
  <c r="T403" i="2"/>
  <c r="T401" i="2"/>
  <c r="T399" i="2"/>
  <c r="T397" i="2"/>
  <c r="T395" i="2"/>
  <c r="T393" i="2"/>
  <c r="T391" i="2"/>
  <c r="T389" i="2"/>
  <c r="T387" i="2"/>
  <c r="T385" i="2"/>
  <c r="T383" i="2"/>
  <c r="T381" i="2"/>
  <c r="T379" i="2"/>
  <c r="T377" i="2"/>
  <c r="T375" i="2"/>
  <c r="T373" i="2"/>
  <c r="T371" i="2"/>
  <c r="T369" i="2"/>
  <c r="T367" i="2"/>
  <c r="T365" i="2"/>
  <c r="T363" i="2"/>
  <c r="T361" i="2"/>
  <c r="T359" i="2"/>
  <c r="T357" i="2"/>
  <c r="T355" i="2"/>
  <c r="T353" i="2"/>
  <c r="T351" i="2"/>
  <c r="T349" i="2"/>
  <c r="T347" i="2"/>
  <c r="T345" i="2"/>
  <c r="T343" i="2"/>
  <c r="T341" i="2"/>
  <c r="T339" i="2"/>
  <c r="T337" i="2"/>
  <c r="T335" i="2"/>
  <c r="T333" i="2"/>
  <c r="T331" i="2"/>
  <c r="T329" i="2"/>
  <c r="T327" i="2"/>
  <c r="T325" i="2"/>
  <c r="T323" i="2"/>
  <c r="T321" i="2"/>
  <c r="T319" i="2"/>
  <c r="T317" i="2"/>
  <c r="T315" i="2"/>
  <c r="T313" i="2"/>
  <c r="T311" i="2"/>
  <c r="T309" i="2"/>
  <c r="T307" i="2"/>
  <c r="T305" i="2"/>
  <c r="T303" i="2"/>
  <c r="T301" i="2"/>
  <c r="T299" i="2"/>
  <c r="T297" i="2"/>
  <c r="T295" i="2"/>
  <c r="T293" i="2"/>
  <c r="T291" i="2"/>
  <c r="T289" i="2"/>
  <c r="T287" i="2"/>
  <c r="T285" i="2"/>
  <c r="T283" i="2"/>
  <c r="T281" i="2"/>
  <c r="T279" i="2"/>
  <c r="T277" i="2"/>
  <c r="T275" i="2"/>
  <c r="T273" i="2"/>
  <c r="T271" i="2"/>
  <c r="T269" i="2"/>
  <c r="T267" i="2"/>
  <c r="T265" i="2"/>
  <c r="T263" i="2"/>
  <c r="T261" i="2"/>
  <c r="T259" i="2"/>
  <c r="T257" i="2"/>
  <c r="T255" i="2"/>
  <c r="T253" i="2"/>
  <c r="T251" i="2"/>
  <c r="T249" i="2"/>
  <c r="T247" i="2"/>
  <c r="T245" i="2"/>
  <c r="T243" i="2"/>
  <c r="T241" i="2"/>
  <c r="T239" i="2"/>
  <c r="T237" i="2"/>
  <c r="T235" i="2"/>
  <c r="T233" i="2"/>
  <c r="T231" i="2"/>
  <c r="T229" i="2"/>
  <c r="T227" i="2"/>
  <c r="T225" i="2"/>
  <c r="T223" i="2"/>
  <c r="T221" i="2"/>
  <c r="T219" i="2"/>
  <c r="T217" i="2"/>
  <c r="T215" i="2"/>
  <c r="T213" i="2"/>
  <c r="T211" i="2"/>
  <c r="T209" i="2"/>
  <c r="T207" i="2"/>
  <c r="T205" i="2"/>
  <c r="T203" i="2"/>
  <c r="T201" i="2"/>
  <c r="T199" i="2"/>
  <c r="T197" i="2"/>
  <c r="T195" i="2"/>
  <c r="T193" i="2"/>
  <c r="T191" i="2"/>
  <c r="T189" i="2"/>
  <c r="T187" i="2"/>
  <c r="T185" i="2"/>
  <c r="T183" i="2"/>
  <c r="T181" i="2"/>
  <c r="T179" i="2"/>
  <c r="T177" i="2"/>
  <c r="T175" i="2"/>
  <c r="T173" i="2"/>
  <c r="T171" i="2"/>
  <c r="T169" i="2"/>
  <c r="T167" i="2"/>
  <c r="T165" i="2"/>
  <c r="T163" i="2"/>
  <c r="T161" i="2"/>
  <c r="T159" i="2"/>
  <c r="T157" i="2"/>
  <c r="T155" i="2"/>
  <c r="T153" i="2"/>
  <c r="T151" i="2"/>
  <c r="T149" i="2"/>
  <c r="T147" i="2"/>
  <c r="T145" i="2"/>
  <c r="T143" i="2"/>
  <c r="T141" i="2"/>
  <c r="T139" i="2"/>
  <c r="T137" i="2"/>
  <c r="T135" i="2"/>
  <c r="T133" i="2"/>
  <c r="T131" i="2"/>
  <c r="T129" i="2"/>
  <c r="T127" i="2"/>
  <c r="T125" i="2"/>
  <c r="T123" i="2"/>
  <c r="T121" i="2"/>
  <c r="T119" i="2"/>
  <c r="T117" i="2"/>
  <c r="T115" i="2"/>
  <c r="T113" i="2"/>
  <c r="T1911" i="2"/>
  <c r="T1903" i="2"/>
  <c r="T1895" i="2"/>
  <c r="T1887" i="2"/>
  <c r="T1879" i="2"/>
  <c r="T1871" i="2"/>
  <c r="T1863" i="2"/>
  <c r="T1855" i="2"/>
  <c r="T1847" i="2"/>
  <c r="T1839" i="2"/>
  <c r="T1831" i="2"/>
  <c r="T1823" i="2"/>
  <c r="T1815" i="2"/>
  <c r="T1807" i="2"/>
  <c r="T1799" i="2"/>
  <c r="T1791" i="2"/>
  <c r="T1783" i="2"/>
  <c r="T1775" i="2"/>
  <c r="T1767" i="2"/>
  <c r="T1759" i="2"/>
  <c r="T1751" i="2"/>
  <c r="T1743" i="2"/>
  <c r="T1735" i="2"/>
  <c r="T1727" i="2"/>
  <c r="T1719" i="2"/>
  <c r="T1711" i="2"/>
  <c r="T1703" i="2"/>
  <c r="T1695" i="2"/>
  <c r="T1687" i="2"/>
  <c r="T1679" i="2"/>
  <c r="T1671" i="2"/>
  <c r="T1663" i="2"/>
  <c r="T1655" i="2"/>
  <c r="T1647" i="2"/>
  <c r="T1639" i="2"/>
  <c r="T1631" i="2"/>
  <c r="T1623" i="2"/>
  <c r="T1615" i="2"/>
  <c r="T1607" i="2"/>
  <c r="T1599" i="2"/>
  <c r="T1591" i="2"/>
  <c r="T1583" i="2"/>
  <c r="T1575" i="2"/>
  <c r="T1567" i="2"/>
  <c r="T1559" i="2"/>
  <c r="T1551" i="2"/>
  <c r="T1543" i="2"/>
  <c r="T1535" i="2"/>
  <c r="T1527" i="2"/>
  <c r="T1519" i="2"/>
  <c r="T1511" i="2"/>
  <c r="T1503" i="2"/>
  <c r="T1495" i="2"/>
  <c r="T1487" i="2"/>
  <c r="T1479" i="2"/>
  <c r="T1471" i="2"/>
  <c r="T1463" i="2"/>
  <c r="T1456" i="2"/>
  <c r="T1452" i="2"/>
  <c r="T1448" i="2"/>
  <c r="T1444" i="2"/>
  <c r="T1440" i="2"/>
  <c r="T1436" i="2"/>
  <c r="T1432" i="2"/>
  <c r="T1428" i="2"/>
  <c r="T1424" i="2"/>
  <c r="T1420" i="2"/>
  <c r="T1416" i="2"/>
  <c r="T1412" i="2"/>
  <c r="T1408" i="2"/>
  <c r="T1404" i="2"/>
  <c r="T1400" i="2"/>
  <c r="T1396" i="2"/>
  <c r="T1392" i="2"/>
  <c r="T1388" i="2"/>
  <c r="T1384" i="2"/>
  <c r="T1380" i="2"/>
  <c r="T1376" i="2"/>
  <c r="T1372" i="2"/>
  <c r="T1368" i="2"/>
  <c r="T1364" i="2"/>
  <c r="T1360" i="2"/>
  <c r="T1356" i="2"/>
  <c r="T1352" i="2"/>
  <c r="T1348" i="2"/>
  <c r="T1344" i="2"/>
  <c r="T1340" i="2"/>
  <c r="T1336" i="2"/>
  <c r="T1332" i="2"/>
  <c r="T1328" i="2"/>
  <c r="T1324" i="2"/>
  <c r="T1320" i="2"/>
  <c r="T1316" i="2"/>
  <c r="T1312" i="2"/>
  <c r="T1308" i="2"/>
  <c r="T1304" i="2"/>
  <c r="T1300" i="2"/>
  <c r="T1296" i="2"/>
  <c r="T1292" i="2"/>
  <c r="T1288" i="2"/>
  <c r="T1284" i="2"/>
  <c r="T1280" i="2"/>
  <c r="T1276" i="2"/>
  <c r="T1272" i="2"/>
  <c r="T1268" i="2"/>
  <c r="T1264" i="2"/>
  <c r="T1260" i="2"/>
  <c r="T1256" i="2"/>
  <c r="T1252" i="2"/>
  <c r="T1248" i="2"/>
  <c r="T1244" i="2"/>
  <c r="T1240" i="2"/>
  <c r="T1236" i="2"/>
  <c r="T1232" i="2"/>
  <c r="T1228" i="2"/>
  <c r="T1224" i="2"/>
  <c r="T1220" i="2"/>
  <c r="T1216" i="2"/>
  <c r="T1212" i="2"/>
  <c r="T1208" i="2"/>
  <c r="T1204" i="2"/>
  <c r="T1200" i="2"/>
  <c r="T1196" i="2"/>
  <c r="T1192" i="2"/>
  <c r="T1188" i="2"/>
  <c r="T1184" i="2"/>
  <c r="T1180" i="2"/>
  <c r="T1176" i="2"/>
  <c r="T1172" i="2"/>
  <c r="T1168" i="2"/>
  <c r="T1164" i="2"/>
  <c r="T1160" i="2"/>
  <c r="T1156" i="2"/>
  <c r="T1152" i="2"/>
  <c r="T1148" i="2"/>
  <c r="T1144" i="2"/>
  <c r="T1140" i="2"/>
  <c r="T1136" i="2"/>
  <c r="T1132" i="2"/>
  <c r="T1128" i="2"/>
  <c r="T1124" i="2"/>
  <c r="T1120" i="2"/>
  <c r="T1116" i="2"/>
  <c r="T1112" i="2"/>
  <c r="T1108" i="2"/>
  <c r="T1104" i="2"/>
  <c r="T1100" i="2"/>
  <c r="T1096" i="2"/>
  <c r="T1092" i="2"/>
  <c r="T1088" i="2"/>
  <c r="T1084" i="2"/>
  <c r="T1080" i="2"/>
  <c r="T1076" i="2"/>
  <c r="T1072" i="2"/>
  <c r="T1068" i="2"/>
  <c r="T1064" i="2"/>
  <c r="T1060" i="2"/>
  <c r="T1056" i="2"/>
  <c r="T1052" i="2"/>
  <c r="T1048" i="2"/>
  <c r="T1044" i="2"/>
  <c r="T1040" i="2"/>
  <c r="T1036" i="2"/>
  <c r="T1032" i="2"/>
  <c r="T1028" i="2"/>
  <c r="T1024" i="2"/>
  <c r="T1020" i="2"/>
  <c r="T1016" i="2"/>
  <c r="T1012" i="2"/>
  <c r="T1008" i="2"/>
  <c r="T1004" i="2"/>
  <c r="T1000" i="2"/>
  <c r="T996" i="2"/>
  <c r="T992" i="2"/>
  <c r="T988" i="2"/>
  <c r="T984" i="2"/>
  <c r="T980" i="2"/>
  <c r="T976" i="2"/>
  <c r="T972" i="2"/>
  <c r="T968" i="2"/>
  <c r="T964" i="2"/>
  <c r="T960" i="2"/>
  <c r="T956" i="2"/>
  <c r="T952" i="2"/>
  <c r="T948" i="2"/>
  <c r="T944" i="2"/>
  <c r="T940" i="2"/>
  <c r="T936" i="2"/>
  <c r="T932" i="2"/>
  <c r="T928" i="2"/>
  <c r="T924" i="2"/>
  <c r="T920" i="2"/>
  <c r="T916" i="2"/>
  <c r="T912" i="2"/>
  <c r="T908" i="2"/>
  <c r="T904" i="2"/>
  <c r="T900" i="2"/>
  <c r="T896" i="2"/>
  <c r="T892" i="2"/>
  <c r="T888" i="2"/>
  <c r="T884" i="2"/>
  <c r="T880" i="2"/>
  <c r="T876" i="2"/>
  <c r="T872" i="2"/>
  <c r="T868" i="2"/>
  <c r="T864" i="2"/>
  <c r="T860" i="2"/>
  <c r="T856" i="2"/>
  <c r="T852" i="2"/>
  <c r="T848" i="2"/>
  <c r="T844" i="2"/>
  <c r="T840" i="2"/>
  <c r="T836" i="2"/>
  <c r="T832" i="2"/>
  <c r="T828" i="2"/>
  <c r="T824" i="2"/>
  <c r="T820" i="2"/>
  <c r="T816" i="2"/>
  <c r="T812" i="2"/>
  <c r="T808" i="2"/>
  <c r="T804" i="2"/>
  <c r="T800" i="2"/>
  <c r="T796" i="2"/>
  <c r="T792" i="2"/>
  <c r="T788" i="2"/>
  <c r="T784" i="2"/>
  <c r="T780" i="2"/>
  <c r="T776" i="2"/>
  <c r="T772" i="2"/>
  <c r="T768" i="2"/>
  <c r="T764" i="2"/>
  <c r="T760" i="2"/>
  <c r="T756" i="2"/>
  <c r="T752" i="2"/>
  <c r="T748" i="2"/>
  <c r="T744" i="2"/>
  <c r="T740" i="2"/>
  <c r="T736" i="2"/>
  <c r="T732" i="2"/>
  <c r="T728" i="2"/>
  <c r="T724" i="2"/>
  <c r="T720" i="2"/>
  <c r="T716" i="2"/>
  <c r="T712" i="2"/>
  <c r="T708" i="2"/>
  <c r="T704" i="2"/>
  <c r="T700" i="2"/>
  <c r="T696" i="2"/>
  <c r="T692" i="2"/>
  <c r="T688" i="2"/>
  <c r="T684" i="2"/>
  <c r="T680" i="2"/>
  <c r="T676" i="2"/>
  <c r="T672" i="2"/>
  <c r="T668" i="2"/>
  <c r="T664" i="2"/>
  <c r="T660" i="2"/>
  <c r="T656" i="2"/>
  <c r="T652" i="2"/>
  <c r="T648" i="2"/>
  <c r="T644" i="2"/>
  <c r="T640" i="2"/>
  <c r="T636" i="2"/>
  <c r="T632" i="2"/>
  <c r="T628" i="2"/>
  <c r="T624" i="2"/>
  <c r="T620" i="2"/>
  <c r="T616" i="2"/>
  <c r="T612" i="2"/>
  <c r="T608" i="2"/>
  <c r="T604" i="2"/>
  <c r="T600" i="2"/>
  <c r="T596" i="2"/>
  <c r="T592" i="2"/>
  <c r="T588" i="2"/>
  <c r="T584" i="2"/>
  <c r="T580" i="2"/>
  <c r="T576" i="2"/>
  <c r="T572" i="2"/>
  <c r="T568" i="2"/>
  <c r="T564" i="2"/>
  <c r="T560" i="2"/>
  <c r="T556" i="2"/>
  <c r="T552" i="2"/>
  <c r="T548" i="2"/>
  <c r="T544" i="2"/>
  <c r="T540" i="2"/>
  <c r="T536" i="2"/>
  <c r="T532" i="2"/>
  <c r="T528" i="2"/>
  <c r="T524" i="2"/>
  <c r="T520" i="2"/>
  <c r="T516" i="2"/>
  <c r="T512" i="2"/>
  <c r="T508" i="2"/>
  <c r="T504" i="2"/>
  <c r="T500" i="2"/>
  <c r="T496" i="2"/>
  <c r="T492" i="2"/>
  <c r="T488" i="2"/>
  <c r="T484" i="2"/>
  <c r="T480" i="2"/>
  <c r="T476" i="2"/>
  <c r="T472" i="2"/>
  <c r="T468" i="2"/>
  <c r="T464" i="2"/>
  <c r="T460" i="2"/>
  <c r="T456" i="2"/>
  <c r="T452" i="2"/>
  <c r="T448" i="2"/>
  <c r="T444" i="2"/>
  <c r="T440" i="2"/>
  <c r="T436" i="2"/>
  <c r="T432" i="2"/>
  <c r="T428" i="2"/>
  <c r="T424" i="2"/>
  <c r="T420" i="2"/>
  <c r="T416" i="2"/>
  <c r="T412" i="2"/>
  <c r="T408" i="2"/>
  <c r="T404" i="2"/>
  <c r="T400" i="2"/>
  <c r="T396" i="2"/>
  <c r="T392" i="2"/>
  <c r="T388" i="2"/>
  <c r="T384" i="2"/>
  <c r="T380" i="2"/>
  <c r="T376" i="2"/>
  <c r="T372" i="2"/>
  <c r="T368" i="2"/>
  <c r="T364" i="2"/>
  <c r="T360" i="2"/>
  <c r="T356" i="2"/>
  <c r="T352" i="2"/>
  <c r="T348" i="2"/>
  <c r="T344" i="2"/>
  <c r="T340" i="2"/>
  <c r="T336" i="2"/>
  <c r="T332" i="2"/>
  <c r="T328" i="2"/>
  <c r="T324" i="2"/>
  <c r="T320" i="2"/>
  <c r="T316" i="2"/>
  <c r="T312" i="2"/>
  <c r="T308" i="2"/>
  <c r="T304" i="2"/>
  <c r="T300" i="2"/>
  <c r="T296" i="2"/>
  <c r="T292" i="2"/>
  <c r="T288" i="2"/>
  <c r="T284" i="2"/>
  <c r="T280" i="2"/>
  <c r="T276" i="2"/>
  <c r="T272" i="2"/>
  <c r="T268" i="2"/>
  <c r="T264" i="2"/>
  <c r="T260" i="2"/>
  <c r="T256" i="2"/>
  <c r="T252" i="2"/>
  <c r="T248" i="2"/>
  <c r="T244" i="2"/>
  <c r="T240" i="2"/>
  <c r="T236" i="2"/>
  <c r="T232" i="2"/>
  <c r="T228" i="2"/>
  <c r="T224" i="2"/>
  <c r="T220" i="2"/>
  <c r="T216" i="2"/>
  <c r="T212" i="2"/>
  <c r="T208" i="2"/>
  <c r="T204" i="2"/>
  <c r="T200" i="2"/>
  <c r="T196" i="2"/>
  <c r="T192" i="2"/>
  <c r="T188" i="2"/>
  <c r="T184" i="2"/>
  <c r="T180" i="2"/>
  <c r="T176" i="2"/>
  <c r="T172" i="2"/>
  <c r="T168" i="2"/>
  <c r="T164" i="2"/>
  <c r="T160" i="2"/>
  <c r="T156" i="2"/>
  <c r="T152" i="2"/>
  <c r="T148" i="2"/>
  <c r="T144" i="2"/>
  <c r="T140" i="2"/>
  <c r="T136" i="2"/>
  <c r="T132" i="2"/>
  <c r="T128" i="2"/>
  <c r="T124" i="2"/>
  <c r="T120" i="2"/>
  <c r="T116" i="2"/>
  <c r="T1907" i="2"/>
  <c r="T1891" i="2"/>
  <c r="T1875" i="2"/>
  <c r="T1859" i="2"/>
  <c r="T1843" i="2"/>
  <c r="T1827" i="2"/>
  <c r="T1811" i="2"/>
  <c r="T1795" i="2"/>
  <c r="T1779" i="2"/>
  <c r="T1763" i="2"/>
  <c r="T1747" i="2"/>
  <c r="T1731" i="2"/>
  <c r="T1715" i="2"/>
  <c r="T1699" i="2"/>
  <c r="T1683" i="2"/>
  <c r="T1667" i="2"/>
  <c r="T1651" i="2"/>
  <c r="T1635" i="2"/>
  <c r="T1619" i="2"/>
  <c r="T1603" i="2"/>
  <c r="T1587" i="2"/>
  <c r="T1571" i="2"/>
  <c r="T1555" i="2"/>
  <c r="T1539" i="2"/>
  <c r="T1523" i="2"/>
  <c r="T1507" i="2"/>
  <c r="T1491" i="2"/>
  <c r="T1475" i="2"/>
  <c r="T1459" i="2"/>
  <c r="T1450" i="2"/>
  <c r="T1442" i="2"/>
  <c r="T1434" i="2"/>
  <c r="T1426" i="2"/>
  <c r="T1418" i="2"/>
  <c r="T1410" i="2"/>
  <c r="T1402" i="2"/>
  <c r="T1394" i="2"/>
  <c r="T1386" i="2"/>
  <c r="T1378" i="2"/>
  <c r="T1370" i="2"/>
  <c r="T1362" i="2"/>
  <c r="T1354" i="2"/>
  <c r="T1346" i="2"/>
  <c r="T1338" i="2"/>
  <c r="T1330" i="2"/>
  <c r="T1322" i="2"/>
  <c r="T1314" i="2"/>
  <c r="T1306" i="2"/>
  <c r="T1298" i="2"/>
  <c r="T1290" i="2"/>
  <c r="T1282" i="2"/>
  <c r="T1274" i="2"/>
  <c r="T1266" i="2"/>
  <c r="T1258" i="2"/>
  <c r="T1250" i="2"/>
  <c r="T1242" i="2"/>
  <c r="T1234" i="2"/>
  <c r="T1226" i="2"/>
  <c r="T1218" i="2"/>
  <c r="T1210" i="2"/>
  <c r="T1202" i="2"/>
  <c r="T1194" i="2"/>
  <c r="T1186" i="2"/>
  <c r="T1178" i="2"/>
  <c r="T1170" i="2"/>
  <c r="T1162" i="2"/>
  <c r="T1154" i="2"/>
  <c r="T1146" i="2"/>
  <c r="T1138" i="2"/>
  <c r="T1130" i="2"/>
  <c r="T1122" i="2"/>
  <c r="T1114" i="2"/>
  <c r="T1106" i="2"/>
  <c r="T1098" i="2"/>
  <c r="T1090" i="2"/>
  <c r="T1082" i="2"/>
  <c r="T1074" i="2"/>
  <c r="T1066" i="2"/>
  <c r="T1058" i="2"/>
  <c r="T1050" i="2"/>
  <c r="T1042" i="2"/>
  <c r="T1034" i="2"/>
  <c r="T1026" i="2"/>
  <c r="T1018" i="2"/>
  <c r="T1010" i="2"/>
  <c r="T1002" i="2"/>
  <c r="T994" i="2"/>
  <c r="T986" i="2"/>
  <c r="T978" i="2"/>
  <c r="T970" i="2"/>
  <c r="T962" i="2"/>
  <c r="T954" i="2"/>
  <c r="T946" i="2"/>
  <c r="T938" i="2"/>
  <c r="T930" i="2"/>
  <c r="T922" i="2"/>
  <c r="T914" i="2"/>
  <c r="T906" i="2"/>
  <c r="T898" i="2"/>
  <c r="T890" i="2"/>
  <c r="T882" i="2"/>
  <c r="T874" i="2"/>
  <c r="T866" i="2"/>
  <c r="T858" i="2"/>
  <c r="T850" i="2"/>
  <c r="T842" i="2"/>
  <c r="T834" i="2"/>
  <c r="T826" i="2"/>
  <c r="T818" i="2"/>
  <c r="T810" i="2"/>
  <c r="T802" i="2"/>
  <c r="T794" i="2"/>
  <c r="T786" i="2"/>
  <c r="T778" i="2"/>
  <c r="T770" i="2"/>
  <c r="T762" i="2"/>
  <c r="T754" i="2"/>
  <c r="T746" i="2"/>
  <c r="T738" i="2"/>
  <c r="T730" i="2"/>
  <c r="T722" i="2"/>
  <c r="T714" i="2"/>
  <c r="T706" i="2"/>
  <c r="T698" i="2"/>
  <c r="T690" i="2"/>
  <c r="T682" i="2"/>
  <c r="T674" i="2"/>
  <c r="T666" i="2"/>
  <c r="T658" i="2"/>
  <c r="T650" i="2"/>
  <c r="T642" i="2"/>
  <c r="T634" i="2"/>
  <c r="T626" i="2"/>
  <c r="T618" i="2"/>
  <c r="T610" i="2"/>
  <c r="T602" i="2"/>
  <c r="T594" i="2"/>
  <c r="T586" i="2"/>
  <c r="T578" i="2"/>
  <c r="T570" i="2"/>
  <c r="T562" i="2"/>
  <c r="T554" i="2"/>
  <c r="T546" i="2"/>
  <c r="T538" i="2"/>
  <c r="T530" i="2"/>
  <c r="T522" i="2"/>
  <c r="T514" i="2"/>
  <c r="T506" i="2"/>
  <c r="T498" i="2"/>
  <c r="T490" i="2"/>
  <c r="T482" i="2"/>
  <c r="T474" i="2"/>
  <c r="T466" i="2"/>
  <c r="T458" i="2"/>
  <c r="T450" i="2"/>
  <c r="T442" i="2"/>
  <c r="T434" i="2"/>
  <c r="T426" i="2"/>
  <c r="T418" i="2"/>
  <c r="T410" i="2"/>
  <c r="T402" i="2"/>
  <c r="T394" i="2"/>
  <c r="T386" i="2"/>
  <c r="T378" i="2"/>
  <c r="T370" i="2"/>
  <c r="T362" i="2"/>
  <c r="T354" i="2"/>
  <c r="T346" i="2"/>
  <c r="T338" i="2"/>
  <c r="T330" i="2"/>
  <c r="T322" i="2"/>
  <c r="T314" i="2"/>
  <c r="T306" i="2"/>
  <c r="T298" i="2"/>
  <c r="T290" i="2"/>
  <c r="T282" i="2"/>
  <c r="T274" i="2"/>
  <c r="T266" i="2"/>
  <c r="T258" i="2"/>
  <c r="T250" i="2"/>
  <c r="T242" i="2"/>
  <c r="T234" i="2"/>
  <c r="T226" i="2"/>
  <c r="T218" i="2"/>
  <c r="T210" i="2"/>
  <c r="T202" i="2"/>
  <c r="T194" i="2"/>
  <c r="T186" i="2"/>
  <c r="T178" i="2"/>
  <c r="T170" i="2"/>
  <c r="T162" i="2"/>
  <c r="T154" i="2"/>
  <c r="T146" i="2"/>
  <c r="T138" i="2"/>
  <c r="T130" i="2"/>
  <c r="T122" i="2"/>
  <c r="T114" i="2"/>
  <c r="T1899" i="2"/>
  <c r="T1883" i="2"/>
  <c r="T1867" i="2"/>
  <c r="T1851" i="2"/>
  <c r="T1835" i="2"/>
  <c r="T1819" i="2"/>
  <c r="T1803" i="2"/>
  <c r="T1787" i="2"/>
  <c r="T1771" i="2"/>
  <c r="T1755" i="2"/>
  <c r="T1739" i="2"/>
  <c r="T1723" i="2"/>
  <c r="T1707" i="2"/>
  <c r="T1691" i="2"/>
  <c r="T1675" i="2"/>
  <c r="T1659" i="2"/>
  <c r="T1643" i="2"/>
  <c r="T1627" i="2"/>
  <c r="T1611" i="2"/>
  <c r="T1595" i="2"/>
  <c r="T1579" i="2"/>
  <c r="T1563" i="2"/>
  <c r="T1547" i="2"/>
  <c r="T1531" i="2"/>
  <c r="T1515" i="2"/>
  <c r="T1499" i="2"/>
  <c r="T1483" i="2"/>
  <c r="T1467" i="2"/>
  <c r="T1454" i="2"/>
  <c r="T1446" i="2"/>
  <c r="T1438" i="2"/>
  <c r="T1430" i="2"/>
  <c r="T1422" i="2"/>
  <c r="T1414" i="2"/>
  <c r="T1406" i="2"/>
  <c r="T1398" i="2"/>
  <c r="T1390" i="2"/>
  <c r="T1382" i="2"/>
  <c r="T1374" i="2"/>
  <c r="T1366" i="2"/>
  <c r="T1358" i="2"/>
  <c r="T1350" i="2"/>
  <c r="T1342" i="2"/>
  <c r="T1334" i="2"/>
  <c r="T1326" i="2"/>
  <c r="T1318" i="2"/>
  <c r="T1310" i="2"/>
  <c r="T1302" i="2"/>
  <c r="T1294" i="2"/>
  <c r="T1286" i="2"/>
  <c r="T1278" i="2"/>
  <c r="T1270" i="2"/>
  <c r="T1262" i="2"/>
  <c r="T1254" i="2"/>
  <c r="T1246" i="2"/>
  <c r="T1238" i="2"/>
  <c r="T1230" i="2"/>
  <c r="T1222" i="2"/>
  <c r="T1214" i="2"/>
  <c r="T1206" i="2"/>
  <c r="T1198" i="2"/>
  <c r="T1190" i="2"/>
  <c r="T1182" i="2"/>
  <c r="T1174" i="2"/>
  <c r="T1166" i="2"/>
  <c r="T1158" i="2"/>
  <c r="T1150" i="2"/>
  <c r="T1142" i="2"/>
  <c r="T1134" i="2"/>
  <c r="T1126" i="2"/>
  <c r="T1118" i="2"/>
  <c r="T1110" i="2"/>
  <c r="T1102" i="2"/>
  <c r="T1094" i="2"/>
  <c r="T1086" i="2"/>
  <c r="T1078" i="2"/>
  <c r="T1070" i="2"/>
  <c r="T1062" i="2"/>
  <c r="T1054" i="2"/>
  <c r="T1046" i="2"/>
  <c r="T1038" i="2"/>
  <c r="T1030" i="2"/>
  <c r="T1022" i="2"/>
  <c r="T1014" i="2"/>
  <c r="T1006" i="2"/>
  <c r="T998" i="2"/>
  <c r="T990" i="2"/>
  <c r="T982" i="2"/>
  <c r="T974" i="2"/>
  <c r="T966" i="2"/>
  <c r="T958" i="2"/>
  <c r="T950" i="2"/>
  <c r="T942" i="2"/>
  <c r="T934" i="2"/>
  <c r="T926" i="2"/>
  <c r="T918" i="2"/>
  <c r="T910" i="2"/>
  <c r="T902" i="2"/>
  <c r="T894" i="2"/>
  <c r="T886" i="2"/>
  <c r="T878" i="2"/>
  <c r="T870" i="2"/>
  <c r="T862" i="2"/>
  <c r="T854" i="2"/>
  <c r="T846" i="2"/>
  <c r="T838" i="2"/>
  <c r="T830" i="2"/>
  <c r="T822" i="2"/>
  <c r="T814" i="2"/>
  <c r="T806" i="2"/>
  <c r="T798" i="2"/>
  <c r="T790" i="2"/>
  <c r="T782" i="2"/>
  <c r="T774" i="2"/>
  <c r="T766" i="2"/>
  <c r="T758" i="2"/>
  <c r="T750" i="2"/>
  <c r="T742" i="2"/>
  <c r="T734" i="2"/>
  <c r="T726" i="2"/>
  <c r="T718" i="2"/>
  <c r="T710" i="2"/>
  <c r="T702" i="2"/>
  <c r="T694" i="2"/>
  <c r="T686" i="2"/>
  <c r="T678" i="2"/>
  <c r="T670" i="2"/>
  <c r="T662" i="2"/>
  <c r="T654" i="2"/>
  <c r="T646" i="2"/>
  <c r="T638" i="2"/>
  <c r="T630" i="2"/>
  <c r="T622" i="2"/>
  <c r="T614" i="2"/>
  <c r="T606" i="2"/>
  <c r="T598" i="2"/>
  <c r="T590" i="2"/>
  <c r="T582" i="2"/>
  <c r="T574" i="2"/>
  <c r="T566" i="2"/>
  <c r="T558" i="2"/>
  <c r="T550" i="2"/>
  <c r="T542" i="2"/>
  <c r="T534" i="2"/>
  <c r="T526" i="2"/>
  <c r="T518" i="2"/>
  <c r="T510" i="2"/>
  <c r="T502" i="2"/>
  <c r="T494" i="2"/>
  <c r="T486" i="2"/>
  <c r="T478" i="2"/>
  <c r="T470" i="2"/>
  <c r="T462" i="2"/>
  <c r="T454" i="2"/>
  <c r="T446" i="2"/>
  <c r="T438" i="2"/>
  <c r="T430" i="2"/>
  <c r="T422" i="2"/>
  <c r="T414" i="2"/>
  <c r="T406" i="2"/>
  <c r="T398" i="2"/>
  <c r="T390" i="2"/>
  <c r="T382" i="2"/>
  <c r="T374" i="2"/>
  <c r="T366" i="2"/>
  <c r="T358" i="2"/>
  <c r="T350" i="2"/>
  <c r="T342" i="2"/>
  <c r="T334" i="2"/>
  <c r="T326" i="2"/>
  <c r="T318" i="2"/>
  <c r="T310" i="2"/>
  <c r="T302" i="2"/>
  <c r="T294" i="2"/>
  <c r="T286" i="2"/>
  <c r="T278" i="2"/>
  <c r="T270" i="2"/>
  <c r="T262" i="2"/>
  <c r="T254" i="2"/>
  <c r="T246" i="2"/>
  <c r="T238" i="2"/>
  <c r="T230" i="2"/>
  <c r="T222" i="2"/>
  <c r="T214" i="2"/>
  <c r="T206" i="2"/>
  <c r="T198" i="2"/>
  <c r="T190" i="2"/>
  <c r="T182" i="2"/>
  <c r="T174" i="2"/>
  <c r="T166" i="2"/>
  <c r="T158" i="2"/>
  <c r="T150" i="2"/>
  <c r="T142" i="2"/>
  <c r="T134" i="2"/>
  <c r="T126" i="2"/>
  <c r="T118" i="2"/>
  <c r="AD1912" i="2"/>
  <c r="AD1910" i="2"/>
  <c r="AD1908" i="2"/>
  <c r="AD1906" i="2"/>
  <c r="AD1904" i="2"/>
  <c r="AD1902" i="2"/>
  <c r="AD1900" i="2"/>
  <c r="AD1898" i="2"/>
  <c r="AD1896" i="2"/>
  <c r="AD1894" i="2"/>
  <c r="AD1892" i="2"/>
  <c r="AD1890" i="2"/>
  <c r="AD1888" i="2"/>
  <c r="AD1886" i="2"/>
  <c r="AD1884" i="2"/>
  <c r="AD1882" i="2"/>
  <c r="AD1880" i="2"/>
  <c r="AD1878" i="2"/>
  <c r="AD1876" i="2"/>
  <c r="AD1874" i="2"/>
  <c r="AD1872" i="2"/>
  <c r="AD1870" i="2"/>
  <c r="AD1868" i="2"/>
  <c r="AD1866" i="2"/>
  <c r="AD1864" i="2"/>
  <c r="AD1862" i="2"/>
  <c r="AD1860" i="2"/>
  <c r="AD1858" i="2"/>
  <c r="AD1856" i="2"/>
  <c r="AD1854" i="2"/>
  <c r="AD1852" i="2"/>
  <c r="AD1850" i="2"/>
  <c r="AD1848" i="2"/>
  <c r="AD1846" i="2"/>
  <c r="AD1844" i="2"/>
  <c r="AD1842" i="2"/>
  <c r="AD1840" i="2"/>
  <c r="AD1838" i="2"/>
  <c r="AD1836" i="2"/>
  <c r="AD1834" i="2"/>
  <c r="AD1832" i="2"/>
  <c r="AD1830" i="2"/>
  <c r="AD1828" i="2"/>
  <c r="AD1826" i="2"/>
  <c r="AD1824" i="2"/>
  <c r="AD1822" i="2"/>
  <c r="AD1820" i="2"/>
  <c r="AD1818" i="2"/>
  <c r="AD1816" i="2"/>
  <c r="AD1814" i="2"/>
  <c r="AD1812" i="2"/>
  <c r="AD1810" i="2"/>
  <c r="AD1808" i="2"/>
  <c r="AD1806" i="2"/>
  <c r="AD1804" i="2"/>
  <c r="AD1802" i="2"/>
  <c r="AD1800" i="2"/>
  <c r="AD1798" i="2"/>
  <c r="AD1796" i="2"/>
  <c r="AD1794" i="2"/>
  <c r="AD1792" i="2"/>
  <c r="AD1790" i="2"/>
  <c r="AD1788" i="2"/>
  <c r="AD1786" i="2"/>
  <c r="AD1784" i="2"/>
  <c r="AD1782" i="2"/>
  <c r="AD1780" i="2"/>
  <c r="AD1778" i="2"/>
  <c r="AD1776" i="2"/>
  <c r="AD1774" i="2"/>
  <c r="AD1772" i="2"/>
  <c r="AD1770" i="2"/>
  <c r="AD1768" i="2"/>
  <c r="AD1766" i="2"/>
  <c r="AD1764" i="2"/>
  <c r="AD1762" i="2"/>
  <c r="AD1760" i="2"/>
  <c r="AD1758" i="2"/>
  <c r="AD1756" i="2"/>
  <c r="AD1754" i="2"/>
  <c r="AD1752" i="2"/>
  <c r="AD1750" i="2"/>
  <c r="AD1748" i="2"/>
  <c r="AD1746" i="2"/>
  <c r="AD1744" i="2"/>
  <c r="AD1742" i="2"/>
  <c r="AD1740" i="2"/>
  <c r="AD1738" i="2"/>
  <c r="AD1736" i="2"/>
  <c r="AD1734" i="2"/>
  <c r="AD1732" i="2"/>
  <c r="AD1730" i="2"/>
  <c r="AD1728" i="2"/>
  <c r="AD1726" i="2"/>
  <c r="AD1724" i="2"/>
  <c r="AD1722" i="2"/>
  <c r="AD1720" i="2"/>
  <c r="AD1718" i="2"/>
  <c r="AD1716" i="2"/>
  <c r="AD1714" i="2"/>
  <c r="AD1712" i="2"/>
  <c r="AD1710" i="2"/>
  <c r="AD1708" i="2"/>
  <c r="AD1706" i="2"/>
  <c r="AD1704" i="2"/>
  <c r="AD1702" i="2"/>
  <c r="AD1700" i="2"/>
  <c r="AD1698" i="2"/>
  <c r="AD1696" i="2"/>
  <c r="AD1694" i="2"/>
  <c r="AD1692" i="2"/>
  <c r="AD1690" i="2"/>
  <c r="AD1688" i="2"/>
  <c r="AD1686" i="2"/>
  <c r="AD1684" i="2"/>
  <c r="AD1682" i="2"/>
  <c r="AD1680" i="2"/>
  <c r="AD1678" i="2"/>
  <c r="AD1676" i="2"/>
  <c r="AD1674" i="2"/>
  <c r="AD1672" i="2"/>
  <c r="AD1670" i="2"/>
  <c r="AD1668" i="2"/>
  <c r="AD1666" i="2"/>
  <c r="AD1664" i="2"/>
  <c r="AD1662" i="2"/>
  <c r="AD1660" i="2"/>
  <c r="AD1658" i="2"/>
  <c r="AD1656" i="2"/>
  <c r="AD1654" i="2"/>
  <c r="AD1652" i="2"/>
  <c r="AD1650" i="2"/>
  <c r="AD1648" i="2"/>
  <c r="AD1646" i="2"/>
  <c r="AD1644" i="2"/>
  <c r="AD1642" i="2"/>
  <c r="AD1640" i="2"/>
  <c r="AD1638" i="2"/>
  <c r="AD1636" i="2"/>
  <c r="AD1634" i="2"/>
  <c r="AD1632" i="2"/>
  <c r="AD1630" i="2"/>
  <c r="AD1628" i="2"/>
  <c r="AD1626" i="2"/>
  <c r="AD1624" i="2"/>
  <c r="AD1622" i="2"/>
  <c r="AD1620" i="2"/>
  <c r="AD1618" i="2"/>
  <c r="AD1616" i="2"/>
  <c r="AD1614" i="2"/>
  <c r="AD1612" i="2"/>
  <c r="AD1610" i="2"/>
  <c r="AD1608" i="2"/>
  <c r="AD1606" i="2"/>
  <c r="AD1604" i="2"/>
  <c r="AD1602" i="2"/>
  <c r="AD1600" i="2"/>
  <c r="AD1598" i="2"/>
  <c r="AD1596" i="2"/>
  <c r="AD1594" i="2"/>
  <c r="AD1592" i="2"/>
  <c r="AD1590" i="2"/>
  <c r="AD1588" i="2"/>
  <c r="AD1586" i="2"/>
  <c r="AD1584" i="2"/>
  <c r="AD1582" i="2"/>
  <c r="AD1580" i="2"/>
  <c r="AD1578" i="2"/>
  <c r="AD1576" i="2"/>
  <c r="AD1574" i="2"/>
  <c r="AD1572" i="2"/>
  <c r="AD1570" i="2"/>
  <c r="AD1568" i="2"/>
  <c r="AD1566" i="2"/>
  <c r="AD1564" i="2"/>
  <c r="AD1562" i="2"/>
  <c r="AD1560" i="2"/>
  <c r="AD1558" i="2"/>
  <c r="AD1556" i="2"/>
  <c r="AD1554" i="2"/>
  <c r="AD1552" i="2"/>
  <c r="AD1550" i="2"/>
  <c r="AD1548" i="2"/>
  <c r="AD1546" i="2"/>
  <c r="AD1544" i="2"/>
  <c r="AD1542" i="2"/>
  <c r="AD1540" i="2"/>
  <c r="AD1538" i="2"/>
  <c r="AD1536" i="2"/>
  <c r="AD1534" i="2"/>
  <c r="AD1532" i="2"/>
  <c r="AD1530" i="2"/>
  <c r="AD1528" i="2"/>
  <c r="AD1526" i="2"/>
  <c r="AD1524" i="2"/>
  <c r="AD1522" i="2"/>
  <c r="AD1520" i="2"/>
  <c r="AD1518" i="2"/>
  <c r="AD1516" i="2"/>
  <c r="AD1514" i="2"/>
  <c r="AD1512" i="2"/>
  <c r="AD1510" i="2"/>
  <c r="AD1508" i="2"/>
  <c r="AD1506" i="2"/>
  <c r="AD1504" i="2"/>
  <c r="AD1502" i="2"/>
  <c r="AD1500" i="2"/>
  <c r="AD1498" i="2"/>
  <c r="AD1496" i="2"/>
  <c r="AD1494" i="2"/>
  <c r="AD1492" i="2"/>
  <c r="AD1490" i="2"/>
  <c r="AD1488" i="2"/>
  <c r="AD1486" i="2"/>
  <c r="AD1911" i="2"/>
  <c r="AD1909" i="2"/>
  <c r="AD1907" i="2"/>
  <c r="AD1905" i="2"/>
  <c r="AD1903" i="2"/>
  <c r="AD1901" i="2"/>
  <c r="AD1899" i="2"/>
  <c r="AD1897" i="2"/>
  <c r="AD1895" i="2"/>
  <c r="AD1893" i="2"/>
  <c r="AD1891" i="2"/>
  <c r="AD1889" i="2"/>
  <c r="AD1887" i="2"/>
  <c r="AD1885" i="2"/>
  <c r="AD1883" i="2"/>
  <c r="AD1881" i="2"/>
  <c r="AD1879" i="2"/>
  <c r="AD1877" i="2"/>
  <c r="AD1875" i="2"/>
  <c r="AD1873" i="2"/>
  <c r="AD1871" i="2"/>
  <c r="AD1869" i="2"/>
  <c r="AD1867" i="2"/>
  <c r="AD1865" i="2"/>
  <c r="AD1863" i="2"/>
  <c r="AD1861" i="2"/>
  <c r="AD1859" i="2"/>
  <c r="AD1857" i="2"/>
  <c r="AD1855" i="2"/>
  <c r="AD1853" i="2"/>
  <c r="AD1851" i="2"/>
  <c r="AD1849" i="2"/>
  <c r="AD1847" i="2"/>
  <c r="AD1845" i="2"/>
  <c r="AD1843" i="2"/>
  <c r="AD1841" i="2"/>
  <c r="AD1839" i="2"/>
  <c r="AD1837" i="2"/>
  <c r="AD1835" i="2"/>
  <c r="AD1833" i="2"/>
  <c r="AD1831" i="2"/>
  <c r="AD1829" i="2"/>
  <c r="AD1827" i="2"/>
  <c r="AD1825" i="2"/>
  <c r="AD1823" i="2"/>
  <c r="AD1821" i="2"/>
  <c r="AD1819" i="2"/>
  <c r="AD1817" i="2"/>
  <c r="AD1815" i="2"/>
  <c r="AD1813" i="2"/>
  <c r="AD1811" i="2"/>
  <c r="AD1809" i="2"/>
  <c r="AD1807" i="2"/>
  <c r="AD1805" i="2"/>
  <c r="AD1803" i="2"/>
  <c r="AD1801" i="2"/>
  <c r="AD1799" i="2"/>
  <c r="AD1797" i="2"/>
  <c r="AD1795" i="2"/>
  <c r="AD1793" i="2"/>
  <c r="AD1791" i="2"/>
  <c r="AD1789" i="2"/>
  <c r="AD1787" i="2"/>
  <c r="AD1785" i="2"/>
  <c r="AD1783" i="2"/>
  <c r="AD1781" i="2"/>
  <c r="AD1779" i="2"/>
  <c r="AD1777" i="2"/>
  <c r="AD1775" i="2"/>
  <c r="AD1773" i="2"/>
  <c r="AD1771" i="2"/>
  <c r="AD1769" i="2"/>
  <c r="AD1767" i="2"/>
  <c r="AD1765" i="2"/>
  <c r="AD1763" i="2"/>
  <c r="AD1761" i="2"/>
  <c r="AD1759" i="2"/>
  <c r="AD1757" i="2"/>
  <c r="AD1755" i="2"/>
  <c r="AD1753" i="2"/>
  <c r="AD1751" i="2"/>
  <c r="AD1749" i="2"/>
  <c r="AD1747" i="2"/>
  <c r="AD1745" i="2"/>
  <c r="AD1743" i="2"/>
  <c r="AD1741" i="2"/>
  <c r="AD1739" i="2"/>
  <c r="AD1737" i="2"/>
  <c r="AD1735" i="2"/>
  <c r="AD1733" i="2"/>
  <c r="AD1731" i="2"/>
  <c r="AD1729" i="2"/>
  <c r="AD1727" i="2"/>
  <c r="AD1725" i="2"/>
  <c r="AD1723" i="2"/>
  <c r="AD1721" i="2"/>
  <c r="AD1719" i="2"/>
  <c r="AD1717" i="2"/>
  <c r="AD1715" i="2"/>
  <c r="AD1713" i="2"/>
  <c r="AD1711" i="2"/>
  <c r="AD1709" i="2"/>
  <c r="AD1707" i="2"/>
  <c r="AD1705" i="2"/>
  <c r="AD1703" i="2"/>
  <c r="AD1701" i="2"/>
  <c r="AD1699" i="2"/>
  <c r="AD1697" i="2"/>
  <c r="AD1695" i="2"/>
  <c r="AD1693" i="2"/>
  <c r="AD1691" i="2"/>
  <c r="AD1689" i="2"/>
  <c r="AD1687" i="2"/>
  <c r="AD1685" i="2"/>
  <c r="AD1683" i="2"/>
  <c r="AD1681" i="2"/>
  <c r="AD1679" i="2"/>
  <c r="AD1677" i="2"/>
  <c r="AD1675" i="2"/>
  <c r="AD1673" i="2"/>
  <c r="AD1671" i="2"/>
  <c r="AD1669" i="2"/>
  <c r="AD1667" i="2"/>
  <c r="AD1665" i="2"/>
  <c r="AD1663" i="2"/>
  <c r="AD1661" i="2"/>
  <c r="AD1659" i="2"/>
  <c r="AD1657" i="2"/>
  <c r="AD1655" i="2"/>
  <c r="AD1653" i="2"/>
  <c r="AD1651" i="2"/>
  <c r="AD1649" i="2"/>
  <c r="AD1647" i="2"/>
  <c r="AD1645" i="2"/>
  <c r="AD1643" i="2"/>
  <c r="AD1641" i="2"/>
  <c r="AD1639" i="2"/>
  <c r="AD1637" i="2"/>
  <c r="AD1635" i="2"/>
  <c r="AD1633" i="2"/>
  <c r="AD1631" i="2"/>
  <c r="AD1629" i="2"/>
  <c r="AD1627" i="2"/>
  <c r="AD1625" i="2"/>
  <c r="AD1623" i="2"/>
  <c r="AD1621" i="2"/>
  <c r="AD1619" i="2"/>
  <c r="AD1617" i="2"/>
  <c r="AD1615" i="2"/>
  <c r="AD1613" i="2"/>
  <c r="AD1611" i="2"/>
  <c r="AD1609" i="2"/>
  <c r="AD1607" i="2"/>
  <c r="AD1605" i="2"/>
  <c r="AD1603" i="2"/>
  <c r="AD1601" i="2"/>
  <c r="AD1599" i="2"/>
  <c r="AD1597" i="2"/>
  <c r="AD1595" i="2"/>
  <c r="AD1593" i="2"/>
  <c r="AD1591" i="2"/>
  <c r="AD1589" i="2"/>
  <c r="AD1587" i="2"/>
  <c r="AD1585" i="2"/>
  <c r="AD1583" i="2"/>
  <c r="AD1581" i="2"/>
  <c r="AD1579" i="2"/>
  <c r="AD1577" i="2"/>
  <c r="AD1575" i="2"/>
  <c r="AD1573" i="2"/>
  <c r="AD1571" i="2"/>
  <c r="AD1569" i="2"/>
  <c r="AD1567" i="2"/>
  <c r="AD1565" i="2"/>
  <c r="AD1563" i="2"/>
  <c r="AD1561" i="2"/>
  <c r="AD1559" i="2"/>
  <c r="AD1557" i="2"/>
  <c r="AD1555" i="2"/>
  <c r="AD1553" i="2"/>
  <c r="AD1551" i="2"/>
  <c r="AD1549" i="2"/>
  <c r="AD1547" i="2"/>
  <c r="AD1545" i="2"/>
  <c r="AD1543" i="2"/>
  <c r="AD1541" i="2"/>
  <c r="AD1539" i="2"/>
  <c r="AD1537" i="2"/>
  <c r="AD1535" i="2"/>
  <c r="AD1533" i="2"/>
  <c r="AD1531" i="2"/>
  <c r="AD1529" i="2"/>
  <c r="AD1527" i="2"/>
  <c r="AD1525" i="2"/>
  <c r="AD1523" i="2"/>
  <c r="AD1521" i="2"/>
  <c r="AD1519" i="2"/>
  <c r="AD1517" i="2"/>
  <c r="AD1515" i="2"/>
  <c r="AD1513" i="2"/>
  <c r="AD1511" i="2"/>
  <c r="AD1509" i="2"/>
  <c r="AD1507" i="2"/>
  <c r="AD1505" i="2"/>
  <c r="AD1503" i="2"/>
  <c r="AD1501" i="2"/>
  <c r="AD1499" i="2"/>
  <c r="AD1497" i="2"/>
  <c r="AD1495" i="2"/>
  <c r="AD1493" i="2"/>
  <c r="AD1491" i="2"/>
  <c r="AD1489" i="2"/>
  <c r="AD1487" i="2"/>
  <c r="AD1485" i="2"/>
  <c r="AD1483" i="2"/>
  <c r="AD1481" i="2"/>
  <c r="AD1479" i="2"/>
  <c r="AD1477" i="2"/>
  <c r="AD1475" i="2"/>
  <c r="AD1473" i="2"/>
  <c r="AD1471" i="2"/>
  <c r="AD1469" i="2"/>
  <c r="AD1467" i="2"/>
  <c r="AD1465" i="2"/>
  <c r="AD1463" i="2"/>
  <c r="AD1461" i="2"/>
  <c r="AD1459" i="2"/>
  <c r="AD1457" i="2"/>
  <c r="AD1455" i="2"/>
  <c r="AD1453" i="2"/>
  <c r="AD1451" i="2"/>
  <c r="AD1449" i="2"/>
  <c r="AD1447" i="2"/>
  <c r="AD1445" i="2"/>
  <c r="AD1443" i="2"/>
  <c r="AD1441" i="2"/>
  <c r="AD1439" i="2"/>
  <c r="AD1437" i="2"/>
  <c r="AD1435" i="2"/>
  <c r="AD1433" i="2"/>
  <c r="AD1431" i="2"/>
  <c r="AD1429" i="2"/>
  <c r="AD1427" i="2"/>
  <c r="AD1425" i="2"/>
  <c r="AD1423" i="2"/>
  <c r="AD1421" i="2"/>
  <c r="AD1419" i="2"/>
  <c r="AD1417" i="2"/>
  <c r="AD1415" i="2"/>
  <c r="AD1413" i="2"/>
  <c r="AD1411" i="2"/>
  <c r="AD1409" i="2"/>
  <c r="AD1407" i="2"/>
  <c r="AD1484" i="2"/>
  <c r="AD1480" i="2"/>
  <c r="AD1476" i="2"/>
  <c r="AD1472" i="2"/>
  <c r="AD1468" i="2"/>
  <c r="AD1464" i="2"/>
  <c r="AD1460" i="2"/>
  <c r="AD1456" i="2"/>
  <c r="AD1452" i="2"/>
  <c r="AD1448" i="2"/>
  <c r="AD1444" i="2"/>
  <c r="AD1440" i="2"/>
  <c r="AD1436" i="2"/>
  <c r="AD1432" i="2"/>
  <c r="AD1428" i="2"/>
  <c r="AD1424" i="2"/>
  <c r="AD1420" i="2"/>
  <c r="AD1416" i="2"/>
  <c r="AD1412" i="2"/>
  <c r="AD1408" i="2"/>
  <c r="AD1405" i="2"/>
  <c r="AD1403" i="2"/>
  <c r="AD1401" i="2"/>
  <c r="AD1399" i="2"/>
  <c r="AD1397" i="2"/>
  <c r="AD1395" i="2"/>
  <c r="AD1393" i="2"/>
  <c r="AD1391" i="2"/>
  <c r="AD1389" i="2"/>
  <c r="AD1387" i="2"/>
  <c r="AD1385" i="2"/>
  <c r="AD1383" i="2"/>
  <c r="AD1381" i="2"/>
  <c r="AD1379" i="2"/>
  <c r="AD1377" i="2"/>
  <c r="AD1375" i="2"/>
  <c r="AD1373" i="2"/>
  <c r="AD1371" i="2"/>
  <c r="AD1369" i="2"/>
  <c r="AD1367" i="2"/>
  <c r="AD1365" i="2"/>
  <c r="AD1363" i="2"/>
  <c r="AD1361" i="2"/>
  <c r="AD1359" i="2"/>
  <c r="AD1357" i="2"/>
  <c r="AD1355" i="2"/>
  <c r="AD1353" i="2"/>
  <c r="AD1351" i="2"/>
  <c r="AD1349" i="2"/>
  <c r="AD1347" i="2"/>
  <c r="AD1345" i="2"/>
  <c r="AD1343" i="2"/>
  <c r="AD1341" i="2"/>
  <c r="AD1339" i="2"/>
  <c r="AD1337" i="2"/>
  <c r="AD1335" i="2"/>
  <c r="AD1333" i="2"/>
  <c r="AD1331" i="2"/>
  <c r="AD1329" i="2"/>
  <c r="AD1327" i="2"/>
  <c r="AD1325" i="2"/>
  <c r="AD1323" i="2"/>
  <c r="AD1321" i="2"/>
  <c r="AD1319" i="2"/>
  <c r="AD1317" i="2"/>
  <c r="AD1315" i="2"/>
  <c r="AD1313" i="2"/>
  <c r="AD1311" i="2"/>
  <c r="AD1309" i="2"/>
  <c r="AD1307" i="2"/>
  <c r="AD1305" i="2"/>
  <c r="AD1303" i="2"/>
  <c r="AD1301" i="2"/>
  <c r="AD1299" i="2"/>
  <c r="AD1297" i="2"/>
  <c r="AD1295" i="2"/>
  <c r="AD1293" i="2"/>
  <c r="AD1291" i="2"/>
  <c r="AD1289" i="2"/>
  <c r="AD1287" i="2"/>
  <c r="AD1285" i="2"/>
  <c r="AD1283" i="2"/>
  <c r="AD1281" i="2"/>
  <c r="AD1279" i="2"/>
  <c r="AD1277" i="2"/>
  <c r="AD1275" i="2"/>
  <c r="AD1273" i="2"/>
  <c r="AD1271" i="2"/>
  <c r="AD1269" i="2"/>
  <c r="AD1267" i="2"/>
  <c r="AD1265" i="2"/>
  <c r="AD1263" i="2"/>
  <c r="AD1261" i="2"/>
  <c r="AD1259" i="2"/>
  <c r="AD1257" i="2"/>
  <c r="AD1255" i="2"/>
  <c r="AD1253" i="2"/>
  <c r="AD1251" i="2"/>
  <c r="AD1249" i="2"/>
  <c r="AD1247" i="2"/>
  <c r="AD1245" i="2"/>
  <c r="AD1243" i="2"/>
  <c r="AD1241" i="2"/>
  <c r="AD1239" i="2"/>
  <c r="AD1237" i="2"/>
  <c r="AD1235" i="2"/>
  <c r="AD1233" i="2"/>
  <c r="AD1231" i="2"/>
  <c r="AD1229" i="2"/>
  <c r="AD1227" i="2"/>
  <c r="AD1225" i="2"/>
  <c r="AD1223" i="2"/>
  <c r="AD1221" i="2"/>
  <c r="AD1219" i="2"/>
  <c r="AD1217" i="2"/>
  <c r="AD1215" i="2"/>
  <c r="AD1213" i="2"/>
  <c r="AD1211" i="2"/>
  <c r="AD1209" i="2"/>
  <c r="AD1207" i="2"/>
  <c r="AD1205" i="2"/>
  <c r="AD1203" i="2"/>
  <c r="AD1201" i="2"/>
  <c r="AD1199" i="2"/>
  <c r="AD1197" i="2"/>
  <c r="AD1195" i="2"/>
  <c r="AD1193" i="2"/>
  <c r="AD1191" i="2"/>
  <c r="AD1189" i="2"/>
  <c r="AD1187" i="2"/>
  <c r="AD1185" i="2"/>
  <c r="AD1183" i="2"/>
  <c r="AD1181" i="2"/>
  <c r="AD1179" i="2"/>
  <c r="AD1177" i="2"/>
  <c r="AD1175" i="2"/>
  <c r="AD1173" i="2"/>
  <c r="AD1171" i="2"/>
  <c r="AD1169" i="2"/>
  <c r="AD1167" i="2"/>
  <c r="AD1165" i="2"/>
  <c r="AD1163" i="2"/>
  <c r="AD1161" i="2"/>
  <c r="AD1159" i="2"/>
  <c r="AD1157" i="2"/>
  <c r="AD1155" i="2"/>
  <c r="AD1153" i="2"/>
  <c r="AD1151" i="2"/>
  <c r="AD1149" i="2"/>
  <c r="AD1147" i="2"/>
  <c r="AD1145" i="2"/>
  <c r="AD1143" i="2"/>
  <c r="AD1141" i="2"/>
  <c r="AD1139" i="2"/>
  <c r="AD1137" i="2"/>
  <c r="AD1135" i="2"/>
  <c r="AD1133" i="2"/>
  <c r="AD1131" i="2"/>
  <c r="AD1129" i="2"/>
  <c r="AD1127" i="2"/>
  <c r="AD1125" i="2"/>
  <c r="AD1123" i="2"/>
  <c r="AD1121" i="2"/>
  <c r="AD1119" i="2"/>
  <c r="AD1117" i="2"/>
  <c r="AD1115" i="2"/>
  <c r="AD1113" i="2"/>
  <c r="AD1111" i="2"/>
  <c r="AD1109" i="2"/>
  <c r="AD1107" i="2"/>
  <c r="AD1105" i="2"/>
  <c r="AD1103" i="2"/>
  <c r="AD1101" i="2"/>
  <c r="AD1099" i="2"/>
  <c r="AD1097" i="2"/>
  <c r="AD1095" i="2"/>
  <c r="AD1093" i="2"/>
  <c r="AD1091" i="2"/>
  <c r="AD1089" i="2"/>
  <c r="AD1087" i="2"/>
  <c r="AD1085" i="2"/>
  <c r="AD1083" i="2"/>
  <c r="AD1081" i="2"/>
  <c r="AD1079" i="2"/>
  <c r="AD1077" i="2"/>
  <c r="AD1075" i="2"/>
  <c r="AD1073" i="2"/>
  <c r="AD1071" i="2"/>
  <c r="AD1069" i="2"/>
  <c r="AD1067" i="2"/>
  <c r="AD1065" i="2"/>
  <c r="AD1063" i="2"/>
  <c r="AD1061" i="2"/>
  <c r="AD1059" i="2"/>
  <c r="AD1057" i="2"/>
  <c r="AD1055" i="2"/>
  <c r="AD1053" i="2"/>
  <c r="AD1051" i="2"/>
  <c r="AD1049" i="2"/>
  <c r="AD1047" i="2"/>
  <c r="AD1045" i="2"/>
  <c r="AD1043" i="2"/>
  <c r="AD1041" i="2"/>
  <c r="AD1039" i="2"/>
  <c r="AD1037" i="2"/>
  <c r="AD1035" i="2"/>
  <c r="AD1033" i="2"/>
  <c r="AD1031" i="2"/>
  <c r="AD1029" i="2"/>
  <c r="AD1027" i="2"/>
  <c r="AD1025" i="2"/>
  <c r="AD1023" i="2"/>
  <c r="AD1021" i="2"/>
  <c r="AD1019" i="2"/>
  <c r="AD1017" i="2"/>
  <c r="AD1015" i="2"/>
  <c r="AD1013" i="2"/>
  <c r="AD1011" i="2"/>
  <c r="AD1009" i="2"/>
  <c r="AD1007" i="2"/>
  <c r="AD1005" i="2"/>
  <c r="AD1003" i="2"/>
  <c r="AD1001" i="2"/>
  <c r="AD999" i="2"/>
  <c r="AD997" i="2"/>
  <c r="AD995" i="2"/>
  <c r="AD993" i="2"/>
  <c r="AD991" i="2"/>
  <c r="AD989" i="2"/>
  <c r="AD987" i="2"/>
  <c r="AD985" i="2"/>
  <c r="AD983" i="2"/>
  <c r="AD981" i="2"/>
  <c r="AD979" i="2"/>
  <c r="AD977" i="2"/>
  <c r="AD975" i="2"/>
  <c r="AD973" i="2"/>
  <c r="AD971" i="2"/>
  <c r="AD969" i="2"/>
  <c r="AD967" i="2"/>
  <c r="AD965" i="2"/>
  <c r="AD963" i="2"/>
  <c r="AD961" i="2"/>
  <c r="AD959" i="2"/>
  <c r="AD957" i="2"/>
  <c r="AD955" i="2"/>
  <c r="AD953" i="2"/>
  <c r="AD951" i="2"/>
  <c r="AD949" i="2"/>
  <c r="AD947" i="2"/>
  <c r="AD945" i="2"/>
  <c r="AD943" i="2"/>
  <c r="AD941" i="2"/>
  <c r="AD939" i="2"/>
  <c r="AD937" i="2"/>
  <c r="AD935" i="2"/>
  <c r="AD1482" i="2"/>
  <c r="AD1478" i="2"/>
  <c r="AD1474" i="2"/>
  <c r="AD1470" i="2"/>
  <c r="AD1466" i="2"/>
  <c r="AD1462" i="2"/>
  <c r="AD1458" i="2"/>
  <c r="AD1454" i="2"/>
  <c r="AD1450" i="2"/>
  <c r="AD1446" i="2"/>
  <c r="AD1442" i="2"/>
  <c r="AD1438" i="2"/>
  <c r="AD1434" i="2"/>
  <c r="AD1430" i="2"/>
  <c r="AD1426" i="2"/>
  <c r="AD1422" i="2"/>
  <c r="AD1418" i="2"/>
  <c r="AD1414" i="2"/>
  <c r="AD1410" i="2"/>
  <c r="AD1406" i="2"/>
  <c r="AD1404" i="2"/>
  <c r="AD1402" i="2"/>
  <c r="AD1400" i="2"/>
  <c r="AD1398" i="2"/>
  <c r="AD1396" i="2"/>
  <c r="AD1394" i="2"/>
  <c r="AD1392" i="2"/>
  <c r="AD1390" i="2"/>
  <c r="AD1388" i="2"/>
  <c r="AD1386" i="2"/>
  <c r="AD1384" i="2"/>
  <c r="AD1382" i="2"/>
  <c r="AD1380" i="2"/>
  <c r="AD1378" i="2"/>
  <c r="AD1376" i="2"/>
  <c r="AD1374" i="2"/>
  <c r="AD1372" i="2"/>
  <c r="AD1370" i="2"/>
  <c r="AD1368" i="2"/>
  <c r="AD1366" i="2"/>
  <c r="AD1364" i="2"/>
  <c r="AD1362" i="2"/>
  <c r="AD1360" i="2"/>
  <c r="AD1358" i="2"/>
  <c r="AD1356" i="2"/>
  <c r="AD1354" i="2"/>
  <c r="AD1352" i="2"/>
  <c r="AD1350" i="2"/>
  <c r="AD1348" i="2"/>
  <c r="AD1346" i="2"/>
  <c r="AD1344" i="2"/>
  <c r="AD1342" i="2"/>
  <c r="AD1340" i="2"/>
  <c r="AD1338" i="2"/>
  <c r="AD1336" i="2"/>
  <c r="AD1334" i="2"/>
  <c r="AD1332" i="2"/>
  <c r="AD1330" i="2"/>
  <c r="AD1328" i="2"/>
  <c r="AD1326" i="2"/>
  <c r="AD1324" i="2"/>
  <c r="AD1322" i="2"/>
  <c r="AD1320" i="2"/>
  <c r="AD1318" i="2"/>
  <c r="AD1316" i="2"/>
  <c r="AD1314" i="2"/>
  <c r="AD1312" i="2"/>
  <c r="AD1310" i="2"/>
  <c r="AD1308" i="2"/>
  <c r="AD1306" i="2"/>
  <c r="AD1304" i="2"/>
  <c r="AD1302" i="2"/>
  <c r="AD1300" i="2"/>
  <c r="AD1298" i="2"/>
  <c r="AD1296" i="2"/>
  <c r="AD1294" i="2"/>
  <c r="AD1292" i="2"/>
  <c r="AD1290" i="2"/>
  <c r="AD1288" i="2"/>
  <c r="AD1286" i="2"/>
  <c r="AD1284" i="2"/>
  <c r="AD1282" i="2"/>
  <c r="AD1280" i="2"/>
  <c r="AD1278" i="2"/>
  <c r="AD1276" i="2"/>
  <c r="AD1274" i="2"/>
  <c r="AD1272" i="2"/>
  <c r="AD1270" i="2"/>
  <c r="AD1268" i="2"/>
  <c r="AD1266" i="2"/>
  <c r="AD1264" i="2"/>
  <c r="AD1262" i="2"/>
  <c r="AD1260" i="2"/>
  <c r="AD1258" i="2"/>
  <c r="AD1256" i="2"/>
  <c r="AD1254" i="2"/>
  <c r="AD1252" i="2"/>
  <c r="AD1250" i="2"/>
  <c r="AD1248" i="2"/>
  <c r="AD1246" i="2"/>
  <c r="AD1244" i="2"/>
  <c r="AD1242" i="2"/>
  <c r="AD1240" i="2"/>
  <c r="AD1238" i="2"/>
  <c r="AD1236" i="2"/>
  <c r="AD1234" i="2"/>
  <c r="AD1232" i="2"/>
  <c r="AD1230" i="2"/>
  <c r="AD1228" i="2"/>
  <c r="AD1226" i="2"/>
  <c r="AD1224" i="2"/>
  <c r="AD1222" i="2"/>
  <c r="AD1220" i="2"/>
  <c r="AD1218" i="2"/>
  <c r="AD1216" i="2"/>
  <c r="AD1214" i="2"/>
  <c r="AD1212" i="2"/>
  <c r="AD1210" i="2"/>
  <c r="AD1208" i="2"/>
  <c r="AD1206" i="2"/>
  <c r="AD1204" i="2"/>
  <c r="AD1202" i="2"/>
  <c r="AD1200" i="2"/>
  <c r="AD1198" i="2"/>
  <c r="AD1196" i="2"/>
  <c r="AD1194" i="2"/>
  <c r="AD1192" i="2"/>
  <c r="AD1190" i="2"/>
  <c r="AD1188" i="2"/>
  <c r="AD1186" i="2"/>
  <c r="AD1184" i="2"/>
  <c r="AD1182" i="2"/>
  <c r="AD1180" i="2"/>
  <c r="AD1178" i="2"/>
  <c r="AD1176" i="2"/>
  <c r="AD1174" i="2"/>
  <c r="AD1172" i="2"/>
  <c r="AD1170" i="2"/>
  <c r="AD1168" i="2"/>
  <c r="AD1166" i="2"/>
  <c r="AD1164" i="2"/>
  <c r="AD1162" i="2"/>
  <c r="AD1160" i="2"/>
  <c r="AD1158" i="2"/>
  <c r="AD1156" i="2"/>
  <c r="AD1154" i="2"/>
  <c r="AD1152" i="2"/>
  <c r="AD1150" i="2"/>
  <c r="AD1148" i="2"/>
  <c r="AD1146" i="2"/>
  <c r="AD1144" i="2"/>
  <c r="AD1142" i="2"/>
  <c r="AD1140" i="2"/>
  <c r="AD1138" i="2"/>
  <c r="AD1136" i="2"/>
  <c r="AD1134" i="2"/>
  <c r="AD1132" i="2"/>
  <c r="AD1130" i="2"/>
  <c r="AD1128" i="2"/>
  <c r="AD1126" i="2"/>
  <c r="AD1124" i="2"/>
  <c r="AD1122" i="2"/>
  <c r="AD1120" i="2"/>
  <c r="AD1118" i="2"/>
  <c r="AD1116" i="2"/>
  <c r="AD1114" i="2"/>
  <c r="AD1112" i="2"/>
  <c r="AD1110" i="2"/>
  <c r="AD1108" i="2"/>
  <c r="AD1106" i="2"/>
  <c r="AD1104" i="2"/>
  <c r="AD1102" i="2"/>
  <c r="AD1100" i="2"/>
  <c r="AD1098" i="2"/>
  <c r="AD1096" i="2"/>
  <c r="AD1094" i="2"/>
  <c r="AD1092" i="2"/>
  <c r="AD1090" i="2"/>
  <c r="AD1088" i="2"/>
  <c r="AD1086" i="2"/>
  <c r="AD1084" i="2"/>
  <c r="AD1082" i="2"/>
  <c r="AD1080" i="2"/>
  <c r="AD1078" i="2"/>
  <c r="AD1076" i="2"/>
  <c r="AD1074" i="2"/>
  <c r="AD1072" i="2"/>
  <c r="AD1070" i="2"/>
  <c r="AD1068" i="2"/>
  <c r="AD1066" i="2"/>
  <c r="AD1064" i="2"/>
  <c r="AD1062" i="2"/>
  <c r="AD1060" i="2"/>
  <c r="AD1058" i="2"/>
  <c r="AD1056" i="2"/>
  <c r="AD1054" i="2"/>
  <c r="AD1052" i="2"/>
  <c r="AD1050" i="2"/>
  <c r="AD1048" i="2"/>
  <c r="AD1046" i="2"/>
  <c r="AD1044" i="2"/>
  <c r="AD1042" i="2"/>
  <c r="AD1040" i="2"/>
  <c r="AD1038" i="2"/>
  <c r="AD1036" i="2"/>
  <c r="AD1034" i="2"/>
  <c r="AD1032" i="2"/>
  <c r="AD1030" i="2"/>
  <c r="AD1028" i="2"/>
  <c r="AD1026" i="2"/>
  <c r="AD1024" i="2"/>
  <c r="AD1022" i="2"/>
  <c r="AD1020" i="2"/>
  <c r="AD1018" i="2"/>
  <c r="AD1016" i="2"/>
  <c r="AD1014" i="2"/>
  <c r="AD1012" i="2"/>
  <c r="AD1010" i="2"/>
  <c r="AD1008" i="2"/>
  <c r="AD1006" i="2"/>
  <c r="AD1004" i="2"/>
  <c r="AD1002" i="2"/>
  <c r="AD1000" i="2"/>
  <c r="AD998" i="2"/>
  <c r="AD996" i="2"/>
  <c r="AD994" i="2"/>
  <c r="AD992" i="2"/>
  <c r="AD990" i="2"/>
  <c r="AD988" i="2"/>
  <c r="AD986" i="2"/>
  <c r="AD984" i="2"/>
  <c r="AD982" i="2"/>
  <c r="AD980" i="2"/>
  <c r="AD978" i="2"/>
  <c r="AD974" i="2"/>
  <c r="AD970" i="2"/>
  <c r="AD966" i="2"/>
  <c r="AD962" i="2"/>
  <c r="AD958" i="2"/>
  <c r="AD954" i="2"/>
  <c r="AD950" i="2"/>
  <c r="AD946" i="2"/>
  <c r="AD942" i="2"/>
  <c r="AD938" i="2"/>
  <c r="AD934" i="2"/>
  <c r="AD932" i="2"/>
  <c r="AD930" i="2"/>
  <c r="AD928" i="2"/>
  <c r="AD926" i="2"/>
  <c r="AD924" i="2"/>
  <c r="AD922" i="2"/>
  <c r="AD920" i="2"/>
  <c r="AD918" i="2"/>
  <c r="AD916" i="2"/>
  <c r="AD914" i="2"/>
  <c r="AD912" i="2"/>
  <c r="AD910" i="2"/>
  <c r="AD908" i="2"/>
  <c r="AD906" i="2"/>
  <c r="AD904" i="2"/>
  <c r="AD902" i="2"/>
  <c r="AD900" i="2"/>
  <c r="AD898" i="2"/>
  <c r="AD896" i="2"/>
  <c r="AD894" i="2"/>
  <c r="AD892" i="2"/>
  <c r="AD890" i="2"/>
  <c r="AD888" i="2"/>
  <c r="AD886" i="2"/>
  <c r="AD884" i="2"/>
  <c r="AD882" i="2"/>
  <c r="AD880" i="2"/>
  <c r="AD878" i="2"/>
  <c r="AD876" i="2"/>
  <c r="AD874" i="2"/>
  <c r="AD872" i="2"/>
  <c r="AD870" i="2"/>
  <c r="AD868" i="2"/>
  <c r="AD866" i="2"/>
  <c r="AD864" i="2"/>
  <c r="AD862" i="2"/>
  <c r="AD860" i="2"/>
  <c r="AD858" i="2"/>
  <c r="AD856" i="2"/>
  <c r="AD854" i="2"/>
  <c r="AD852" i="2"/>
  <c r="AD850" i="2"/>
  <c r="AD848" i="2"/>
  <c r="AD846" i="2"/>
  <c r="AD844" i="2"/>
  <c r="AD842" i="2"/>
  <c r="AD840" i="2"/>
  <c r="AD838" i="2"/>
  <c r="AD836" i="2"/>
  <c r="AD834" i="2"/>
  <c r="AD832" i="2"/>
  <c r="AD830" i="2"/>
  <c r="AD828" i="2"/>
  <c r="AD826" i="2"/>
  <c r="AD824" i="2"/>
  <c r="AD822" i="2"/>
  <c r="AD820" i="2"/>
  <c r="AD818" i="2"/>
  <c r="AD816" i="2"/>
  <c r="AD814" i="2"/>
  <c r="AD812" i="2"/>
  <c r="AD810" i="2"/>
  <c r="AD808" i="2"/>
  <c r="AD806" i="2"/>
  <c r="AD804" i="2"/>
  <c r="AD802" i="2"/>
  <c r="AD800" i="2"/>
  <c r="AD798" i="2"/>
  <c r="AD796" i="2"/>
  <c r="AD794" i="2"/>
  <c r="AD792" i="2"/>
  <c r="AD790" i="2"/>
  <c r="AD788" i="2"/>
  <c r="AD786" i="2"/>
  <c r="AD784" i="2"/>
  <c r="AD782" i="2"/>
  <c r="AD780" i="2"/>
  <c r="AD778" i="2"/>
  <c r="AD776" i="2"/>
  <c r="AD774" i="2"/>
  <c r="AD772" i="2"/>
  <c r="AD770" i="2"/>
  <c r="AD768" i="2"/>
  <c r="AD766" i="2"/>
  <c r="AD764" i="2"/>
  <c r="AD762" i="2"/>
  <c r="AD760" i="2"/>
  <c r="AD758" i="2"/>
  <c r="AD756" i="2"/>
  <c r="AD754" i="2"/>
  <c r="AD752" i="2"/>
  <c r="AD750" i="2"/>
  <c r="AD748" i="2"/>
  <c r="AD746" i="2"/>
  <c r="AD744" i="2"/>
  <c r="AD742" i="2"/>
  <c r="AD740" i="2"/>
  <c r="AD738" i="2"/>
  <c r="AD736" i="2"/>
  <c r="AD734" i="2"/>
  <c r="AD732" i="2"/>
  <c r="AD730" i="2"/>
  <c r="AD728" i="2"/>
  <c r="AD726" i="2"/>
  <c r="AD724" i="2"/>
  <c r="AD722" i="2"/>
  <c r="AD720" i="2"/>
  <c r="AD718" i="2"/>
  <c r="AD716" i="2"/>
  <c r="AD714" i="2"/>
  <c r="AD712" i="2"/>
  <c r="AD710" i="2"/>
  <c r="AD708" i="2"/>
  <c r="AD706" i="2"/>
  <c r="AD704" i="2"/>
  <c r="AD702" i="2"/>
  <c r="AD700" i="2"/>
  <c r="AD698" i="2"/>
  <c r="AD696" i="2"/>
  <c r="AD694" i="2"/>
  <c r="AD692" i="2"/>
  <c r="AD690" i="2"/>
  <c r="AD688" i="2"/>
  <c r="AD686" i="2"/>
  <c r="AD684" i="2"/>
  <c r="AD682" i="2"/>
  <c r="AD680" i="2"/>
  <c r="AD678" i="2"/>
  <c r="AD676" i="2"/>
  <c r="AD674" i="2"/>
  <c r="AD672" i="2"/>
  <c r="AD670" i="2"/>
  <c r="AD668" i="2"/>
  <c r="AD666" i="2"/>
  <c r="AD664" i="2"/>
  <c r="AD662" i="2"/>
  <c r="AD660" i="2"/>
  <c r="AD658" i="2"/>
  <c r="AD656" i="2"/>
  <c r="AD654" i="2"/>
  <c r="AD652" i="2"/>
  <c r="AD650" i="2"/>
  <c r="AD648" i="2"/>
  <c r="AD646" i="2"/>
  <c r="AD644" i="2"/>
  <c r="AD642" i="2"/>
  <c r="AD640" i="2"/>
  <c r="AD638" i="2"/>
  <c r="AD636" i="2"/>
  <c r="AD634" i="2"/>
  <c r="AD632" i="2"/>
  <c r="AD630" i="2"/>
  <c r="AD628" i="2"/>
  <c r="AD626" i="2"/>
  <c r="AD624" i="2"/>
  <c r="AD622" i="2"/>
  <c r="AD620" i="2"/>
  <c r="AD618" i="2"/>
  <c r="AD616" i="2"/>
  <c r="AD614" i="2"/>
  <c r="AD612" i="2"/>
  <c r="AD610" i="2"/>
  <c r="AD608" i="2"/>
  <c r="AD606" i="2"/>
  <c r="AD604" i="2"/>
  <c r="AD602" i="2"/>
  <c r="AD600" i="2"/>
  <c r="AD598" i="2"/>
  <c r="AD596" i="2"/>
  <c r="AD594" i="2"/>
  <c r="AD592" i="2"/>
  <c r="AD590" i="2"/>
  <c r="AD588" i="2"/>
  <c r="AD586" i="2"/>
  <c r="AD584" i="2"/>
  <c r="AD582" i="2"/>
  <c r="AD580" i="2"/>
  <c r="AD578" i="2"/>
  <c r="AD576" i="2"/>
  <c r="AD574" i="2"/>
  <c r="AD572" i="2"/>
  <c r="AD570" i="2"/>
  <c r="AD568" i="2"/>
  <c r="AD566" i="2"/>
  <c r="AD564" i="2"/>
  <c r="AD562" i="2"/>
  <c r="AD560" i="2"/>
  <c r="AD558" i="2"/>
  <c r="AD556" i="2"/>
  <c r="AD554" i="2"/>
  <c r="AD552" i="2"/>
  <c r="AD550" i="2"/>
  <c r="AD548" i="2"/>
  <c r="AD546" i="2"/>
  <c r="AD544" i="2"/>
  <c r="AD542" i="2"/>
  <c r="AD540" i="2"/>
  <c r="AD538" i="2"/>
  <c r="AD536" i="2"/>
  <c r="AD534" i="2"/>
  <c r="AD532" i="2"/>
  <c r="AD530" i="2"/>
  <c r="AD528" i="2"/>
  <c r="AD526" i="2"/>
  <c r="AD524" i="2"/>
  <c r="AD522" i="2"/>
  <c r="AD520" i="2"/>
  <c r="AD518" i="2"/>
  <c r="AD516" i="2"/>
  <c r="AD514" i="2"/>
  <c r="AD512" i="2"/>
  <c r="AD510" i="2"/>
  <c r="AD508" i="2"/>
  <c r="AD506" i="2"/>
  <c r="AD504" i="2"/>
  <c r="AD502" i="2"/>
  <c r="AD500" i="2"/>
  <c r="AD498" i="2"/>
  <c r="AD496" i="2"/>
  <c r="AD494" i="2"/>
  <c r="AD492" i="2"/>
  <c r="AD490" i="2"/>
  <c r="AD488" i="2"/>
  <c r="AD486" i="2"/>
  <c r="AD484" i="2"/>
  <c r="AD482" i="2"/>
  <c r="AD480" i="2"/>
  <c r="AD478" i="2"/>
  <c r="AD476" i="2"/>
  <c r="AD474" i="2"/>
  <c r="AD472" i="2"/>
  <c r="AD470" i="2"/>
  <c r="AD468" i="2"/>
  <c r="AD466" i="2"/>
  <c r="AD464" i="2"/>
  <c r="AD462" i="2"/>
  <c r="AD460" i="2"/>
  <c r="AD458" i="2"/>
  <c r="AD456" i="2"/>
  <c r="AD454" i="2"/>
  <c r="AD452" i="2"/>
  <c r="AD450" i="2"/>
  <c r="AD448" i="2"/>
  <c r="AD446" i="2"/>
  <c r="AD444" i="2"/>
  <c r="AD442" i="2"/>
  <c r="AD440" i="2"/>
  <c r="AD438" i="2"/>
  <c r="AD436" i="2"/>
  <c r="AD434" i="2"/>
  <c r="AD432" i="2"/>
  <c r="AD430" i="2"/>
  <c r="AD428" i="2"/>
  <c r="AD426" i="2"/>
  <c r="AD424" i="2"/>
  <c r="AD422" i="2"/>
  <c r="AD420" i="2"/>
  <c r="AD418" i="2"/>
  <c r="AD416" i="2"/>
  <c r="AD414" i="2"/>
  <c r="AD412" i="2"/>
  <c r="AD410" i="2"/>
  <c r="AD408" i="2"/>
  <c r="AD406" i="2"/>
  <c r="AD404" i="2"/>
  <c r="AD402" i="2"/>
  <c r="AD400" i="2"/>
  <c r="AD398" i="2"/>
  <c r="AD396" i="2"/>
  <c r="AD394" i="2"/>
  <c r="AD392" i="2"/>
  <c r="AD390" i="2"/>
  <c r="AD388" i="2"/>
  <c r="AD386" i="2"/>
  <c r="AD384" i="2"/>
  <c r="AD382" i="2"/>
  <c r="AD380" i="2"/>
  <c r="AD378" i="2"/>
  <c r="AD376" i="2"/>
  <c r="AD374" i="2"/>
  <c r="AD372" i="2"/>
  <c r="AD370" i="2"/>
  <c r="AD368" i="2"/>
  <c r="AD366" i="2"/>
  <c r="AD364" i="2"/>
  <c r="AD362" i="2"/>
  <c r="AD360" i="2"/>
  <c r="AD358" i="2"/>
  <c r="AD356" i="2"/>
  <c r="AD354" i="2"/>
  <c r="AD352" i="2"/>
  <c r="AD350" i="2"/>
  <c r="AD348" i="2"/>
  <c r="AD346" i="2"/>
  <c r="AD344" i="2"/>
  <c r="AD342" i="2"/>
  <c r="AD340" i="2"/>
  <c r="AD338" i="2"/>
  <c r="AD336" i="2"/>
  <c r="AD334" i="2"/>
  <c r="AD332" i="2"/>
  <c r="AD330" i="2"/>
  <c r="AD328" i="2"/>
  <c r="AD326" i="2"/>
  <c r="AD324" i="2"/>
  <c r="AD322" i="2"/>
  <c r="AD320" i="2"/>
  <c r="AD318" i="2"/>
  <c r="AD316" i="2"/>
  <c r="AD314" i="2"/>
  <c r="AD312" i="2"/>
  <c r="AD310" i="2"/>
  <c r="AD308" i="2"/>
  <c r="AD306" i="2"/>
  <c r="AD304" i="2"/>
  <c r="AD302" i="2"/>
  <c r="AD300" i="2"/>
  <c r="AD298" i="2"/>
  <c r="AD296" i="2"/>
  <c r="AD294" i="2"/>
  <c r="AD292" i="2"/>
  <c r="AD290" i="2"/>
  <c r="AD288" i="2"/>
  <c r="AD286" i="2"/>
  <c r="AD284" i="2"/>
  <c r="AD282" i="2"/>
  <c r="AD280" i="2"/>
  <c r="AD278" i="2"/>
  <c r="AD276" i="2"/>
  <c r="AD274" i="2"/>
  <c r="AD272" i="2"/>
  <c r="AD270" i="2"/>
  <c r="AD268" i="2"/>
  <c r="AD266" i="2"/>
  <c r="AD264" i="2"/>
  <c r="AD262" i="2"/>
  <c r="AD260" i="2"/>
  <c r="AD258" i="2"/>
  <c r="AD256" i="2"/>
  <c r="AD254" i="2"/>
  <c r="AD252" i="2"/>
  <c r="AD250" i="2"/>
  <c r="AD248" i="2"/>
  <c r="AD246" i="2"/>
  <c r="AD244" i="2"/>
  <c r="AD242" i="2"/>
  <c r="AD240" i="2"/>
  <c r="AD238" i="2"/>
  <c r="AD236" i="2"/>
  <c r="AD234" i="2"/>
  <c r="AD232" i="2"/>
  <c r="AD230" i="2"/>
  <c r="AD228" i="2"/>
  <c r="AD226" i="2"/>
  <c r="AD224" i="2"/>
  <c r="AD222" i="2"/>
  <c r="AD220" i="2"/>
  <c r="AD218" i="2"/>
  <c r="AD216" i="2"/>
  <c r="AD214" i="2"/>
  <c r="AD212" i="2"/>
  <c r="AD210" i="2"/>
  <c r="AD208" i="2"/>
  <c r="AD206" i="2"/>
  <c r="AD204" i="2"/>
  <c r="AD202" i="2"/>
  <c r="AD200" i="2"/>
  <c r="AD198" i="2"/>
  <c r="AD196" i="2"/>
  <c r="AD194" i="2"/>
  <c r="AD192" i="2"/>
  <c r="AD190" i="2"/>
  <c r="AD188" i="2"/>
  <c r="AD186" i="2"/>
  <c r="AD184" i="2"/>
  <c r="AD182" i="2"/>
  <c r="AD180" i="2"/>
  <c r="AD178" i="2"/>
  <c r="AD176" i="2"/>
  <c r="AD174" i="2"/>
  <c r="AD172" i="2"/>
  <c r="AD170" i="2"/>
  <c r="AD168" i="2"/>
  <c r="AD166" i="2"/>
  <c r="AD164" i="2"/>
  <c r="AD162" i="2"/>
  <c r="AD160" i="2"/>
  <c r="AD158" i="2"/>
  <c r="AD156" i="2"/>
  <c r="AD154" i="2"/>
  <c r="AD152" i="2"/>
  <c r="AD150" i="2"/>
  <c r="AD148" i="2"/>
  <c r="AD146" i="2"/>
  <c r="AD144" i="2"/>
  <c r="AD142" i="2"/>
  <c r="AD140" i="2"/>
  <c r="AD138" i="2"/>
  <c r="AD136" i="2"/>
  <c r="AD134" i="2"/>
  <c r="AD132" i="2"/>
  <c r="AD130" i="2"/>
  <c r="AD128" i="2"/>
  <c r="AD126" i="2"/>
  <c r="AD124" i="2"/>
  <c r="AD122" i="2"/>
  <c r="AD120" i="2"/>
  <c r="AD118" i="2"/>
  <c r="AD116" i="2"/>
  <c r="AD114" i="2"/>
  <c r="AD976" i="2"/>
  <c r="AD972" i="2"/>
  <c r="AD968" i="2"/>
  <c r="AD964" i="2"/>
  <c r="AD960" i="2"/>
  <c r="AD956" i="2"/>
  <c r="AD952" i="2"/>
  <c r="AD948" i="2"/>
  <c r="AD944" i="2"/>
  <c r="AD940" i="2"/>
  <c r="AD936" i="2"/>
  <c r="AD933" i="2"/>
  <c r="AD931" i="2"/>
  <c r="AD929" i="2"/>
  <c r="AD927" i="2"/>
  <c r="AD925" i="2"/>
  <c r="AD923" i="2"/>
  <c r="AD921" i="2"/>
  <c r="AD919" i="2"/>
  <c r="AD917" i="2"/>
  <c r="AD915" i="2"/>
  <c r="AD913" i="2"/>
  <c r="AD911" i="2"/>
  <c r="AD909" i="2"/>
  <c r="AD907" i="2"/>
  <c r="AD905" i="2"/>
  <c r="AD903" i="2"/>
  <c r="AD901" i="2"/>
  <c r="AD899" i="2"/>
  <c r="AD897" i="2"/>
  <c r="AD895" i="2"/>
  <c r="AD893" i="2"/>
  <c r="AD891" i="2"/>
  <c r="AD889" i="2"/>
  <c r="AD887" i="2"/>
  <c r="AD885" i="2"/>
  <c r="AD883" i="2"/>
  <c r="AD881" i="2"/>
  <c r="AD879" i="2"/>
  <c r="AD877" i="2"/>
  <c r="AD875" i="2"/>
  <c r="AD873" i="2"/>
  <c r="AD871" i="2"/>
  <c r="AD869" i="2"/>
  <c r="AD867" i="2"/>
  <c r="AD865" i="2"/>
  <c r="AD863" i="2"/>
  <c r="AD861" i="2"/>
  <c r="AD859" i="2"/>
  <c r="AD857" i="2"/>
  <c r="AD855" i="2"/>
  <c r="AD853" i="2"/>
  <c r="AD851" i="2"/>
  <c r="AD849" i="2"/>
  <c r="AD847" i="2"/>
  <c r="AD845" i="2"/>
  <c r="AD843" i="2"/>
  <c r="AD841" i="2"/>
  <c r="AD839" i="2"/>
  <c r="AD837" i="2"/>
  <c r="AD835" i="2"/>
  <c r="AD833" i="2"/>
  <c r="AD831" i="2"/>
  <c r="AD829" i="2"/>
  <c r="AD827" i="2"/>
  <c r="AD825" i="2"/>
  <c r="AD823" i="2"/>
  <c r="AD821" i="2"/>
  <c r="AD819" i="2"/>
  <c r="AD817" i="2"/>
  <c r="AD815" i="2"/>
  <c r="AD813" i="2"/>
  <c r="AD811" i="2"/>
  <c r="AD809" i="2"/>
  <c r="AD807" i="2"/>
  <c r="AD805" i="2"/>
  <c r="AD803" i="2"/>
  <c r="AD801" i="2"/>
  <c r="AD799" i="2"/>
  <c r="AD797" i="2"/>
  <c r="AD795" i="2"/>
  <c r="AD793" i="2"/>
  <c r="AD791" i="2"/>
  <c r="AD789" i="2"/>
  <c r="AD787" i="2"/>
  <c r="AD785" i="2"/>
  <c r="AD783" i="2"/>
  <c r="AD781" i="2"/>
  <c r="AD779" i="2"/>
  <c r="AD777" i="2"/>
  <c r="AD775" i="2"/>
  <c r="AD773" i="2"/>
  <c r="AD771" i="2"/>
  <c r="AD769" i="2"/>
  <c r="AD767" i="2"/>
  <c r="AD765" i="2"/>
  <c r="AD763" i="2"/>
  <c r="AD761" i="2"/>
  <c r="AD759" i="2"/>
  <c r="AD757" i="2"/>
  <c r="AD755" i="2"/>
  <c r="AD753" i="2"/>
  <c r="AD751" i="2"/>
  <c r="AD749" i="2"/>
  <c r="AD747" i="2"/>
  <c r="AD745" i="2"/>
  <c r="AD743" i="2"/>
  <c r="AD741" i="2"/>
  <c r="AD739" i="2"/>
  <c r="AD737" i="2"/>
  <c r="AD735" i="2"/>
  <c r="AD733" i="2"/>
  <c r="AD731" i="2"/>
  <c r="AD729" i="2"/>
  <c r="AD727" i="2"/>
  <c r="AD725" i="2"/>
  <c r="AD723" i="2"/>
  <c r="AD721" i="2"/>
  <c r="AD719" i="2"/>
  <c r="AD717" i="2"/>
  <c r="AD715" i="2"/>
  <c r="AD713" i="2"/>
  <c r="AD711" i="2"/>
  <c r="AD709" i="2"/>
  <c r="AD707" i="2"/>
  <c r="AD705" i="2"/>
  <c r="AD703" i="2"/>
  <c r="AD701" i="2"/>
  <c r="AD699" i="2"/>
  <c r="AD697" i="2"/>
  <c r="AD695" i="2"/>
  <c r="AD693" i="2"/>
  <c r="AD691" i="2"/>
  <c r="AD689" i="2"/>
  <c r="AD687" i="2"/>
  <c r="AD685" i="2"/>
  <c r="AD683" i="2"/>
  <c r="AD681" i="2"/>
  <c r="AD679" i="2"/>
  <c r="AD677" i="2"/>
  <c r="AD675" i="2"/>
  <c r="AD673" i="2"/>
  <c r="AD671" i="2"/>
  <c r="AD669" i="2"/>
  <c r="AD667" i="2"/>
  <c r="AD665" i="2"/>
  <c r="AD663" i="2"/>
  <c r="AD661" i="2"/>
  <c r="AD659" i="2"/>
  <c r="AD657" i="2"/>
  <c r="AD655" i="2"/>
  <c r="AD653" i="2"/>
  <c r="AD651" i="2"/>
  <c r="AD649" i="2"/>
  <c r="AD647" i="2"/>
  <c r="AD645" i="2"/>
  <c r="AD643" i="2"/>
  <c r="AD641" i="2"/>
  <c r="AD639" i="2"/>
  <c r="AD637" i="2"/>
  <c r="AD635" i="2"/>
  <c r="AD633" i="2"/>
  <c r="AD631" i="2"/>
  <c r="AD629" i="2"/>
  <c r="AD627" i="2"/>
  <c r="AD625" i="2"/>
  <c r="AD623" i="2"/>
  <c r="AD621" i="2"/>
  <c r="AD619" i="2"/>
  <c r="AD617" i="2"/>
  <c r="AD615" i="2"/>
  <c r="AD613" i="2"/>
  <c r="AD611" i="2"/>
  <c r="AD609" i="2"/>
  <c r="AD607" i="2"/>
  <c r="AD605" i="2"/>
  <c r="AD603" i="2"/>
  <c r="AD601" i="2"/>
  <c r="AD599" i="2"/>
  <c r="AD597" i="2"/>
  <c r="AD595" i="2"/>
  <c r="AD593" i="2"/>
  <c r="AD591" i="2"/>
  <c r="AD589" i="2"/>
  <c r="AD587" i="2"/>
  <c r="AD585" i="2"/>
  <c r="AD583" i="2"/>
  <c r="AD581" i="2"/>
  <c r="AD579" i="2"/>
  <c r="AD577" i="2"/>
  <c r="AD575" i="2"/>
  <c r="AD573" i="2"/>
  <c r="AD571" i="2"/>
  <c r="AD569" i="2"/>
  <c r="AD567" i="2"/>
  <c r="AD565" i="2"/>
  <c r="AD563" i="2"/>
  <c r="AD561" i="2"/>
  <c r="AD559" i="2"/>
  <c r="AD557" i="2"/>
  <c r="AD555" i="2"/>
  <c r="AD553" i="2"/>
  <c r="AD551" i="2"/>
  <c r="AD549" i="2"/>
  <c r="AD547" i="2"/>
  <c r="AD545" i="2"/>
  <c r="AD543" i="2"/>
  <c r="AD541" i="2"/>
  <c r="AD539" i="2"/>
  <c r="AD537" i="2"/>
  <c r="AD535" i="2"/>
  <c r="AD533" i="2"/>
  <c r="AD531" i="2"/>
  <c r="AD529" i="2"/>
  <c r="AD527" i="2"/>
  <c r="AD525" i="2"/>
  <c r="AD523" i="2"/>
  <c r="AD521" i="2"/>
  <c r="AD519" i="2"/>
  <c r="AD517" i="2"/>
  <c r="AD515" i="2"/>
  <c r="AD513" i="2"/>
  <c r="AD511" i="2"/>
  <c r="AD509" i="2"/>
  <c r="AD507" i="2"/>
  <c r="AD505" i="2"/>
  <c r="AD503" i="2"/>
  <c r="AD501" i="2"/>
  <c r="AD499" i="2"/>
  <c r="AD497" i="2"/>
  <c r="AD495" i="2"/>
  <c r="AD493" i="2"/>
  <c r="AD491" i="2"/>
  <c r="AD489" i="2"/>
  <c r="AD487" i="2"/>
  <c r="AD485" i="2"/>
  <c r="AD483" i="2"/>
  <c r="AD481" i="2"/>
  <c r="AD479" i="2"/>
  <c r="AD477" i="2"/>
  <c r="AD475" i="2"/>
  <c r="AD473" i="2"/>
  <c r="AD471" i="2"/>
  <c r="AD469" i="2"/>
  <c r="AD467" i="2"/>
  <c r="AD465" i="2"/>
  <c r="AD463" i="2"/>
  <c r="AD461" i="2"/>
  <c r="AD459" i="2"/>
  <c r="AD457" i="2"/>
  <c r="AD455" i="2"/>
  <c r="AD453" i="2"/>
  <c r="AD451" i="2"/>
  <c r="AD449" i="2"/>
  <c r="AD447" i="2"/>
  <c r="AD445" i="2"/>
  <c r="AD443" i="2"/>
  <c r="AD441" i="2"/>
  <c r="AD439" i="2"/>
  <c r="AD437" i="2"/>
  <c r="AD435" i="2"/>
  <c r="AD433" i="2"/>
  <c r="AD431" i="2"/>
  <c r="AD429" i="2"/>
  <c r="AD427" i="2"/>
  <c r="AD425" i="2"/>
  <c r="AD423" i="2"/>
  <c r="AD421" i="2"/>
  <c r="AD419" i="2"/>
  <c r="AD417" i="2"/>
  <c r="AD415" i="2"/>
  <c r="AD413" i="2"/>
  <c r="AD411" i="2"/>
  <c r="AD409" i="2"/>
  <c r="AD407" i="2"/>
  <c r="AD405" i="2"/>
  <c r="AD403" i="2"/>
  <c r="AD401" i="2"/>
  <c r="AD399" i="2"/>
  <c r="AD397" i="2"/>
  <c r="AD395" i="2"/>
  <c r="AD393" i="2"/>
  <c r="AD391" i="2"/>
  <c r="AD389" i="2"/>
  <c r="AD387" i="2"/>
  <c r="AD385" i="2"/>
  <c r="AD383" i="2"/>
  <c r="AD381" i="2"/>
  <c r="AD379" i="2"/>
  <c r="AD377" i="2"/>
  <c r="AD375" i="2"/>
  <c r="AD373" i="2"/>
  <c r="AD371" i="2"/>
  <c r="AD369" i="2"/>
  <c r="AD367" i="2"/>
  <c r="AD365" i="2"/>
  <c r="AD363" i="2"/>
  <c r="AD361" i="2"/>
  <c r="AD359" i="2"/>
  <c r="AD357" i="2"/>
  <c r="AD355" i="2"/>
  <c r="AD353" i="2"/>
  <c r="AD351" i="2"/>
  <c r="AD349" i="2"/>
  <c r="AD347" i="2"/>
  <c r="AD345" i="2"/>
  <c r="AD343" i="2"/>
  <c r="AD341" i="2"/>
  <c r="AD339" i="2"/>
  <c r="AD337" i="2"/>
  <c r="AD335" i="2"/>
  <c r="AD333" i="2"/>
  <c r="AD331" i="2"/>
  <c r="AD329" i="2"/>
  <c r="AD327" i="2"/>
  <c r="AD325" i="2"/>
  <c r="AD323" i="2"/>
  <c r="AD321" i="2"/>
  <c r="AD319" i="2"/>
  <c r="AD317" i="2"/>
  <c r="AD315" i="2"/>
  <c r="AD313" i="2"/>
  <c r="AD311" i="2"/>
  <c r="AD309" i="2"/>
  <c r="AD307" i="2"/>
  <c r="AD305" i="2"/>
  <c r="AD303" i="2"/>
  <c r="AD301" i="2"/>
  <c r="AD299" i="2"/>
  <c r="AD297" i="2"/>
  <c r="AD295" i="2"/>
  <c r="AD293" i="2"/>
  <c r="AD291" i="2"/>
  <c r="AD289" i="2"/>
  <c r="AD287" i="2"/>
  <c r="AD285" i="2"/>
  <c r="AD283" i="2"/>
  <c r="AD281" i="2"/>
  <c r="AD279" i="2"/>
  <c r="AD277" i="2"/>
  <c r="AD275" i="2"/>
  <c r="AD273" i="2"/>
  <c r="AD271" i="2"/>
  <c r="AD269" i="2"/>
  <c r="AD267" i="2"/>
  <c r="AD265" i="2"/>
  <c r="AD263" i="2"/>
  <c r="AD261" i="2"/>
  <c r="AD259" i="2"/>
  <c r="AD257" i="2"/>
  <c r="AD255" i="2"/>
  <c r="AD253" i="2"/>
  <c r="AD251" i="2"/>
  <c r="AD249" i="2"/>
  <c r="AD247" i="2"/>
  <c r="AD245" i="2"/>
  <c r="AD243" i="2"/>
  <c r="AD241" i="2"/>
  <c r="AD239" i="2"/>
  <c r="AD237" i="2"/>
  <c r="AD235" i="2"/>
  <c r="AD233" i="2"/>
  <c r="AD231" i="2"/>
  <c r="AD229" i="2"/>
  <c r="AD227" i="2"/>
  <c r="AD225" i="2"/>
  <c r="AD223" i="2"/>
  <c r="AD221" i="2"/>
  <c r="AD219" i="2"/>
  <c r="AD217" i="2"/>
  <c r="AD215" i="2"/>
  <c r="AD213" i="2"/>
  <c r="AD211" i="2"/>
  <c r="AD209" i="2"/>
  <c r="AD207" i="2"/>
  <c r="AD205" i="2"/>
  <c r="AD203" i="2"/>
  <c r="AD201" i="2"/>
  <c r="AD199" i="2"/>
  <c r="AD197" i="2"/>
  <c r="AD195" i="2"/>
  <c r="AD193" i="2"/>
  <c r="AD191" i="2"/>
  <c r="AD189" i="2"/>
  <c r="AD187" i="2"/>
  <c r="AD185" i="2"/>
  <c r="AD183" i="2"/>
  <c r="AD181" i="2"/>
  <c r="AD179" i="2"/>
  <c r="AD177" i="2"/>
  <c r="AD175" i="2"/>
  <c r="AD173" i="2"/>
  <c r="AD171" i="2"/>
  <c r="AD169" i="2"/>
  <c r="AD167" i="2"/>
  <c r="AD165" i="2"/>
  <c r="AD163" i="2"/>
  <c r="AD161" i="2"/>
  <c r="AD159" i="2"/>
  <c r="AD157" i="2"/>
  <c r="AD155" i="2"/>
  <c r="AD153" i="2"/>
  <c r="AD151" i="2"/>
  <c r="AD149" i="2"/>
  <c r="AD147" i="2"/>
  <c r="AD145" i="2"/>
  <c r="AD143" i="2"/>
  <c r="AD141" i="2"/>
  <c r="AD139" i="2"/>
  <c r="AD137" i="2"/>
  <c r="AD135" i="2"/>
  <c r="AD133" i="2"/>
  <c r="AD131" i="2"/>
  <c r="AD129" i="2"/>
  <c r="AD127" i="2"/>
  <c r="AD125" i="2"/>
  <c r="AD123" i="2"/>
  <c r="AD121" i="2"/>
  <c r="AD119" i="2"/>
  <c r="AD117" i="2"/>
  <c r="AD115" i="2"/>
  <c r="AD113" i="2"/>
  <c r="AB1912" i="2"/>
  <c r="AB1910" i="2"/>
  <c r="AB1908" i="2"/>
  <c r="AB1906" i="2"/>
  <c r="AB1904" i="2"/>
  <c r="AB1902" i="2"/>
  <c r="AB1900" i="2"/>
  <c r="AB1898" i="2"/>
  <c r="AB1896" i="2"/>
  <c r="AB1894" i="2"/>
  <c r="AB1892" i="2"/>
  <c r="AB1890" i="2"/>
  <c r="AB1888" i="2"/>
  <c r="AB1886" i="2"/>
  <c r="AB1884" i="2"/>
  <c r="AB1882" i="2"/>
  <c r="AB1880" i="2"/>
  <c r="AB1878" i="2"/>
  <c r="AB1876" i="2"/>
  <c r="AB1874" i="2"/>
  <c r="AB1872" i="2"/>
  <c r="AB1870" i="2"/>
  <c r="AB1868" i="2"/>
  <c r="AB1866" i="2"/>
  <c r="AB1864" i="2"/>
  <c r="AB1862" i="2"/>
  <c r="AB1860" i="2"/>
  <c r="AB1858" i="2"/>
  <c r="AB1856" i="2"/>
  <c r="AB1854" i="2"/>
  <c r="AB1911" i="2"/>
  <c r="AB1909" i="2"/>
  <c r="AB1907" i="2"/>
  <c r="AB1905" i="2"/>
  <c r="AB1903" i="2"/>
  <c r="AB1901" i="2"/>
  <c r="AB1899" i="2"/>
  <c r="AB1897" i="2"/>
  <c r="AB1895" i="2"/>
  <c r="AB1893" i="2"/>
  <c r="AB1891" i="2"/>
  <c r="AB1889" i="2"/>
  <c r="AB1887" i="2"/>
  <c r="AB1885" i="2"/>
  <c r="AB1883" i="2"/>
  <c r="AB1881" i="2"/>
  <c r="AB1879" i="2"/>
  <c r="AB1877" i="2"/>
  <c r="AB1875" i="2"/>
  <c r="AB1873" i="2"/>
  <c r="AB1871" i="2"/>
  <c r="AB1869" i="2"/>
  <c r="AB1867" i="2"/>
  <c r="AB1865" i="2"/>
  <c r="AB1863" i="2"/>
  <c r="AB1861" i="2"/>
  <c r="AB1859" i="2"/>
  <c r="AB1857" i="2"/>
  <c r="AB1855" i="2"/>
  <c r="AB1853" i="2"/>
  <c r="AB1851" i="2"/>
  <c r="AB1849" i="2"/>
  <c r="AB1847" i="2"/>
  <c r="AB1845" i="2"/>
  <c r="AB1843" i="2"/>
  <c r="AB1841" i="2"/>
  <c r="AB1839" i="2"/>
  <c r="AB1837" i="2"/>
  <c r="AB1835" i="2"/>
  <c r="AB1833" i="2"/>
  <c r="AB1831" i="2"/>
  <c r="AB1829" i="2"/>
  <c r="AB1827" i="2"/>
  <c r="AB1825" i="2"/>
  <c r="AB1823" i="2"/>
  <c r="AB1821" i="2"/>
  <c r="AB1819" i="2"/>
  <c r="AB1817" i="2"/>
  <c r="AB1815" i="2"/>
  <c r="AB1813" i="2"/>
  <c r="AB1811" i="2"/>
  <c r="AB1809" i="2"/>
  <c r="AB1807" i="2"/>
  <c r="AB1805" i="2"/>
  <c r="AB1803" i="2"/>
  <c r="AB1801" i="2"/>
  <c r="AB1799" i="2"/>
  <c r="AB1797" i="2"/>
  <c r="AB1795" i="2"/>
  <c r="AB1793" i="2"/>
  <c r="AB1791" i="2"/>
  <c r="AB1789" i="2"/>
  <c r="AB1787" i="2"/>
  <c r="AB1785" i="2"/>
  <c r="AB1783" i="2"/>
  <c r="AB1781" i="2"/>
  <c r="AB1779" i="2"/>
  <c r="AB1777" i="2"/>
  <c r="AB1775" i="2"/>
  <c r="AB1773" i="2"/>
  <c r="AB1771" i="2"/>
  <c r="AB1769" i="2"/>
  <c r="AB1767" i="2"/>
  <c r="AB1765" i="2"/>
  <c r="AB1763" i="2"/>
  <c r="AB1761" i="2"/>
  <c r="AB1759" i="2"/>
  <c r="AB1757" i="2"/>
  <c r="AB1755" i="2"/>
  <c r="AB1753" i="2"/>
  <c r="AB1751" i="2"/>
  <c r="AB1749" i="2"/>
  <c r="AB1747" i="2"/>
  <c r="AB1745" i="2"/>
  <c r="AB1743" i="2"/>
  <c r="AB1741" i="2"/>
  <c r="AB1739" i="2"/>
  <c r="AB1737" i="2"/>
  <c r="AB1850" i="2"/>
  <c r="AB1846" i="2"/>
  <c r="AB1842" i="2"/>
  <c r="AB1838" i="2"/>
  <c r="AB1834" i="2"/>
  <c r="AB1830" i="2"/>
  <c r="AB1826" i="2"/>
  <c r="AB1822" i="2"/>
  <c r="AB1818" i="2"/>
  <c r="AB1814" i="2"/>
  <c r="AB1810" i="2"/>
  <c r="AB1806" i="2"/>
  <c r="AB1802" i="2"/>
  <c r="AB1798" i="2"/>
  <c r="AB1794" i="2"/>
  <c r="AB1790" i="2"/>
  <c r="AB1786" i="2"/>
  <c r="AB1782" i="2"/>
  <c r="AB1778" i="2"/>
  <c r="AB1774" i="2"/>
  <c r="AB1770" i="2"/>
  <c r="AB1766" i="2"/>
  <c r="AB1762" i="2"/>
  <c r="AB1758" i="2"/>
  <c r="AB1754" i="2"/>
  <c r="AB1750" i="2"/>
  <c r="AB1746" i="2"/>
  <c r="AB1742" i="2"/>
  <c r="AB1738" i="2"/>
  <c r="AB1735" i="2"/>
  <c r="AB1733" i="2"/>
  <c r="AB1731" i="2"/>
  <c r="AB1729" i="2"/>
  <c r="AB1727" i="2"/>
  <c r="AB1725" i="2"/>
  <c r="AB1723" i="2"/>
  <c r="AB1721" i="2"/>
  <c r="AB1719" i="2"/>
  <c r="AB1717" i="2"/>
  <c r="AB1715" i="2"/>
  <c r="AB1713" i="2"/>
  <c r="AB1711" i="2"/>
  <c r="AB1709" i="2"/>
  <c r="AB1707" i="2"/>
  <c r="AB1705" i="2"/>
  <c r="AB1703" i="2"/>
  <c r="AB1701" i="2"/>
  <c r="AB1699" i="2"/>
  <c r="AB1697" i="2"/>
  <c r="AB1695" i="2"/>
  <c r="AB1693" i="2"/>
  <c r="AB1691" i="2"/>
  <c r="AB1689" i="2"/>
  <c r="AB1687" i="2"/>
  <c r="AB1685" i="2"/>
  <c r="AB1683" i="2"/>
  <c r="AB1681" i="2"/>
  <c r="AB1679" i="2"/>
  <c r="AB1677" i="2"/>
  <c r="AB1675" i="2"/>
  <c r="AB1673" i="2"/>
  <c r="AB1671" i="2"/>
  <c r="AB1669" i="2"/>
  <c r="AB1667" i="2"/>
  <c r="AB1665" i="2"/>
  <c r="AB1663" i="2"/>
  <c r="AB1661" i="2"/>
  <c r="AB1659" i="2"/>
  <c r="AB1657" i="2"/>
  <c r="AB1655" i="2"/>
  <c r="AB1653" i="2"/>
  <c r="AB1651" i="2"/>
  <c r="AB1649" i="2"/>
  <c r="AB1647" i="2"/>
  <c r="AB1645" i="2"/>
  <c r="AB1643" i="2"/>
  <c r="AB1641" i="2"/>
  <c r="AB1639" i="2"/>
  <c r="AB1637" i="2"/>
  <c r="AB1635" i="2"/>
  <c r="AB1633" i="2"/>
  <c r="AB1631" i="2"/>
  <c r="AB1629" i="2"/>
  <c r="AB1627" i="2"/>
  <c r="AB1625" i="2"/>
  <c r="AB1623" i="2"/>
  <c r="AB1621" i="2"/>
  <c r="AB1619" i="2"/>
  <c r="AB1617" i="2"/>
  <c r="AB1615" i="2"/>
  <c r="AB1613" i="2"/>
  <c r="AB1611" i="2"/>
  <c r="AB1609" i="2"/>
  <c r="AB1607" i="2"/>
  <c r="AB1605" i="2"/>
  <c r="AB1603" i="2"/>
  <c r="AB1601" i="2"/>
  <c r="AB1599" i="2"/>
  <c r="AB1597" i="2"/>
  <c r="AB1595" i="2"/>
  <c r="AB1593" i="2"/>
  <c r="AB1591" i="2"/>
  <c r="AB1589" i="2"/>
  <c r="AB1587" i="2"/>
  <c r="AB1585" i="2"/>
  <c r="AB1583" i="2"/>
  <c r="AB1581" i="2"/>
  <c r="AB1579" i="2"/>
  <c r="AB1577" i="2"/>
  <c r="AB1575" i="2"/>
  <c r="AB1573" i="2"/>
  <c r="AB1571" i="2"/>
  <c r="AB1569" i="2"/>
  <c r="AB1567" i="2"/>
  <c r="AB1565" i="2"/>
  <c r="AB1563" i="2"/>
  <c r="AB1561" i="2"/>
  <c r="AB1559" i="2"/>
  <c r="AB1557" i="2"/>
  <c r="AB1555" i="2"/>
  <c r="AB1553" i="2"/>
  <c r="AB1551" i="2"/>
  <c r="AB1549" i="2"/>
  <c r="AB1547" i="2"/>
  <c r="AB1545" i="2"/>
  <c r="AB1543" i="2"/>
  <c r="AB1541" i="2"/>
  <c r="AB1539" i="2"/>
  <c r="AB1537" i="2"/>
  <c r="AB1535" i="2"/>
  <c r="AB1533" i="2"/>
  <c r="AB1531" i="2"/>
  <c r="AB1529" i="2"/>
  <c r="AB1527" i="2"/>
  <c r="AB1525" i="2"/>
  <c r="AB1523" i="2"/>
  <c r="AB1521" i="2"/>
  <c r="AB1519" i="2"/>
  <c r="AB1517" i="2"/>
  <c r="AB1515" i="2"/>
  <c r="AB1513" i="2"/>
  <c r="AB1511" i="2"/>
  <c r="AB1509" i="2"/>
  <c r="AB1507" i="2"/>
  <c r="AB1505" i="2"/>
  <c r="AB1503" i="2"/>
  <c r="AB1501" i="2"/>
  <c r="AB1499" i="2"/>
  <c r="AB1497" i="2"/>
  <c r="AB1495" i="2"/>
  <c r="AB1493" i="2"/>
  <c r="AB1491" i="2"/>
  <c r="AB1489" i="2"/>
  <c r="AB1487" i="2"/>
  <c r="AB1485" i="2"/>
  <c r="AB1483" i="2"/>
  <c r="AB1481" i="2"/>
  <c r="AB1479" i="2"/>
  <c r="AB1477" i="2"/>
  <c r="AB1475" i="2"/>
  <c r="AB1473" i="2"/>
  <c r="AB1471" i="2"/>
  <c r="AB1469" i="2"/>
  <c r="AB1467" i="2"/>
  <c r="AB1465" i="2"/>
  <c r="AB1463" i="2"/>
  <c r="AB1461" i="2"/>
  <c r="AB1459" i="2"/>
  <c r="AB1457" i="2"/>
  <c r="AB1455" i="2"/>
  <c r="AB1453" i="2"/>
  <c r="AB1451" i="2"/>
  <c r="AB1449" i="2"/>
  <c r="AB1447" i="2"/>
  <c r="AB1445" i="2"/>
  <c r="AB1443" i="2"/>
  <c r="AB1441" i="2"/>
  <c r="AB1439" i="2"/>
  <c r="AB1437" i="2"/>
  <c r="AB1435" i="2"/>
  <c r="AB1433" i="2"/>
  <c r="AB1431" i="2"/>
  <c r="AB1429" i="2"/>
  <c r="AB1427" i="2"/>
  <c r="AB1425" i="2"/>
  <c r="AB1423" i="2"/>
  <c r="AB1421" i="2"/>
  <c r="AB1419" i="2"/>
  <c r="AB1417" i="2"/>
  <c r="AB1415" i="2"/>
  <c r="AB1413" i="2"/>
  <c r="AB1411" i="2"/>
  <c r="AB1409" i="2"/>
  <c r="AB1407" i="2"/>
  <c r="AB1405" i="2"/>
  <c r="AB1403" i="2"/>
  <c r="AB1401" i="2"/>
  <c r="AB1399" i="2"/>
  <c r="AB1397" i="2"/>
  <c r="AB1395" i="2"/>
  <c r="AB1393" i="2"/>
  <c r="AB1391" i="2"/>
  <c r="AB1389" i="2"/>
  <c r="AB1387" i="2"/>
  <c r="AB1385" i="2"/>
  <c r="AB1383" i="2"/>
  <c r="AB1381" i="2"/>
  <c r="AB1379" i="2"/>
  <c r="AB1377" i="2"/>
  <c r="AB1375" i="2"/>
  <c r="AB1373" i="2"/>
  <c r="AB1371" i="2"/>
  <c r="AB1369" i="2"/>
  <c r="AB1367" i="2"/>
  <c r="AB1365" i="2"/>
  <c r="AB1363" i="2"/>
  <c r="AB1361" i="2"/>
  <c r="AB1359" i="2"/>
  <c r="AB1357" i="2"/>
  <c r="AB1355" i="2"/>
  <c r="AB1353" i="2"/>
  <c r="AB1351" i="2"/>
  <c r="AB1349" i="2"/>
  <c r="AB1347" i="2"/>
  <c r="AB1345" i="2"/>
  <c r="AB1343" i="2"/>
  <c r="AB1341" i="2"/>
  <c r="AB1339" i="2"/>
  <c r="AB1337" i="2"/>
  <c r="AB1335" i="2"/>
  <c r="AB1333" i="2"/>
  <c r="AB1331" i="2"/>
  <c r="AB1329" i="2"/>
  <c r="AB1327" i="2"/>
  <c r="AB1325" i="2"/>
  <c r="AB1323" i="2"/>
  <c r="AB1321" i="2"/>
  <c r="AB1319" i="2"/>
  <c r="AB1317" i="2"/>
  <c r="AB1315" i="2"/>
  <c r="AB1313" i="2"/>
  <c r="AB1311" i="2"/>
  <c r="AB1309" i="2"/>
  <c r="AB1307" i="2"/>
  <c r="AB1305" i="2"/>
  <c r="AB1303" i="2"/>
  <c r="AB1301" i="2"/>
  <c r="AB1299" i="2"/>
  <c r="AB1297" i="2"/>
  <c r="AB1295" i="2"/>
  <c r="AB1293" i="2"/>
  <c r="AB1291" i="2"/>
  <c r="AB1289" i="2"/>
  <c r="AB1287" i="2"/>
  <c r="AB1285" i="2"/>
  <c r="AB1283" i="2"/>
  <c r="AB1281" i="2"/>
  <c r="AB1279" i="2"/>
  <c r="AB1277" i="2"/>
  <c r="AB1275" i="2"/>
  <c r="AB1273" i="2"/>
  <c r="AB1271" i="2"/>
  <c r="AB1269" i="2"/>
  <c r="AB1267" i="2"/>
  <c r="AB1265" i="2"/>
  <c r="AB1263" i="2"/>
  <c r="AB1261" i="2"/>
  <c r="AB1259" i="2"/>
  <c r="AB1257" i="2"/>
  <c r="AB1255" i="2"/>
  <c r="AB1253" i="2"/>
  <c r="AB1251" i="2"/>
  <c r="AB1249" i="2"/>
  <c r="AB1247" i="2"/>
  <c r="AB1245" i="2"/>
  <c r="AB1243" i="2"/>
  <c r="AB1241" i="2"/>
  <c r="AB1239" i="2"/>
  <c r="AB1237" i="2"/>
  <c r="AB1235" i="2"/>
  <c r="AB1233" i="2"/>
  <c r="AB1231" i="2"/>
  <c r="AB1229" i="2"/>
  <c r="AB1227" i="2"/>
  <c r="AB1225" i="2"/>
  <c r="AB1223" i="2"/>
  <c r="AB1221" i="2"/>
  <c r="AB1219" i="2"/>
  <c r="AB1217" i="2"/>
  <c r="AB1215" i="2"/>
  <c r="AB1213" i="2"/>
  <c r="AB1211" i="2"/>
  <c r="AB1209" i="2"/>
  <c r="AB1207" i="2"/>
  <c r="AB1205" i="2"/>
  <c r="AB1203" i="2"/>
  <c r="AB1201" i="2"/>
  <c r="AB1199" i="2"/>
  <c r="AB1197" i="2"/>
  <c r="AB1195" i="2"/>
  <c r="AB1193" i="2"/>
  <c r="AB1191" i="2"/>
  <c r="AB1189" i="2"/>
  <c r="AB1187" i="2"/>
  <c r="AB1185" i="2"/>
  <c r="AB1183" i="2"/>
  <c r="AB1181" i="2"/>
  <c r="AB1179" i="2"/>
  <c r="AB1177" i="2"/>
  <c r="AB1175" i="2"/>
  <c r="AB1173" i="2"/>
  <c r="AB1171" i="2"/>
  <c r="AB1169" i="2"/>
  <c r="AB1167" i="2"/>
  <c r="AB1165" i="2"/>
  <c r="AB1163" i="2"/>
  <c r="AB1161" i="2"/>
  <c r="AB1159" i="2"/>
  <c r="AB1157" i="2"/>
  <c r="AB1155" i="2"/>
  <c r="AB1153" i="2"/>
  <c r="AB1151" i="2"/>
  <c r="AB1149" i="2"/>
  <c r="AB1147" i="2"/>
  <c r="AB1145" i="2"/>
  <c r="AB1143" i="2"/>
  <c r="AB1141" i="2"/>
  <c r="AB1139" i="2"/>
  <c r="AB1137" i="2"/>
  <c r="AB1135" i="2"/>
  <c r="AB1133" i="2"/>
  <c r="AB1131" i="2"/>
  <c r="AB1129" i="2"/>
  <c r="AB1127" i="2"/>
  <c r="AB1125" i="2"/>
  <c r="AB1123" i="2"/>
  <c r="AB1121" i="2"/>
  <c r="AB1119" i="2"/>
  <c r="AB1117" i="2"/>
  <c r="AB1115" i="2"/>
  <c r="AB1113" i="2"/>
  <c r="AB1111" i="2"/>
  <c r="AB1109" i="2"/>
  <c r="AB1107" i="2"/>
  <c r="AB1105" i="2"/>
  <c r="AB1103" i="2"/>
  <c r="AB1101" i="2"/>
  <c r="AB1099" i="2"/>
  <c r="AB1097" i="2"/>
  <c r="AB1095" i="2"/>
  <c r="AB1093" i="2"/>
  <c r="AB1091" i="2"/>
  <c r="AB1089" i="2"/>
  <c r="AB1087" i="2"/>
  <c r="AB1085" i="2"/>
  <c r="AB1083" i="2"/>
  <c r="AB1081" i="2"/>
  <c r="AB1079" i="2"/>
  <c r="AB1077" i="2"/>
  <c r="AB1075" i="2"/>
  <c r="AB1073" i="2"/>
  <c r="AB1071" i="2"/>
  <c r="AB1069" i="2"/>
  <c r="AB1067" i="2"/>
  <c r="AB1065" i="2"/>
  <c r="AB1063" i="2"/>
  <c r="AB1061" i="2"/>
  <c r="AB1059" i="2"/>
  <c r="AB1057" i="2"/>
  <c r="AB1055" i="2"/>
  <c r="AB1053" i="2"/>
  <c r="AB1051" i="2"/>
  <c r="AB1049" i="2"/>
  <c r="AB1047" i="2"/>
  <c r="AB1045" i="2"/>
  <c r="AB1043" i="2"/>
  <c r="AB1041" i="2"/>
  <c r="AB1039" i="2"/>
  <c r="AB1037" i="2"/>
  <c r="AB1035" i="2"/>
  <c r="AB1033" i="2"/>
  <c r="AB1031" i="2"/>
  <c r="AB1029" i="2"/>
  <c r="AB1027" i="2"/>
  <c r="AB1025" i="2"/>
  <c r="AB1023" i="2"/>
  <c r="AB1021" i="2"/>
  <c r="AB1019" i="2"/>
  <c r="AB1017" i="2"/>
  <c r="AB1015" i="2"/>
  <c r="AB1013" i="2"/>
  <c r="AB1011" i="2"/>
  <c r="AB1009" i="2"/>
  <c r="AB1007" i="2"/>
  <c r="AB1005" i="2"/>
  <c r="AB1003" i="2"/>
  <c r="AB1001" i="2"/>
  <c r="AB999" i="2"/>
  <c r="AB997" i="2"/>
  <c r="AB995" i="2"/>
  <c r="AB993" i="2"/>
  <c r="AB991" i="2"/>
  <c r="AB989" i="2"/>
  <c r="AB987" i="2"/>
  <c r="AB985" i="2"/>
  <c r="AB983" i="2"/>
  <c r="AB981" i="2"/>
  <c r="AB979" i="2"/>
  <c r="AB977" i="2"/>
  <c r="AB975" i="2"/>
  <c r="AB973" i="2"/>
  <c r="AB971" i="2"/>
  <c r="AB969" i="2"/>
  <c r="AB967" i="2"/>
  <c r="AB965" i="2"/>
  <c r="AB963" i="2"/>
  <c r="AB961" i="2"/>
  <c r="AB959" i="2"/>
  <c r="AB957" i="2"/>
  <c r="AB955" i="2"/>
  <c r="AB953" i="2"/>
  <c r="AB951" i="2"/>
  <c r="AB949" i="2"/>
  <c r="AB947" i="2"/>
  <c r="AB945" i="2"/>
  <c r="AB943" i="2"/>
  <c r="AB941" i="2"/>
  <c r="AB939" i="2"/>
  <c r="AB937" i="2"/>
  <c r="AB935" i="2"/>
  <c r="AB933" i="2"/>
  <c r="AB931" i="2"/>
  <c r="AB929" i="2"/>
  <c r="AB927" i="2"/>
  <c r="AB925" i="2"/>
  <c r="AB923" i="2"/>
  <c r="AB921" i="2"/>
  <c r="AB919" i="2"/>
  <c r="AB917" i="2"/>
  <c r="AB915" i="2"/>
  <c r="AB913" i="2"/>
  <c r="AB911" i="2"/>
  <c r="AB909" i="2"/>
  <c r="AB907" i="2"/>
  <c r="AB905" i="2"/>
  <c r="AB903" i="2"/>
  <c r="AB901" i="2"/>
  <c r="AB899" i="2"/>
  <c r="AB897" i="2"/>
  <c r="AB895" i="2"/>
  <c r="AB893" i="2"/>
  <c r="AB891" i="2"/>
  <c r="AB889" i="2"/>
  <c r="AB887" i="2"/>
  <c r="AB885" i="2"/>
  <c r="AB883" i="2"/>
  <c r="AB881" i="2"/>
  <c r="AB879" i="2"/>
  <c r="AB877" i="2"/>
  <c r="AB875" i="2"/>
  <c r="AB873" i="2"/>
  <c r="AB871" i="2"/>
  <c r="AB869" i="2"/>
  <c r="AB867" i="2"/>
  <c r="AB865" i="2"/>
  <c r="AB863" i="2"/>
  <c r="AB861" i="2"/>
  <c r="AB859" i="2"/>
  <c r="AB857" i="2"/>
  <c r="AB855" i="2"/>
  <c r="AB853" i="2"/>
  <c r="AB851" i="2"/>
  <c r="AB849" i="2"/>
  <c r="AB847" i="2"/>
  <c r="AB845" i="2"/>
  <c r="AB843" i="2"/>
  <c r="AB841" i="2"/>
  <c r="AB839" i="2"/>
  <c r="AB837" i="2"/>
  <c r="AB835" i="2"/>
  <c r="AB833" i="2"/>
  <c r="AB831" i="2"/>
  <c r="AB829" i="2"/>
  <c r="AB827" i="2"/>
  <c r="AB825" i="2"/>
  <c r="AB823" i="2"/>
  <c r="AB821" i="2"/>
  <c r="AB819" i="2"/>
  <c r="AB817" i="2"/>
  <c r="AB815" i="2"/>
  <c r="AB813" i="2"/>
  <c r="AB811" i="2"/>
  <c r="AB809" i="2"/>
  <c r="AB807" i="2"/>
  <c r="AB805" i="2"/>
  <c r="AB803" i="2"/>
  <c r="AB801" i="2"/>
  <c r="AB799" i="2"/>
  <c r="AB797" i="2"/>
  <c r="AB795" i="2"/>
  <c r="AB793" i="2"/>
  <c r="AB791" i="2"/>
  <c r="AB789" i="2"/>
  <c r="AB787" i="2"/>
  <c r="AB785" i="2"/>
  <c r="AB783" i="2"/>
  <c r="AB781" i="2"/>
  <c r="AB779" i="2"/>
  <c r="AB777" i="2"/>
  <c r="AB775" i="2"/>
  <c r="AB773" i="2"/>
  <c r="AB771" i="2"/>
  <c r="AB1852" i="2"/>
  <c r="AB1848" i="2"/>
  <c r="AB1844" i="2"/>
  <c r="AB1840" i="2"/>
  <c r="AB1836" i="2"/>
  <c r="AB1832" i="2"/>
  <c r="AB1828" i="2"/>
  <c r="AB1824" i="2"/>
  <c r="AB1820" i="2"/>
  <c r="AB1816" i="2"/>
  <c r="AB1812" i="2"/>
  <c r="AB1808" i="2"/>
  <c r="AB1804" i="2"/>
  <c r="AB1800" i="2"/>
  <c r="AB1796" i="2"/>
  <c r="AB1792" i="2"/>
  <c r="AB1788" i="2"/>
  <c r="AB1784" i="2"/>
  <c r="AB1780" i="2"/>
  <c r="AB1776" i="2"/>
  <c r="AB1772" i="2"/>
  <c r="AB1768" i="2"/>
  <c r="AB1764" i="2"/>
  <c r="AB1760" i="2"/>
  <c r="AB1756" i="2"/>
  <c r="AB1752" i="2"/>
  <c r="AB1748" i="2"/>
  <c r="AB1744" i="2"/>
  <c r="AB1740" i="2"/>
  <c r="AB1736" i="2"/>
  <c r="AB1734" i="2"/>
  <c r="AB1732" i="2"/>
  <c r="AB1730" i="2"/>
  <c r="AB1728" i="2"/>
  <c r="AB1726" i="2"/>
  <c r="AB1724" i="2"/>
  <c r="AB1722" i="2"/>
  <c r="AB1720" i="2"/>
  <c r="AB1718" i="2"/>
  <c r="AB1716" i="2"/>
  <c r="AB1714" i="2"/>
  <c r="AB1712" i="2"/>
  <c r="AB1710" i="2"/>
  <c r="AB1708" i="2"/>
  <c r="AB1706" i="2"/>
  <c r="AB1704" i="2"/>
  <c r="AB1702" i="2"/>
  <c r="AB1700" i="2"/>
  <c r="AB1698" i="2"/>
  <c r="AB1696" i="2"/>
  <c r="AB1694" i="2"/>
  <c r="AB1692" i="2"/>
  <c r="AB1690" i="2"/>
  <c r="AB1688" i="2"/>
  <c r="AB1686" i="2"/>
  <c r="AB1684" i="2"/>
  <c r="AB1682" i="2"/>
  <c r="AB1680" i="2"/>
  <c r="AB1678" i="2"/>
  <c r="AB1676" i="2"/>
  <c r="AB1674" i="2"/>
  <c r="AB1672" i="2"/>
  <c r="AB1670" i="2"/>
  <c r="AB1668" i="2"/>
  <c r="AB1666" i="2"/>
  <c r="AB1664" i="2"/>
  <c r="AB1662" i="2"/>
  <c r="AB1660" i="2"/>
  <c r="AB1658" i="2"/>
  <c r="AB1656" i="2"/>
  <c r="AB1654" i="2"/>
  <c r="AB1652" i="2"/>
  <c r="AB1650" i="2"/>
  <c r="AB1648" i="2"/>
  <c r="AB1646" i="2"/>
  <c r="AB1644" i="2"/>
  <c r="AB1642" i="2"/>
  <c r="AB1640" i="2"/>
  <c r="AB1638" i="2"/>
  <c r="AB1636" i="2"/>
  <c r="AB1634" i="2"/>
  <c r="AB1632" i="2"/>
  <c r="AB1630" i="2"/>
  <c r="AB1628" i="2"/>
  <c r="AB1626" i="2"/>
  <c r="AB1624" i="2"/>
  <c r="AB1622" i="2"/>
  <c r="AB1620" i="2"/>
  <c r="AB1618" i="2"/>
  <c r="AB1616" i="2"/>
  <c r="AB1614" i="2"/>
  <c r="AB1612" i="2"/>
  <c r="AB1610" i="2"/>
  <c r="AB1608" i="2"/>
  <c r="AB1606" i="2"/>
  <c r="AB1604" i="2"/>
  <c r="AB1602" i="2"/>
  <c r="AB1600" i="2"/>
  <c r="AB1598" i="2"/>
  <c r="AB1596" i="2"/>
  <c r="AB1594" i="2"/>
  <c r="AB1592" i="2"/>
  <c r="AB1590" i="2"/>
  <c r="AB1588" i="2"/>
  <c r="AB1586" i="2"/>
  <c r="AB1584" i="2"/>
  <c r="AB1582" i="2"/>
  <c r="AB1580" i="2"/>
  <c r="AB1578" i="2"/>
  <c r="AB1576" i="2"/>
  <c r="AB1574" i="2"/>
  <c r="AB1572" i="2"/>
  <c r="AB1570" i="2"/>
  <c r="AB1568" i="2"/>
  <c r="AB1566" i="2"/>
  <c r="AB1564" i="2"/>
  <c r="AB1562" i="2"/>
  <c r="AB1560" i="2"/>
  <c r="AB1558" i="2"/>
  <c r="AB1556" i="2"/>
  <c r="AB1554" i="2"/>
  <c r="AB1552" i="2"/>
  <c r="AB1550" i="2"/>
  <c r="AB1548" i="2"/>
  <c r="AB1546" i="2"/>
  <c r="AB1544" i="2"/>
  <c r="AB1542" i="2"/>
  <c r="AB1540" i="2"/>
  <c r="AB1538" i="2"/>
  <c r="AB1536" i="2"/>
  <c r="AB1534" i="2"/>
  <c r="AB1532" i="2"/>
  <c r="AB1530" i="2"/>
  <c r="AB1528" i="2"/>
  <c r="AB1526" i="2"/>
  <c r="AB1524" i="2"/>
  <c r="AB1522" i="2"/>
  <c r="AB1520" i="2"/>
  <c r="AB1518" i="2"/>
  <c r="AB1516" i="2"/>
  <c r="AB1514" i="2"/>
  <c r="AB1512" i="2"/>
  <c r="AB1510" i="2"/>
  <c r="AB1508" i="2"/>
  <c r="AB1506" i="2"/>
  <c r="AB1504" i="2"/>
  <c r="AB1502" i="2"/>
  <c r="AB1500" i="2"/>
  <c r="AB1498" i="2"/>
  <c r="AB1496" i="2"/>
  <c r="AB1494" i="2"/>
  <c r="AB1492" i="2"/>
  <c r="AB1490" i="2"/>
  <c r="AB1488" i="2"/>
  <c r="AB1486" i="2"/>
  <c r="AB1484" i="2"/>
  <c r="AB1482" i="2"/>
  <c r="AB1480" i="2"/>
  <c r="AB1478" i="2"/>
  <c r="AB1476" i="2"/>
  <c r="AB1474" i="2"/>
  <c r="AB1472" i="2"/>
  <c r="AB1470" i="2"/>
  <c r="AB1468" i="2"/>
  <c r="AB1466" i="2"/>
  <c r="AB1464" i="2"/>
  <c r="AB1462" i="2"/>
  <c r="AB1460" i="2"/>
  <c r="AB1458" i="2"/>
  <c r="AB1456" i="2"/>
  <c r="AB1454" i="2"/>
  <c r="AB1452" i="2"/>
  <c r="AB1450" i="2"/>
  <c r="AB1448" i="2"/>
  <c r="AB1446" i="2"/>
  <c r="AB1444" i="2"/>
  <c r="AB1442" i="2"/>
  <c r="AB1440" i="2"/>
  <c r="AB1438" i="2"/>
  <c r="AB1436" i="2"/>
  <c r="AB1434" i="2"/>
  <c r="AB1432" i="2"/>
  <c r="AB1430" i="2"/>
  <c r="AB1428" i="2"/>
  <c r="AB1426" i="2"/>
  <c r="AB1424" i="2"/>
  <c r="AB1422" i="2"/>
  <c r="AB1420" i="2"/>
  <c r="AB1418" i="2"/>
  <c r="AB1416" i="2"/>
  <c r="AB1414" i="2"/>
  <c r="AB1412" i="2"/>
  <c r="AB1410" i="2"/>
  <c r="AB1408" i="2"/>
  <c r="AB1406" i="2"/>
  <c r="AB1404" i="2"/>
  <c r="AB1402" i="2"/>
  <c r="AB1400" i="2"/>
  <c r="AB1398" i="2"/>
  <c r="AB1396" i="2"/>
  <c r="AB1394" i="2"/>
  <c r="AB1392" i="2"/>
  <c r="AB1390" i="2"/>
  <c r="AB1388" i="2"/>
  <c r="AB1386" i="2"/>
  <c r="AB1384" i="2"/>
  <c r="AB1382" i="2"/>
  <c r="AB1380" i="2"/>
  <c r="AB1378" i="2"/>
  <c r="AB1376" i="2"/>
  <c r="AB1374" i="2"/>
  <c r="AB1372" i="2"/>
  <c r="AB1370" i="2"/>
  <c r="AB1368" i="2"/>
  <c r="AB1366" i="2"/>
  <c r="AB1364" i="2"/>
  <c r="AB1362" i="2"/>
  <c r="AB1360" i="2"/>
  <c r="AB1358" i="2"/>
  <c r="AB1356" i="2"/>
  <c r="AB1354" i="2"/>
  <c r="AB1352" i="2"/>
  <c r="AB1350" i="2"/>
  <c r="AB1348" i="2"/>
  <c r="AB1346" i="2"/>
  <c r="AB1344" i="2"/>
  <c r="AB1342" i="2"/>
  <c r="AB1340" i="2"/>
  <c r="AB1338" i="2"/>
  <c r="AB1336" i="2"/>
  <c r="AB1334" i="2"/>
  <c r="AB1332" i="2"/>
  <c r="AB1330" i="2"/>
  <c r="AB1328" i="2"/>
  <c r="AB1326" i="2"/>
  <c r="AB1324" i="2"/>
  <c r="AB1322" i="2"/>
  <c r="AB1320" i="2"/>
  <c r="AB1318" i="2"/>
  <c r="AB1316" i="2"/>
  <c r="AB1314" i="2"/>
  <c r="AB1312" i="2"/>
  <c r="AB1310" i="2"/>
  <c r="AB1308" i="2"/>
  <c r="AB1306" i="2"/>
  <c r="AB1304" i="2"/>
  <c r="AB1302" i="2"/>
  <c r="AB1300" i="2"/>
  <c r="AB1298" i="2"/>
  <c r="AB1296" i="2"/>
  <c r="AB1294" i="2"/>
  <c r="AB1292" i="2"/>
  <c r="AB1290" i="2"/>
  <c r="AB1288" i="2"/>
  <c r="AB1286" i="2"/>
  <c r="AB1284" i="2"/>
  <c r="AB1282" i="2"/>
  <c r="AB1280" i="2"/>
  <c r="AB1278" i="2"/>
  <c r="AB1276" i="2"/>
  <c r="AB1274" i="2"/>
  <c r="AB1272" i="2"/>
  <c r="AB1270" i="2"/>
  <c r="AB1268" i="2"/>
  <c r="AB1266" i="2"/>
  <c r="AB1264" i="2"/>
  <c r="AB1262" i="2"/>
  <c r="AB1260" i="2"/>
  <c r="AB1258" i="2"/>
  <c r="AB1256" i="2"/>
  <c r="AB1254" i="2"/>
  <c r="AB1252" i="2"/>
  <c r="AB1250" i="2"/>
  <c r="AB1248" i="2"/>
  <c r="AB1246" i="2"/>
  <c r="AB1244" i="2"/>
  <c r="AB1242" i="2"/>
  <c r="AB1240" i="2"/>
  <c r="AB1238" i="2"/>
  <c r="AB1236" i="2"/>
  <c r="AB1234" i="2"/>
  <c r="AB1232" i="2"/>
  <c r="AB1230" i="2"/>
  <c r="AB1228" i="2"/>
  <c r="AB1226" i="2"/>
  <c r="AB1224" i="2"/>
  <c r="AB1222" i="2"/>
  <c r="AB1220" i="2"/>
  <c r="AB1218" i="2"/>
  <c r="AB1216" i="2"/>
  <c r="AB1214" i="2"/>
  <c r="AB1212" i="2"/>
  <c r="AB1210" i="2"/>
  <c r="AB1208" i="2"/>
  <c r="AB1206" i="2"/>
  <c r="AB1204" i="2"/>
  <c r="AB1202" i="2"/>
  <c r="AB1200" i="2"/>
  <c r="AB1198" i="2"/>
  <c r="AB1196" i="2"/>
  <c r="AB1194" i="2"/>
  <c r="AB1192" i="2"/>
  <c r="AB1190" i="2"/>
  <c r="AB1188" i="2"/>
  <c r="AB1186" i="2"/>
  <c r="AB1184" i="2"/>
  <c r="AB1182" i="2"/>
  <c r="AB1180" i="2"/>
  <c r="AB1178" i="2"/>
  <c r="AB1176" i="2"/>
  <c r="AB1174" i="2"/>
  <c r="AB1172" i="2"/>
  <c r="AB1170" i="2"/>
  <c r="AB1168" i="2"/>
  <c r="AB1166" i="2"/>
  <c r="AB1164" i="2"/>
  <c r="AB1162" i="2"/>
  <c r="AB1160" i="2"/>
  <c r="AB1158" i="2"/>
  <c r="AB1156" i="2"/>
  <c r="AB1154" i="2"/>
  <c r="AB1152" i="2"/>
  <c r="AB1150" i="2"/>
  <c r="AB1148" i="2"/>
  <c r="AB1146" i="2"/>
  <c r="AB1144" i="2"/>
  <c r="AB1142" i="2"/>
  <c r="AB1140" i="2"/>
  <c r="AB1138" i="2"/>
  <c r="AB1136" i="2"/>
  <c r="AB1134" i="2"/>
  <c r="AB1132" i="2"/>
  <c r="AB1130" i="2"/>
  <c r="AB1128" i="2"/>
  <c r="AB1126" i="2"/>
  <c r="AB1124" i="2"/>
  <c r="AB1122" i="2"/>
  <c r="AB1120" i="2"/>
  <c r="AB1118" i="2"/>
  <c r="AB1116" i="2"/>
  <c r="AB1114" i="2"/>
  <c r="AB1112" i="2"/>
  <c r="AB1110" i="2"/>
  <c r="AB1108" i="2"/>
  <c r="AB1106" i="2"/>
  <c r="AB1104" i="2"/>
  <c r="AB1102" i="2"/>
  <c r="AB1100" i="2"/>
  <c r="AB1098" i="2"/>
  <c r="AB1096" i="2"/>
  <c r="AB1094" i="2"/>
  <c r="AB1092" i="2"/>
  <c r="AB1090" i="2"/>
  <c r="AB1088" i="2"/>
  <c r="AB1086" i="2"/>
  <c r="AB1084" i="2"/>
  <c r="AB1082" i="2"/>
  <c r="AB1080" i="2"/>
  <c r="AB1078" i="2"/>
  <c r="AB1076" i="2"/>
  <c r="AB1074" i="2"/>
  <c r="AB1072" i="2"/>
  <c r="AB1070" i="2"/>
  <c r="AB1068" i="2"/>
  <c r="AB1066" i="2"/>
  <c r="AB1064" i="2"/>
  <c r="AB1062" i="2"/>
  <c r="AB1060" i="2"/>
  <c r="AB1058" i="2"/>
  <c r="AB1056" i="2"/>
  <c r="AB1054" i="2"/>
  <c r="AB1052" i="2"/>
  <c r="AB1050" i="2"/>
  <c r="AB1048" i="2"/>
  <c r="AB1046" i="2"/>
  <c r="AB1044" i="2"/>
  <c r="AB1042" i="2"/>
  <c r="AB1040" i="2"/>
  <c r="AB1038" i="2"/>
  <c r="AB1036" i="2"/>
  <c r="AB1034" i="2"/>
  <c r="AB1032" i="2"/>
  <c r="AB1030" i="2"/>
  <c r="AB1028" i="2"/>
  <c r="AB1026" i="2"/>
  <c r="AB1024" i="2"/>
  <c r="AB1022" i="2"/>
  <c r="AB1020" i="2"/>
  <c r="AB1018" i="2"/>
  <c r="AB1016" i="2"/>
  <c r="AB1014" i="2"/>
  <c r="AB1012" i="2"/>
  <c r="AB1010" i="2"/>
  <c r="AB1008" i="2"/>
  <c r="AB1006" i="2"/>
  <c r="AB1004" i="2"/>
  <c r="AB1002" i="2"/>
  <c r="AB1000" i="2"/>
  <c r="AB998" i="2"/>
  <c r="AB996" i="2"/>
  <c r="AB994" i="2"/>
  <c r="AB992" i="2"/>
  <c r="AB990" i="2"/>
  <c r="AB988" i="2"/>
  <c r="AB986" i="2"/>
  <c r="AB984" i="2"/>
  <c r="AB982" i="2"/>
  <c r="AB980" i="2"/>
  <c r="AB978" i="2"/>
  <c r="AB976" i="2"/>
  <c r="AB974" i="2"/>
  <c r="AB972" i="2"/>
  <c r="AB970" i="2"/>
  <c r="AB968" i="2"/>
  <c r="AB966" i="2"/>
  <c r="AB964" i="2"/>
  <c r="AB962" i="2"/>
  <c r="AB960" i="2"/>
  <c r="AB958" i="2"/>
  <c r="AB956" i="2"/>
  <c r="AB954" i="2"/>
  <c r="AB952" i="2"/>
  <c r="AB950" i="2"/>
  <c r="AB948" i="2"/>
  <c r="AB946" i="2"/>
  <c r="AB944" i="2"/>
  <c r="AB942" i="2"/>
  <c r="AB940" i="2"/>
  <c r="AB938" i="2"/>
  <c r="AB936" i="2"/>
  <c r="AB934" i="2"/>
  <c r="AB932" i="2"/>
  <c r="AB930" i="2"/>
  <c r="AB928" i="2"/>
  <c r="AB926" i="2"/>
  <c r="AB924" i="2"/>
  <c r="AB922" i="2"/>
  <c r="AB920" i="2"/>
  <c r="AB918" i="2"/>
  <c r="AB916" i="2"/>
  <c r="AB914" i="2"/>
  <c r="AB912" i="2"/>
  <c r="AB910" i="2"/>
  <c r="AB908" i="2"/>
  <c r="AB906" i="2"/>
  <c r="AB904" i="2"/>
  <c r="AB902" i="2"/>
  <c r="AB900" i="2"/>
  <c r="AB898" i="2"/>
  <c r="AB896" i="2"/>
  <c r="AB894" i="2"/>
  <c r="AB892" i="2"/>
  <c r="AB890" i="2"/>
  <c r="AB888" i="2"/>
  <c r="AB886" i="2"/>
  <c r="AB884" i="2"/>
  <c r="AB882" i="2"/>
  <c r="AB880" i="2"/>
  <c r="AB878" i="2"/>
  <c r="AB876" i="2"/>
  <c r="AB874" i="2"/>
  <c r="AB872" i="2"/>
  <c r="AB870" i="2"/>
  <c r="AB868" i="2"/>
  <c r="AB866" i="2"/>
  <c r="AB864" i="2"/>
  <c r="AB862" i="2"/>
  <c r="AB860" i="2"/>
  <c r="AB858" i="2"/>
  <c r="AB856" i="2"/>
  <c r="AB854" i="2"/>
  <c r="AB852" i="2"/>
  <c r="AB850" i="2"/>
  <c r="AB848" i="2"/>
  <c r="AB846" i="2"/>
  <c r="AB844" i="2"/>
  <c r="AB840" i="2"/>
  <c r="AB836" i="2"/>
  <c r="AB832" i="2"/>
  <c r="AB828" i="2"/>
  <c r="AB824" i="2"/>
  <c r="AB820" i="2"/>
  <c r="AB816" i="2"/>
  <c r="AB812" i="2"/>
  <c r="AB808" i="2"/>
  <c r="AB804" i="2"/>
  <c r="AB800" i="2"/>
  <c r="AB796" i="2"/>
  <c r="AB792" i="2"/>
  <c r="AB788" i="2"/>
  <c r="AB784" i="2"/>
  <c r="AB780" i="2"/>
  <c r="AB776" i="2"/>
  <c r="AB772" i="2"/>
  <c r="AB769" i="2"/>
  <c r="AB767" i="2"/>
  <c r="AB765" i="2"/>
  <c r="AB763" i="2"/>
  <c r="AB761" i="2"/>
  <c r="AB759" i="2"/>
  <c r="AB757" i="2"/>
  <c r="AB755" i="2"/>
  <c r="AB753" i="2"/>
  <c r="AB751" i="2"/>
  <c r="AB749" i="2"/>
  <c r="AB747" i="2"/>
  <c r="AB745" i="2"/>
  <c r="AB743" i="2"/>
  <c r="AB741" i="2"/>
  <c r="AB739" i="2"/>
  <c r="AB737" i="2"/>
  <c r="AB735" i="2"/>
  <c r="AB733" i="2"/>
  <c r="AB731" i="2"/>
  <c r="AB729" i="2"/>
  <c r="AB727" i="2"/>
  <c r="AB725" i="2"/>
  <c r="AB723" i="2"/>
  <c r="AB721" i="2"/>
  <c r="AB719" i="2"/>
  <c r="AB717" i="2"/>
  <c r="AB715" i="2"/>
  <c r="AB713" i="2"/>
  <c r="AB711" i="2"/>
  <c r="AB709" i="2"/>
  <c r="AB707" i="2"/>
  <c r="AB705" i="2"/>
  <c r="AB703" i="2"/>
  <c r="AB701" i="2"/>
  <c r="AB699" i="2"/>
  <c r="AB697" i="2"/>
  <c r="AB695" i="2"/>
  <c r="AB693" i="2"/>
  <c r="AB691" i="2"/>
  <c r="AB689" i="2"/>
  <c r="AB687" i="2"/>
  <c r="AB685" i="2"/>
  <c r="AB683" i="2"/>
  <c r="AB681" i="2"/>
  <c r="AB679" i="2"/>
  <c r="AB677" i="2"/>
  <c r="AB675" i="2"/>
  <c r="AB673" i="2"/>
  <c r="AB671" i="2"/>
  <c r="AB669" i="2"/>
  <c r="AB667" i="2"/>
  <c r="AB665" i="2"/>
  <c r="AB663" i="2"/>
  <c r="AB661" i="2"/>
  <c r="AB659" i="2"/>
  <c r="AB657" i="2"/>
  <c r="AB655" i="2"/>
  <c r="AB653" i="2"/>
  <c r="AB651" i="2"/>
  <c r="AB649" i="2"/>
  <c r="AB647" i="2"/>
  <c r="AB645" i="2"/>
  <c r="AB643" i="2"/>
  <c r="AB641" i="2"/>
  <c r="AB639" i="2"/>
  <c r="AB637" i="2"/>
  <c r="AB635" i="2"/>
  <c r="AB633" i="2"/>
  <c r="AB631" i="2"/>
  <c r="AB629" i="2"/>
  <c r="AB627" i="2"/>
  <c r="AB625" i="2"/>
  <c r="AB623" i="2"/>
  <c r="AB621" i="2"/>
  <c r="AB619" i="2"/>
  <c r="AB617" i="2"/>
  <c r="AB615" i="2"/>
  <c r="AB613" i="2"/>
  <c r="AB611" i="2"/>
  <c r="AB609" i="2"/>
  <c r="AB607" i="2"/>
  <c r="AB605" i="2"/>
  <c r="AB603" i="2"/>
  <c r="AB601" i="2"/>
  <c r="AB599" i="2"/>
  <c r="AB597" i="2"/>
  <c r="AB595" i="2"/>
  <c r="AB593" i="2"/>
  <c r="AB591" i="2"/>
  <c r="AB589" i="2"/>
  <c r="AB587" i="2"/>
  <c r="AB585" i="2"/>
  <c r="AB583" i="2"/>
  <c r="AB581" i="2"/>
  <c r="AB579" i="2"/>
  <c r="AB577" i="2"/>
  <c r="AB575" i="2"/>
  <c r="AB573" i="2"/>
  <c r="AB571" i="2"/>
  <c r="AB569" i="2"/>
  <c r="AB567" i="2"/>
  <c r="AB565" i="2"/>
  <c r="AB563" i="2"/>
  <c r="AB561" i="2"/>
  <c r="AB559" i="2"/>
  <c r="AB557" i="2"/>
  <c r="AB555" i="2"/>
  <c r="AB553" i="2"/>
  <c r="AB551" i="2"/>
  <c r="AB549" i="2"/>
  <c r="AB547" i="2"/>
  <c r="AB545" i="2"/>
  <c r="AB543" i="2"/>
  <c r="AB541" i="2"/>
  <c r="AB539" i="2"/>
  <c r="AB537" i="2"/>
  <c r="AB535" i="2"/>
  <c r="AB533" i="2"/>
  <c r="AB531" i="2"/>
  <c r="AB529" i="2"/>
  <c r="AB527" i="2"/>
  <c r="AB525" i="2"/>
  <c r="AB523" i="2"/>
  <c r="AB521" i="2"/>
  <c r="AB519" i="2"/>
  <c r="AB517" i="2"/>
  <c r="AB515" i="2"/>
  <c r="AB513" i="2"/>
  <c r="AB511" i="2"/>
  <c r="AB509" i="2"/>
  <c r="AB507" i="2"/>
  <c r="AB505" i="2"/>
  <c r="AB503" i="2"/>
  <c r="AB501" i="2"/>
  <c r="AB499" i="2"/>
  <c r="AB497" i="2"/>
  <c r="AB495" i="2"/>
  <c r="AB493" i="2"/>
  <c r="AB491" i="2"/>
  <c r="AB489" i="2"/>
  <c r="AB487" i="2"/>
  <c r="AB485" i="2"/>
  <c r="AB483" i="2"/>
  <c r="AB481" i="2"/>
  <c r="AB479" i="2"/>
  <c r="AB477" i="2"/>
  <c r="AB475" i="2"/>
  <c r="AB473" i="2"/>
  <c r="AB471" i="2"/>
  <c r="AB469" i="2"/>
  <c r="AB467" i="2"/>
  <c r="AB465" i="2"/>
  <c r="AB463" i="2"/>
  <c r="AB461" i="2"/>
  <c r="AB459" i="2"/>
  <c r="AB457" i="2"/>
  <c r="AB455" i="2"/>
  <c r="AB453" i="2"/>
  <c r="AB451" i="2"/>
  <c r="AB449" i="2"/>
  <c r="AB447" i="2"/>
  <c r="AB445" i="2"/>
  <c r="AB443" i="2"/>
  <c r="AB441" i="2"/>
  <c r="AB439" i="2"/>
  <c r="AB437" i="2"/>
  <c r="AB435" i="2"/>
  <c r="AB433" i="2"/>
  <c r="AB431" i="2"/>
  <c r="AB429" i="2"/>
  <c r="AB427" i="2"/>
  <c r="AB425" i="2"/>
  <c r="AB423" i="2"/>
  <c r="AB421" i="2"/>
  <c r="AB419" i="2"/>
  <c r="AB417" i="2"/>
  <c r="AB415" i="2"/>
  <c r="AB413" i="2"/>
  <c r="AB411" i="2"/>
  <c r="AB409" i="2"/>
  <c r="AB407" i="2"/>
  <c r="AB405" i="2"/>
  <c r="AB403" i="2"/>
  <c r="AB401" i="2"/>
  <c r="AB399" i="2"/>
  <c r="AB397" i="2"/>
  <c r="AB395" i="2"/>
  <c r="AB393" i="2"/>
  <c r="AB391" i="2"/>
  <c r="AB389" i="2"/>
  <c r="AB387" i="2"/>
  <c r="AB385" i="2"/>
  <c r="AB383" i="2"/>
  <c r="AB381" i="2"/>
  <c r="AB379" i="2"/>
  <c r="AB377" i="2"/>
  <c r="AB375" i="2"/>
  <c r="AB373" i="2"/>
  <c r="AB371" i="2"/>
  <c r="AB369" i="2"/>
  <c r="AB367" i="2"/>
  <c r="AB365" i="2"/>
  <c r="AB363" i="2"/>
  <c r="AB361" i="2"/>
  <c r="AB359" i="2"/>
  <c r="AB357" i="2"/>
  <c r="AB355" i="2"/>
  <c r="AB353" i="2"/>
  <c r="AB351" i="2"/>
  <c r="AB349" i="2"/>
  <c r="AB347" i="2"/>
  <c r="AB345" i="2"/>
  <c r="AB343" i="2"/>
  <c r="AB341" i="2"/>
  <c r="AB339" i="2"/>
  <c r="AB337" i="2"/>
  <c r="AB335" i="2"/>
  <c r="AB333" i="2"/>
  <c r="AB331" i="2"/>
  <c r="AB329" i="2"/>
  <c r="AB327" i="2"/>
  <c r="AB325" i="2"/>
  <c r="AB323" i="2"/>
  <c r="AB321" i="2"/>
  <c r="AB319" i="2"/>
  <c r="AB317" i="2"/>
  <c r="AB315" i="2"/>
  <c r="AB313" i="2"/>
  <c r="AB311" i="2"/>
  <c r="AB309" i="2"/>
  <c r="AB307" i="2"/>
  <c r="AB305" i="2"/>
  <c r="AB303" i="2"/>
  <c r="AB301" i="2"/>
  <c r="AB299" i="2"/>
  <c r="AB297" i="2"/>
  <c r="AB295" i="2"/>
  <c r="AB293" i="2"/>
  <c r="AB291" i="2"/>
  <c r="AB289" i="2"/>
  <c r="AB287" i="2"/>
  <c r="AB285" i="2"/>
  <c r="AB283" i="2"/>
  <c r="AB281" i="2"/>
  <c r="AB279" i="2"/>
  <c r="AB277" i="2"/>
  <c r="AB275" i="2"/>
  <c r="AB273" i="2"/>
  <c r="AB271" i="2"/>
  <c r="AB269" i="2"/>
  <c r="AB267" i="2"/>
  <c r="AB265" i="2"/>
  <c r="AB263" i="2"/>
  <c r="AB261" i="2"/>
  <c r="AB259" i="2"/>
  <c r="AB257" i="2"/>
  <c r="AB255" i="2"/>
  <c r="AB253" i="2"/>
  <c r="AB251" i="2"/>
  <c r="AB249" i="2"/>
  <c r="AB247" i="2"/>
  <c r="AB245" i="2"/>
  <c r="AB243" i="2"/>
  <c r="AB241" i="2"/>
  <c r="AB239" i="2"/>
  <c r="AB237" i="2"/>
  <c r="AB235" i="2"/>
  <c r="AB233" i="2"/>
  <c r="AB231" i="2"/>
  <c r="AB229" i="2"/>
  <c r="AB227" i="2"/>
  <c r="AB225" i="2"/>
  <c r="AB223" i="2"/>
  <c r="AB221" i="2"/>
  <c r="AB219" i="2"/>
  <c r="AB217" i="2"/>
  <c r="AB215" i="2"/>
  <c r="AB213" i="2"/>
  <c r="AB211" i="2"/>
  <c r="AB209" i="2"/>
  <c r="AB207" i="2"/>
  <c r="AB205" i="2"/>
  <c r="AB203" i="2"/>
  <c r="AB201" i="2"/>
  <c r="AB199" i="2"/>
  <c r="AB197" i="2"/>
  <c r="AB195" i="2"/>
  <c r="AB193" i="2"/>
  <c r="AB191" i="2"/>
  <c r="AB189" i="2"/>
  <c r="AB187" i="2"/>
  <c r="AB185" i="2"/>
  <c r="AB183" i="2"/>
  <c r="AB181" i="2"/>
  <c r="AB179" i="2"/>
  <c r="AB177" i="2"/>
  <c r="AB175" i="2"/>
  <c r="AB173" i="2"/>
  <c r="AB171" i="2"/>
  <c r="AB169" i="2"/>
  <c r="AB167" i="2"/>
  <c r="AB165" i="2"/>
  <c r="AB163" i="2"/>
  <c r="AB161" i="2"/>
  <c r="AB159" i="2"/>
  <c r="AB157" i="2"/>
  <c r="AB155" i="2"/>
  <c r="AB153" i="2"/>
  <c r="AB151" i="2"/>
  <c r="AB149" i="2"/>
  <c r="AB147" i="2"/>
  <c r="AB145" i="2"/>
  <c r="AB143" i="2"/>
  <c r="AB141" i="2"/>
  <c r="AB139" i="2"/>
  <c r="AB137" i="2"/>
  <c r="AB135" i="2"/>
  <c r="AB133" i="2"/>
  <c r="AB131" i="2"/>
  <c r="AB129" i="2"/>
  <c r="AB127" i="2"/>
  <c r="AB125" i="2"/>
  <c r="AB123" i="2"/>
  <c r="AB121" i="2"/>
  <c r="AB119" i="2"/>
  <c r="AB117" i="2"/>
  <c r="AB115" i="2"/>
  <c r="AB113" i="2"/>
  <c r="AB842" i="2"/>
  <c r="AB838" i="2"/>
  <c r="AB834" i="2"/>
  <c r="AB830" i="2"/>
  <c r="AB826" i="2"/>
  <c r="AB822" i="2"/>
  <c r="AB818" i="2"/>
  <c r="AB814" i="2"/>
  <c r="AB810" i="2"/>
  <c r="AB806" i="2"/>
  <c r="AB802" i="2"/>
  <c r="AB798" i="2"/>
  <c r="AB794" i="2"/>
  <c r="AB790" i="2"/>
  <c r="AB786" i="2"/>
  <c r="AB782" i="2"/>
  <c r="AB778" i="2"/>
  <c r="AB774" i="2"/>
  <c r="AB770" i="2"/>
  <c r="AB768" i="2"/>
  <c r="AB766" i="2"/>
  <c r="AB764" i="2"/>
  <c r="AB762" i="2"/>
  <c r="AB760" i="2"/>
  <c r="AB758" i="2"/>
  <c r="AB756" i="2"/>
  <c r="AB754" i="2"/>
  <c r="AB752" i="2"/>
  <c r="AB750" i="2"/>
  <c r="AB748" i="2"/>
  <c r="AB746" i="2"/>
  <c r="AB744" i="2"/>
  <c r="AB742" i="2"/>
  <c r="AB740" i="2"/>
  <c r="AB738" i="2"/>
  <c r="AB736" i="2"/>
  <c r="AB734" i="2"/>
  <c r="AB732" i="2"/>
  <c r="AB730" i="2"/>
  <c r="AB728" i="2"/>
  <c r="AB726" i="2"/>
  <c r="AB724" i="2"/>
  <c r="AB722" i="2"/>
  <c r="AB720" i="2"/>
  <c r="AB718" i="2"/>
  <c r="AB716" i="2"/>
  <c r="AB714" i="2"/>
  <c r="AB712" i="2"/>
  <c r="AB710" i="2"/>
  <c r="AB708" i="2"/>
  <c r="AB706" i="2"/>
  <c r="AB704" i="2"/>
  <c r="AB702" i="2"/>
  <c r="AB700" i="2"/>
  <c r="AB698" i="2"/>
  <c r="AB696" i="2"/>
  <c r="AB694" i="2"/>
  <c r="AB692" i="2"/>
  <c r="AB690" i="2"/>
  <c r="AB688" i="2"/>
  <c r="AB686" i="2"/>
  <c r="AB684" i="2"/>
  <c r="AB682" i="2"/>
  <c r="AB680" i="2"/>
  <c r="AB678" i="2"/>
  <c r="AB676" i="2"/>
  <c r="AB674" i="2"/>
  <c r="AB672" i="2"/>
  <c r="AB670" i="2"/>
  <c r="AB668" i="2"/>
  <c r="AB666" i="2"/>
  <c r="AB664" i="2"/>
  <c r="AB662" i="2"/>
  <c r="AB660" i="2"/>
  <c r="AB658" i="2"/>
  <c r="AB656" i="2"/>
  <c r="AB654" i="2"/>
  <c r="AB652" i="2"/>
  <c r="AB650" i="2"/>
  <c r="AB648" i="2"/>
  <c r="AB646" i="2"/>
  <c r="AB644" i="2"/>
  <c r="AB642" i="2"/>
  <c r="AB640" i="2"/>
  <c r="AB638" i="2"/>
  <c r="AB636" i="2"/>
  <c r="AB634" i="2"/>
  <c r="AB632" i="2"/>
  <c r="AB630" i="2"/>
  <c r="AB628" i="2"/>
  <c r="AB626" i="2"/>
  <c r="AB624" i="2"/>
  <c r="AB622" i="2"/>
  <c r="AB620" i="2"/>
  <c r="AB618" i="2"/>
  <c r="AB616" i="2"/>
  <c r="AB614" i="2"/>
  <c r="AB612" i="2"/>
  <c r="AB610" i="2"/>
  <c r="AB608" i="2"/>
  <c r="AB606" i="2"/>
  <c r="AB604" i="2"/>
  <c r="AB602" i="2"/>
  <c r="AB600" i="2"/>
  <c r="AB598" i="2"/>
  <c r="AB596" i="2"/>
  <c r="AB594" i="2"/>
  <c r="AB592" i="2"/>
  <c r="AB590" i="2"/>
  <c r="AB588" i="2"/>
  <c r="AB586" i="2"/>
  <c r="AB584" i="2"/>
  <c r="AB582" i="2"/>
  <c r="AB580" i="2"/>
  <c r="AB578" i="2"/>
  <c r="AB576" i="2"/>
  <c r="AB574" i="2"/>
  <c r="AB572" i="2"/>
  <c r="AB570" i="2"/>
  <c r="AB568" i="2"/>
  <c r="AB566" i="2"/>
  <c r="AB564" i="2"/>
  <c r="AB562" i="2"/>
  <c r="AB560" i="2"/>
  <c r="AB558" i="2"/>
  <c r="AB556" i="2"/>
  <c r="AB554" i="2"/>
  <c r="AB552" i="2"/>
  <c r="AB550" i="2"/>
  <c r="AB548" i="2"/>
  <c r="AB546" i="2"/>
  <c r="AB544" i="2"/>
  <c r="AB542" i="2"/>
  <c r="AB540" i="2"/>
  <c r="AB538" i="2"/>
  <c r="AB536" i="2"/>
  <c r="AB534" i="2"/>
  <c r="AB532" i="2"/>
  <c r="AB530" i="2"/>
  <c r="AB528" i="2"/>
  <c r="AB526" i="2"/>
  <c r="AB524" i="2"/>
  <c r="AB522" i="2"/>
  <c r="AB520" i="2"/>
  <c r="AB518" i="2"/>
  <c r="AB516" i="2"/>
  <c r="AB514" i="2"/>
  <c r="AB512" i="2"/>
  <c r="AB510" i="2"/>
  <c r="AB508" i="2"/>
  <c r="AB506" i="2"/>
  <c r="AB504" i="2"/>
  <c r="AB502" i="2"/>
  <c r="AB500" i="2"/>
  <c r="AB498" i="2"/>
  <c r="AB496" i="2"/>
  <c r="AB494" i="2"/>
  <c r="AB492" i="2"/>
  <c r="AB490" i="2"/>
  <c r="AB488" i="2"/>
  <c r="AB486" i="2"/>
  <c r="AB484" i="2"/>
  <c r="AB482" i="2"/>
  <c r="AB480" i="2"/>
  <c r="AB478" i="2"/>
  <c r="AB476" i="2"/>
  <c r="AB474" i="2"/>
  <c r="AB472" i="2"/>
  <c r="AB470" i="2"/>
  <c r="AB468" i="2"/>
  <c r="AB466" i="2"/>
  <c r="AB464" i="2"/>
  <c r="AB462" i="2"/>
  <c r="AB460" i="2"/>
  <c r="AB458" i="2"/>
  <c r="AB456" i="2"/>
  <c r="AB454" i="2"/>
  <c r="AB452" i="2"/>
  <c r="AB450" i="2"/>
  <c r="AB448" i="2"/>
  <c r="AB446" i="2"/>
  <c r="AB444" i="2"/>
  <c r="AB442" i="2"/>
  <c r="AB440" i="2"/>
  <c r="AB438" i="2"/>
  <c r="AB436" i="2"/>
  <c r="AB434" i="2"/>
  <c r="AB432" i="2"/>
  <c r="AB430" i="2"/>
  <c r="AB428" i="2"/>
  <c r="AB426" i="2"/>
  <c r="AB424" i="2"/>
  <c r="AB422" i="2"/>
  <c r="AB420" i="2"/>
  <c r="AB418" i="2"/>
  <c r="AB416" i="2"/>
  <c r="AB414" i="2"/>
  <c r="AB412" i="2"/>
  <c r="AB410" i="2"/>
  <c r="AB408" i="2"/>
  <c r="AB406" i="2"/>
  <c r="AB404" i="2"/>
  <c r="AB402" i="2"/>
  <c r="AB400" i="2"/>
  <c r="AB398" i="2"/>
  <c r="AB396" i="2"/>
  <c r="AB394" i="2"/>
  <c r="AB392" i="2"/>
  <c r="AB390" i="2"/>
  <c r="AB388" i="2"/>
  <c r="AB386" i="2"/>
  <c r="AB384" i="2"/>
  <c r="AB382" i="2"/>
  <c r="AB380" i="2"/>
  <c r="AB378" i="2"/>
  <c r="AB376" i="2"/>
  <c r="AB374" i="2"/>
  <c r="AB372" i="2"/>
  <c r="AB370" i="2"/>
  <c r="AB368" i="2"/>
  <c r="AB366" i="2"/>
  <c r="AB364" i="2"/>
  <c r="AB362" i="2"/>
  <c r="AB360" i="2"/>
  <c r="AB358" i="2"/>
  <c r="AB356" i="2"/>
  <c r="AB354" i="2"/>
  <c r="AB352" i="2"/>
  <c r="AB350" i="2"/>
  <c r="AB348" i="2"/>
  <c r="AB346" i="2"/>
  <c r="AB344" i="2"/>
  <c r="AB342" i="2"/>
  <c r="AB340" i="2"/>
  <c r="AB338" i="2"/>
  <c r="AB336" i="2"/>
  <c r="AB334" i="2"/>
  <c r="AB332" i="2"/>
  <c r="AB330" i="2"/>
  <c r="AB328" i="2"/>
  <c r="AB326" i="2"/>
  <c r="AB324" i="2"/>
  <c r="AB322" i="2"/>
  <c r="AB320" i="2"/>
  <c r="AB318" i="2"/>
  <c r="AB316" i="2"/>
  <c r="AB314" i="2"/>
  <c r="AB312" i="2"/>
  <c r="AB310" i="2"/>
  <c r="AB308" i="2"/>
  <c r="AB306" i="2"/>
  <c r="AB304" i="2"/>
  <c r="AB302" i="2"/>
  <c r="AB300" i="2"/>
  <c r="AB298" i="2"/>
  <c r="AB296" i="2"/>
  <c r="AB294" i="2"/>
  <c r="AB292" i="2"/>
  <c r="AB290" i="2"/>
  <c r="AB288" i="2"/>
  <c r="AB286" i="2"/>
  <c r="AB284" i="2"/>
  <c r="AB282" i="2"/>
  <c r="AB280" i="2"/>
  <c r="AB278" i="2"/>
  <c r="AB276" i="2"/>
  <c r="AB274" i="2"/>
  <c r="AB272" i="2"/>
  <c r="AB270" i="2"/>
  <c r="AB268" i="2"/>
  <c r="AB266" i="2"/>
  <c r="AB264" i="2"/>
  <c r="AB262" i="2"/>
  <c r="AB260" i="2"/>
  <c r="AB258" i="2"/>
  <c r="AB256" i="2"/>
  <c r="AB254" i="2"/>
  <c r="AB252" i="2"/>
  <c r="AB250" i="2"/>
  <c r="AB248" i="2"/>
  <c r="AB246" i="2"/>
  <c r="AB244" i="2"/>
  <c r="AB242" i="2"/>
  <c r="AB240" i="2"/>
  <c r="AB238" i="2"/>
  <c r="AB236" i="2"/>
  <c r="AB234" i="2"/>
  <c r="AB232" i="2"/>
  <c r="AB230" i="2"/>
  <c r="AB228" i="2"/>
  <c r="AB226" i="2"/>
  <c r="AB224" i="2"/>
  <c r="AB222" i="2"/>
  <c r="AB220" i="2"/>
  <c r="AB218" i="2"/>
  <c r="AB216" i="2"/>
  <c r="AB214" i="2"/>
  <c r="AB212" i="2"/>
  <c r="AB210" i="2"/>
  <c r="AB208" i="2"/>
  <c r="AB206" i="2"/>
  <c r="AB204" i="2"/>
  <c r="AB202" i="2"/>
  <c r="AB200" i="2"/>
  <c r="AB198" i="2"/>
  <c r="AB196" i="2"/>
  <c r="AB194" i="2"/>
  <c r="AB192" i="2"/>
  <c r="AB190" i="2"/>
  <c r="AB188" i="2"/>
  <c r="AB186" i="2"/>
  <c r="AB184" i="2"/>
  <c r="AB182" i="2"/>
  <c r="AB180" i="2"/>
  <c r="AB178" i="2"/>
  <c r="AB176" i="2"/>
  <c r="AB174" i="2"/>
  <c r="AB172" i="2"/>
  <c r="AB170" i="2"/>
  <c r="AB168" i="2"/>
  <c r="AB166" i="2"/>
  <c r="AB164" i="2"/>
  <c r="AB162" i="2"/>
  <c r="AB160" i="2"/>
  <c r="AB158" i="2"/>
  <c r="AB156" i="2"/>
  <c r="AB154" i="2"/>
  <c r="AB152" i="2"/>
  <c r="AB150" i="2"/>
  <c r="AB148" i="2"/>
  <c r="AB146" i="2"/>
  <c r="AB144" i="2"/>
  <c r="AB142" i="2"/>
  <c r="AB140" i="2"/>
  <c r="AB138" i="2"/>
  <c r="AB136" i="2"/>
  <c r="AB134" i="2"/>
  <c r="AB132" i="2"/>
  <c r="AB130" i="2"/>
  <c r="AB128" i="2"/>
  <c r="AB126" i="2"/>
  <c r="AB124" i="2"/>
  <c r="AB122" i="2"/>
  <c r="AB120" i="2"/>
  <c r="AB118" i="2"/>
  <c r="AB116" i="2"/>
  <c r="AB114" i="2"/>
  <c r="N26" i="1" l="1"/>
  <c r="N27" i="1" s="1"/>
  <c r="N28" i="1" s="1"/>
  <c r="N29" i="1" s="1"/>
  <c r="O24" i="1"/>
  <c r="N26" i="4"/>
  <c r="N27" i="4" s="1"/>
  <c r="N28" i="4" s="1"/>
  <c r="O27" i="4" s="1"/>
  <c r="N26" i="5"/>
  <c r="O25" i="5" s="1"/>
  <c r="G42" i="2"/>
  <c r="F42" i="2"/>
  <c r="I42" i="2" s="1"/>
  <c r="G37" i="2"/>
  <c r="F37" i="2"/>
  <c r="I37" i="2" s="1"/>
  <c r="F41" i="2"/>
  <c r="I41" i="2" s="1"/>
  <c r="G41" i="2"/>
  <c r="H33" i="2"/>
  <c r="D46" i="2"/>
  <c r="L738" i="2" s="1"/>
  <c r="G40" i="2"/>
  <c r="F40" i="2"/>
  <c r="I40" i="2" s="1"/>
  <c r="G38" i="2"/>
  <c r="F38" i="2"/>
  <c r="I38" i="2" s="1"/>
  <c r="F39" i="2"/>
  <c r="I39" i="2" s="1"/>
  <c r="G39" i="2"/>
  <c r="O25" i="1" l="1"/>
  <c r="O26" i="4"/>
  <c r="N29" i="4"/>
  <c r="N30" i="4" s="1"/>
  <c r="O25" i="4"/>
  <c r="N27" i="5"/>
  <c r="O26" i="5" s="1"/>
  <c r="O26" i="1"/>
  <c r="L1459" i="2"/>
  <c r="O27" i="1"/>
  <c r="L1203" i="2"/>
  <c r="L1016" i="2"/>
  <c r="L1331" i="2"/>
  <c r="L1715" i="2"/>
  <c r="L1267" i="2"/>
  <c r="L1651" i="2"/>
  <c r="L805" i="2"/>
  <c r="L1395" i="2"/>
  <c r="L1907" i="2"/>
  <c r="L256" i="2"/>
  <c r="L1373" i="2"/>
  <c r="L1523" i="2"/>
  <c r="L1779" i="2"/>
  <c r="L1360" i="2"/>
  <c r="L1196" i="2"/>
  <c r="L1587" i="2"/>
  <c r="L1843" i="2"/>
  <c r="L1872" i="2"/>
  <c r="L1708" i="2"/>
  <c r="L210" i="2"/>
  <c r="L466" i="2"/>
  <c r="L1629" i="2"/>
  <c r="L979" i="2"/>
  <c r="L908" i="2"/>
  <c r="L1885" i="2"/>
  <c r="L477" i="2"/>
  <c r="L441" i="2"/>
  <c r="L1219" i="2"/>
  <c r="L1283" i="2"/>
  <c r="L1347" i="2"/>
  <c r="L1411" i="2"/>
  <c r="L1475" i="2"/>
  <c r="L1539" i="2"/>
  <c r="L1603" i="2"/>
  <c r="L1667" i="2"/>
  <c r="L1731" i="2"/>
  <c r="L1795" i="2"/>
  <c r="L1859" i="2"/>
  <c r="L968" i="2"/>
  <c r="L1080" i="2"/>
  <c r="L1488" i="2"/>
  <c r="L1902" i="2"/>
  <c r="L665" i="2"/>
  <c r="L1437" i="2"/>
  <c r="L1693" i="2"/>
  <c r="L998" i="2"/>
  <c r="L1324" i="2"/>
  <c r="L1836" i="2"/>
  <c r="L841" i="2"/>
  <c r="L349" i="2"/>
  <c r="L274" i="2"/>
  <c r="L530" i="2"/>
  <c r="L1113" i="2"/>
  <c r="L313" i="2"/>
  <c r="L384" i="2"/>
  <c r="L1187" i="2"/>
  <c r="L1251" i="2"/>
  <c r="L1315" i="2"/>
  <c r="L1379" i="2"/>
  <c r="L1443" i="2"/>
  <c r="L1507" i="2"/>
  <c r="L1571" i="2"/>
  <c r="L1635" i="2"/>
  <c r="L1699" i="2"/>
  <c r="L1763" i="2"/>
  <c r="L1827" i="2"/>
  <c r="L1891" i="2"/>
  <c r="L1000" i="2"/>
  <c r="L1232" i="2"/>
  <c r="L1744" i="2"/>
  <c r="L933" i="2"/>
  <c r="L1309" i="2"/>
  <c r="L1565" i="2"/>
  <c r="L1821" i="2"/>
  <c r="L1126" i="2"/>
  <c r="L1580" i="2"/>
  <c r="L1286" i="2"/>
  <c r="L605" i="2"/>
  <c r="L124" i="2"/>
  <c r="L402" i="2"/>
  <c r="L780" i="2"/>
  <c r="L569" i="2"/>
  <c r="L160" i="2"/>
  <c r="L1686" i="2"/>
  <c r="L1235" i="2"/>
  <c r="L1299" i="2"/>
  <c r="L1363" i="2"/>
  <c r="L1427" i="2"/>
  <c r="L1491" i="2"/>
  <c r="L1555" i="2"/>
  <c r="L1619" i="2"/>
  <c r="L1683" i="2"/>
  <c r="L1747" i="2"/>
  <c r="L1811" i="2"/>
  <c r="L1875" i="2"/>
  <c r="L984" i="2"/>
  <c r="L1144" i="2"/>
  <c r="L1616" i="2"/>
  <c r="L1163" i="2"/>
  <c r="L1245" i="2"/>
  <c r="L1501" i="2"/>
  <c r="L1757" i="2"/>
  <c r="L1062" i="2"/>
  <c r="L1452" i="2"/>
  <c r="L1866" i="2"/>
  <c r="L713" i="2"/>
  <c r="L221" i="2"/>
  <c r="L338" i="2"/>
  <c r="L652" i="2"/>
  <c r="L1698" i="2"/>
  <c r="L185" i="2"/>
  <c r="L520" i="2"/>
  <c r="L1195" i="2"/>
  <c r="L1191" i="2"/>
  <c r="L1207" i="2"/>
  <c r="L1223" i="2"/>
  <c r="L1239" i="2"/>
  <c r="L1255" i="2"/>
  <c r="L1271" i="2"/>
  <c r="L1287" i="2"/>
  <c r="L1303" i="2"/>
  <c r="L1319" i="2"/>
  <c r="L1335" i="2"/>
  <c r="L1351" i="2"/>
  <c r="L1367" i="2"/>
  <c r="L1383" i="2"/>
  <c r="L1399" i="2"/>
  <c r="L1415" i="2"/>
  <c r="L1431" i="2"/>
  <c r="L1447" i="2"/>
  <c r="L1463" i="2"/>
  <c r="L1479" i="2"/>
  <c r="L1495" i="2"/>
  <c r="L1511" i="2"/>
  <c r="L1527" i="2"/>
  <c r="L1543" i="2"/>
  <c r="L1559" i="2"/>
  <c r="L1575" i="2"/>
  <c r="L1591" i="2"/>
  <c r="L1607" i="2"/>
  <c r="L1623" i="2"/>
  <c r="L1639" i="2"/>
  <c r="L1655" i="2"/>
  <c r="L1671" i="2"/>
  <c r="L1687" i="2"/>
  <c r="L1703" i="2"/>
  <c r="L1719" i="2"/>
  <c r="L1735" i="2"/>
  <c r="L1751" i="2"/>
  <c r="L1767" i="2"/>
  <c r="L1783" i="2"/>
  <c r="L1799" i="2"/>
  <c r="L1815" i="2"/>
  <c r="L1831" i="2"/>
  <c r="L1847" i="2"/>
  <c r="L1863" i="2"/>
  <c r="L1879" i="2"/>
  <c r="L1895" i="2"/>
  <c r="L1911" i="2"/>
  <c r="L972" i="2"/>
  <c r="L988" i="2"/>
  <c r="L1004" i="2"/>
  <c r="L1032" i="2"/>
  <c r="L1096" i="2"/>
  <c r="L1160" i="2"/>
  <c r="L1264" i="2"/>
  <c r="L1392" i="2"/>
  <c r="L1520" i="2"/>
  <c r="L1648" i="2"/>
  <c r="L1776" i="2"/>
  <c r="L1904" i="2"/>
  <c r="L1642" i="2"/>
  <c r="L1099" i="2"/>
  <c r="L901" i="2"/>
  <c r="L773" i="2"/>
  <c r="L1197" i="2"/>
  <c r="L1261" i="2"/>
  <c r="L1325" i="2"/>
  <c r="L1389" i="2"/>
  <c r="L1453" i="2"/>
  <c r="L1517" i="2"/>
  <c r="L1581" i="2"/>
  <c r="L1645" i="2"/>
  <c r="L1709" i="2"/>
  <c r="L1773" i="2"/>
  <c r="L1837" i="2"/>
  <c r="L1901" i="2"/>
  <c r="L1014" i="2"/>
  <c r="L1078" i="2"/>
  <c r="L1142" i="2"/>
  <c r="L1228" i="2"/>
  <c r="L1356" i="2"/>
  <c r="L1484" i="2"/>
  <c r="L1612" i="2"/>
  <c r="L1740" i="2"/>
  <c r="L1868" i="2"/>
  <c r="L1898" i="2"/>
  <c r="L1171" i="2"/>
  <c r="L937" i="2"/>
  <c r="L809" i="2"/>
  <c r="L673" i="2"/>
  <c r="L573" i="2"/>
  <c r="L445" i="2"/>
  <c r="L317" i="2"/>
  <c r="L189" i="2"/>
  <c r="L162" i="2"/>
  <c r="L226" i="2"/>
  <c r="L290" i="2"/>
  <c r="L354" i="2"/>
  <c r="L418" i="2"/>
  <c r="L482" i="2"/>
  <c r="L556" i="2"/>
  <c r="L684" i="2"/>
  <c r="L812" i="2"/>
  <c r="L940" i="2"/>
  <c r="L1177" i="2"/>
  <c r="L1478" i="2"/>
  <c r="L537" i="2"/>
  <c r="L409" i="2"/>
  <c r="L281" i="2"/>
  <c r="L154" i="2"/>
  <c r="L176" i="2"/>
  <c r="L288" i="2"/>
  <c r="L416" i="2"/>
  <c r="L584" i="2"/>
  <c r="L535" i="2"/>
  <c r="L1199" i="2"/>
  <c r="L1215" i="2"/>
  <c r="L1231" i="2"/>
  <c r="L1247" i="2"/>
  <c r="L1263" i="2"/>
  <c r="L1279" i="2"/>
  <c r="L1295" i="2"/>
  <c r="L1311" i="2"/>
  <c r="L1327" i="2"/>
  <c r="L1343" i="2"/>
  <c r="L1359" i="2"/>
  <c r="L1375" i="2"/>
  <c r="L1391" i="2"/>
  <c r="L1407" i="2"/>
  <c r="L1423" i="2"/>
  <c r="L1439" i="2"/>
  <c r="L1455" i="2"/>
  <c r="L1471" i="2"/>
  <c r="L1487" i="2"/>
  <c r="L1503" i="2"/>
  <c r="L1519" i="2"/>
  <c r="L1535" i="2"/>
  <c r="L1551" i="2"/>
  <c r="L1567" i="2"/>
  <c r="L1583" i="2"/>
  <c r="L1599" i="2"/>
  <c r="L1615" i="2"/>
  <c r="L1631" i="2"/>
  <c r="L1647" i="2"/>
  <c r="L1663" i="2"/>
  <c r="L1679" i="2"/>
  <c r="L1695" i="2"/>
  <c r="L1711" i="2"/>
  <c r="L1727" i="2"/>
  <c r="L1743" i="2"/>
  <c r="L1759" i="2"/>
  <c r="L1775" i="2"/>
  <c r="L1791" i="2"/>
  <c r="L1807" i="2"/>
  <c r="L1823" i="2"/>
  <c r="L1839" i="2"/>
  <c r="L1855" i="2"/>
  <c r="L1871" i="2"/>
  <c r="L1887" i="2"/>
  <c r="L1903" i="2"/>
  <c r="L964" i="2"/>
  <c r="L980" i="2"/>
  <c r="L996" i="2"/>
  <c r="L1012" i="2"/>
  <c r="L1064" i="2"/>
  <c r="L1128" i="2"/>
  <c r="L1200" i="2"/>
  <c r="L1328" i="2"/>
  <c r="L1456" i="2"/>
  <c r="L1584" i="2"/>
  <c r="L1712" i="2"/>
  <c r="L1840" i="2"/>
  <c r="L1870" i="2"/>
  <c r="L1270" i="2"/>
  <c r="L971" i="2"/>
  <c r="L837" i="2"/>
  <c r="L709" i="2"/>
  <c r="L1229" i="2"/>
  <c r="L1293" i="2"/>
  <c r="L1357" i="2"/>
  <c r="L1421" i="2"/>
  <c r="L1485" i="2"/>
  <c r="L1549" i="2"/>
  <c r="L1613" i="2"/>
  <c r="L1677" i="2"/>
  <c r="L1741" i="2"/>
  <c r="L1805" i="2"/>
  <c r="L1869" i="2"/>
  <c r="L982" i="2"/>
  <c r="L1046" i="2"/>
  <c r="L1110" i="2"/>
  <c r="L1174" i="2"/>
  <c r="L1292" i="2"/>
  <c r="L1420" i="2"/>
  <c r="L1548" i="2"/>
  <c r="L1676" i="2"/>
  <c r="L1804" i="2"/>
  <c r="L1834" i="2"/>
  <c r="L1418" i="2"/>
  <c r="L1043" i="2"/>
  <c r="L873" i="2"/>
  <c r="L745" i="2"/>
  <c r="L637" i="2"/>
  <c r="L509" i="2"/>
  <c r="L381" i="2"/>
  <c r="L253" i="2"/>
  <c r="L140" i="2"/>
  <c r="L194" i="2"/>
  <c r="L258" i="2"/>
  <c r="L322" i="2"/>
  <c r="L386" i="2"/>
  <c r="L450" i="2"/>
  <c r="L514" i="2"/>
  <c r="L620" i="2"/>
  <c r="L748" i="2"/>
  <c r="L876" i="2"/>
  <c r="L1049" i="2"/>
  <c r="L1442" i="2"/>
  <c r="L601" i="2"/>
  <c r="L473" i="2"/>
  <c r="L345" i="2"/>
  <c r="L217" i="2"/>
  <c r="L122" i="2"/>
  <c r="L224" i="2"/>
  <c r="L352" i="2"/>
  <c r="L480" i="2"/>
  <c r="L977" i="2"/>
  <c r="L834" i="2"/>
  <c r="L866" i="2"/>
  <c r="L674" i="2"/>
  <c r="L279" i="2"/>
  <c r="L919" i="2"/>
  <c r="L1666" i="2"/>
  <c r="L840" i="2"/>
  <c r="L632" i="2"/>
  <c r="L552" i="2"/>
  <c r="L496" i="2"/>
  <c r="L464" i="2"/>
  <c r="L432" i="2"/>
  <c r="L400" i="2"/>
  <c r="L368" i="2"/>
  <c r="L336" i="2"/>
  <c r="L304" i="2"/>
  <c r="L272" i="2"/>
  <c r="L240" i="2"/>
  <c r="L208" i="2"/>
  <c r="L184" i="2"/>
  <c r="L168" i="2"/>
  <c r="L114" i="2"/>
  <c r="L130" i="2"/>
  <c r="L146" i="2"/>
  <c r="L169" i="2"/>
  <c r="L201" i="2"/>
  <c r="L233" i="2"/>
  <c r="L265" i="2"/>
  <c r="L297" i="2"/>
  <c r="L329" i="2"/>
  <c r="L361" i="2"/>
  <c r="L393" i="2"/>
  <c r="L425" i="2"/>
  <c r="L457" i="2"/>
  <c r="L489" i="2"/>
  <c r="L521" i="2"/>
  <c r="L553" i="2"/>
  <c r="L585" i="2"/>
  <c r="L617" i="2"/>
  <c r="L649" i="2"/>
  <c r="L1414" i="2"/>
  <c r="L1570" i="2"/>
  <c r="L1362" i="2"/>
  <c r="L1234" i="2"/>
  <c r="L1145" i="2"/>
  <c r="L1081" i="2"/>
  <c r="L1017" i="2"/>
  <c r="L956" i="2"/>
  <c r="L924" i="2"/>
  <c r="L892" i="2"/>
  <c r="L860" i="2"/>
  <c r="L828" i="2"/>
  <c r="L796" i="2"/>
  <c r="L764" i="2"/>
  <c r="L732" i="2"/>
  <c r="L700" i="2"/>
  <c r="L668" i="2"/>
  <c r="L636" i="2"/>
  <c r="L604" i="2"/>
  <c r="L572" i="2"/>
  <c r="L540" i="2"/>
  <c r="L522" i="2"/>
  <c r="L506" i="2"/>
  <c r="L490" i="2"/>
  <c r="L474" i="2"/>
  <c r="L458" i="2"/>
  <c r="L442" i="2"/>
  <c r="L426" i="2"/>
  <c r="L410" i="2"/>
  <c r="L394" i="2"/>
  <c r="L378" i="2"/>
  <c r="L362" i="2"/>
  <c r="L346" i="2"/>
  <c r="L330" i="2"/>
  <c r="L314" i="2"/>
  <c r="L298" i="2"/>
  <c r="L282" i="2"/>
  <c r="L266" i="2"/>
  <c r="L250" i="2"/>
  <c r="L234" i="2"/>
  <c r="L218" i="2"/>
  <c r="L202" i="2"/>
  <c r="L186" i="2"/>
  <c r="L170" i="2"/>
  <c r="L116" i="2"/>
  <c r="L132" i="2"/>
  <c r="L148" i="2"/>
  <c r="L173" i="2"/>
  <c r="L205" i="2"/>
  <c r="L237" i="2"/>
  <c r="L269" i="2"/>
  <c r="L301" i="2"/>
  <c r="L333" i="2"/>
  <c r="L365" i="2"/>
  <c r="L397" i="2"/>
  <c r="L429" i="2"/>
  <c r="L461" i="2"/>
  <c r="L493" i="2"/>
  <c r="L525" i="2"/>
  <c r="L557" i="2"/>
  <c r="L589" i="2"/>
  <c r="L621" i="2"/>
  <c r="L653" i="2"/>
  <c r="L685" i="2"/>
  <c r="L697" i="2"/>
  <c r="L729" i="2"/>
  <c r="L761" i="2"/>
  <c r="L793" i="2"/>
  <c r="L825" i="2"/>
  <c r="L857" i="2"/>
  <c r="L889" i="2"/>
  <c r="L921" i="2"/>
  <c r="L953" i="2"/>
  <c r="L1011" i="2"/>
  <c r="L1075" i="2"/>
  <c r="L1139" i="2"/>
  <c r="L1222" i="2"/>
  <c r="L1350" i="2"/>
  <c r="L1546" i="2"/>
  <c r="L1802" i="2"/>
  <c r="L1882" i="2"/>
  <c r="L1850" i="2"/>
  <c r="L1818" i="2"/>
  <c r="L1884" i="2"/>
  <c r="L1852" i="2"/>
  <c r="L1820" i="2"/>
  <c r="L1788" i="2"/>
  <c r="L1756" i="2"/>
  <c r="L1724" i="2"/>
  <c r="L1692" i="2"/>
  <c r="L1660" i="2"/>
  <c r="L1628" i="2"/>
  <c r="L1596" i="2"/>
  <c r="L1564" i="2"/>
  <c r="L1532" i="2"/>
  <c r="L1500" i="2"/>
  <c r="L1468" i="2"/>
  <c r="L1436" i="2"/>
  <c r="L1404" i="2"/>
  <c r="L1372" i="2"/>
  <c r="L1340" i="2"/>
  <c r="L1308" i="2"/>
  <c r="L1276" i="2"/>
  <c r="L1244" i="2"/>
  <c r="L1212" i="2"/>
  <c r="L1182" i="2"/>
  <c r="L1166" i="2"/>
  <c r="L1150" i="2"/>
  <c r="L1134" i="2"/>
  <c r="L1118" i="2"/>
  <c r="L1102" i="2"/>
  <c r="L1086" i="2"/>
  <c r="L1070" i="2"/>
  <c r="L1054" i="2"/>
  <c r="L1038" i="2"/>
  <c r="L1022" i="2"/>
  <c r="L1006" i="2"/>
  <c r="L990" i="2"/>
  <c r="L974" i="2"/>
  <c r="L1909" i="2"/>
  <c r="L1893" i="2"/>
  <c r="L1877" i="2"/>
  <c r="L1861" i="2"/>
  <c r="L1845" i="2"/>
  <c r="L1829" i="2"/>
  <c r="L1813" i="2"/>
  <c r="L1797" i="2"/>
  <c r="L1781" i="2"/>
  <c r="L1765" i="2"/>
  <c r="L1749" i="2"/>
  <c r="L1733" i="2"/>
  <c r="L1717" i="2"/>
  <c r="L1701" i="2"/>
  <c r="L1685" i="2"/>
  <c r="L1669" i="2"/>
  <c r="L1653" i="2"/>
  <c r="L1637" i="2"/>
  <c r="L1621" i="2"/>
  <c r="L1605" i="2"/>
  <c r="L1589" i="2"/>
  <c r="L1573" i="2"/>
  <c r="L1557" i="2"/>
  <c r="L1541" i="2"/>
  <c r="L1525" i="2"/>
  <c r="L1509" i="2"/>
  <c r="L1493" i="2"/>
  <c r="L1477" i="2"/>
  <c r="L1461" i="2"/>
  <c r="L1445" i="2"/>
  <c r="L1429" i="2"/>
  <c r="L1413" i="2"/>
  <c r="L1397" i="2"/>
  <c r="L1381" i="2"/>
  <c r="L1365" i="2"/>
  <c r="L1349" i="2"/>
  <c r="L1333" i="2"/>
  <c r="L1317" i="2"/>
  <c r="L1301" i="2"/>
  <c r="L1285" i="2"/>
  <c r="L1269" i="2"/>
  <c r="L1253" i="2"/>
  <c r="L1237" i="2"/>
  <c r="L1221" i="2"/>
  <c r="L1205" i="2"/>
  <c r="L1189" i="2"/>
  <c r="L693" i="2"/>
  <c r="L725" i="2"/>
  <c r="L757" i="2"/>
  <c r="L789" i="2"/>
  <c r="L821" i="2"/>
  <c r="L853" i="2"/>
  <c r="L885" i="2"/>
  <c r="L917" i="2"/>
  <c r="L949" i="2"/>
  <c r="L1003" i="2"/>
  <c r="L1067" i="2"/>
  <c r="L1131" i="2"/>
  <c r="L1206" i="2"/>
  <c r="L1334" i="2"/>
  <c r="L1514" i="2"/>
  <c r="L1770" i="2"/>
  <c r="L1886" i="2"/>
  <c r="L1854" i="2"/>
  <c r="L1822" i="2"/>
  <c r="L1888" i="2"/>
  <c r="L1856" i="2"/>
  <c r="L1824" i="2"/>
  <c r="L1792" i="2"/>
  <c r="L1760" i="2"/>
  <c r="L1728" i="2"/>
  <c r="L1696" i="2"/>
  <c r="L1664" i="2"/>
  <c r="L1632" i="2"/>
  <c r="L1600" i="2"/>
  <c r="L1568" i="2"/>
  <c r="L1536" i="2"/>
  <c r="L1504" i="2"/>
  <c r="L1472" i="2"/>
  <c r="L1440" i="2"/>
  <c r="L1408" i="2"/>
  <c r="L1376" i="2"/>
  <c r="L1344" i="2"/>
  <c r="L1312" i="2"/>
  <c r="L1280" i="2"/>
  <c r="L1248" i="2"/>
  <c r="L1216" i="2"/>
  <c r="L1184" i="2"/>
  <c r="L1168" i="2"/>
  <c r="L1152" i="2"/>
  <c r="L1136" i="2"/>
  <c r="L1120" i="2"/>
  <c r="L1104" i="2"/>
  <c r="L1088" i="2"/>
  <c r="L1072" i="2"/>
  <c r="L1056" i="2"/>
  <c r="L1040" i="2"/>
  <c r="L1024" i="2"/>
  <c r="L930" i="2"/>
  <c r="L706" i="2"/>
  <c r="L546" i="2"/>
  <c r="L791" i="2"/>
  <c r="L1558" i="2"/>
  <c r="L904" i="2"/>
  <c r="L648" i="2"/>
  <c r="L568" i="2"/>
  <c r="L512" i="2"/>
  <c r="L472" i="2"/>
  <c r="L440" i="2"/>
  <c r="L408" i="2"/>
  <c r="L376" i="2"/>
  <c r="L344" i="2"/>
  <c r="L312" i="2"/>
  <c r="L280" i="2"/>
  <c r="L248" i="2"/>
  <c r="L216" i="2"/>
  <c r="L188" i="2"/>
  <c r="L172" i="2"/>
  <c r="L156" i="2"/>
  <c r="L126" i="2"/>
  <c r="L142" i="2"/>
  <c r="L161" i="2"/>
  <c r="L193" i="2"/>
  <c r="L225" i="2"/>
  <c r="L257" i="2"/>
  <c r="L289" i="2"/>
  <c r="L321" i="2"/>
  <c r="L353" i="2"/>
  <c r="L385" i="2"/>
  <c r="L417" i="2"/>
  <c r="L449" i="2"/>
  <c r="L481" i="2"/>
  <c r="L513" i="2"/>
  <c r="L545" i="2"/>
  <c r="L577" i="2"/>
  <c r="L609" i="2"/>
  <c r="L641" i="2"/>
  <c r="L1446" i="2"/>
  <c r="L1634" i="2"/>
  <c r="L1394" i="2"/>
  <c r="L1266" i="2"/>
  <c r="L1161" i="2"/>
  <c r="L1097" i="2"/>
  <c r="L1033" i="2"/>
  <c r="L969" i="2"/>
  <c r="L932" i="2"/>
  <c r="L900" i="2"/>
  <c r="L868" i="2"/>
  <c r="L836" i="2"/>
  <c r="L804" i="2"/>
  <c r="L772" i="2"/>
  <c r="L740" i="2"/>
  <c r="L708" i="2"/>
  <c r="L676" i="2"/>
  <c r="L644" i="2"/>
  <c r="L612" i="2"/>
  <c r="L580" i="2"/>
  <c r="L548" i="2"/>
  <c r="L526" i="2"/>
  <c r="L510" i="2"/>
  <c r="L494" i="2"/>
  <c r="L478" i="2"/>
  <c r="L462" i="2"/>
  <c r="L446" i="2"/>
  <c r="L430" i="2"/>
  <c r="L414" i="2"/>
  <c r="L398" i="2"/>
  <c r="L382" i="2"/>
  <c r="L366" i="2"/>
  <c r="L350" i="2"/>
  <c r="L334" i="2"/>
  <c r="L318" i="2"/>
  <c r="L302" i="2"/>
  <c r="L286" i="2"/>
  <c r="L270" i="2"/>
  <c r="L254" i="2"/>
  <c r="L238" i="2"/>
  <c r="L222" i="2"/>
  <c r="L206" i="2"/>
  <c r="L190" i="2"/>
  <c r="L174" i="2"/>
  <c r="L158" i="2"/>
  <c r="L128" i="2"/>
  <c r="L144" i="2"/>
  <c r="L165" i="2"/>
  <c r="L197" i="2"/>
  <c r="L229" i="2"/>
  <c r="L261" i="2"/>
  <c r="L293" i="2"/>
  <c r="L325" i="2"/>
  <c r="L357" i="2"/>
  <c r="L389" i="2"/>
  <c r="L421" i="2"/>
  <c r="L453" i="2"/>
  <c r="L485" i="2"/>
  <c r="L517" i="2"/>
  <c r="L549" i="2"/>
  <c r="L581" i="2"/>
  <c r="L613" i="2"/>
  <c r="L645" i="2"/>
  <c r="L677" i="2"/>
  <c r="L689" i="2"/>
  <c r="L721" i="2"/>
  <c r="L753" i="2"/>
  <c r="L785" i="2"/>
  <c r="L817" i="2"/>
  <c r="L849" i="2"/>
  <c r="L881" i="2"/>
  <c r="L913" i="2"/>
  <c r="L945" i="2"/>
  <c r="L995" i="2"/>
  <c r="L1059" i="2"/>
  <c r="L1123" i="2"/>
  <c r="L1190" i="2"/>
  <c r="L1318" i="2"/>
  <c r="L1482" i="2"/>
  <c r="L1738" i="2"/>
  <c r="L1890" i="2"/>
  <c r="L1858" i="2"/>
  <c r="L1826" i="2"/>
  <c r="L1892" i="2"/>
  <c r="L1860" i="2"/>
  <c r="L1828" i="2"/>
  <c r="L1796" i="2"/>
  <c r="L1764" i="2"/>
  <c r="L1732" i="2"/>
  <c r="L1700" i="2"/>
  <c r="L1668" i="2"/>
  <c r="L1636" i="2"/>
  <c r="L1604" i="2"/>
  <c r="L1572" i="2"/>
  <c r="L1540" i="2"/>
  <c r="L1508" i="2"/>
  <c r="L1476" i="2"/>
  <c r="L1444" i="2"/>
  <c r="L1412" i="2"/>
  <c r="L1380" i="2"/>
  <c r="L1348" i="2"/>
  <c r="L1316" i="2"/>
  <c r="L1284" i="2"/>
  <c r="L1252" i="2"/>
  <c r="L1220" i="2"/>
  <c r="L1188" i="2"/>
  <c r="L1170" i="2"/>
  <c r="L1154" i="2"/>
  <c r="L1138" i="2"/>
  <c r="L1122" i="2"/>
  <c r="L1106" i="2"/>
  <c r="L1090" i="2"/>
  <c r="L1074" i="2"/>
  <c r="L1058" i="2"/>
  <c r="L1042" i="2"/>
  <c r="L1026" i="2"/>
  <c r="L1010" i="2"/>
  <c r="L994" i="2"/>
  <c r="L978" i="2"/>
  <c r="L962" i="2"/>
  <c r="L1897" i="2"/>
  <c r="L1881" i="2"/>
  <c r="L1865" i="2"/>
  <c r="L1849" i="2"/>
  <c r="L1833" i="2"/>
  <c r="L1817" i="2"/>
  <c r="L1801" i="2"/>
  <c r="L1785" i="2"/>
  <c r="L1769" i="2"/>
  <c r="L1753" i="2"/>
  <c r="L1737" i="2"/>
  <c r="L1721" i="2"/>
  <c r="L1705" i="2"/>
  <c r="L1689" i="2"/>
  <c r="L1673" i="2"/>
  <c r="L1657" i="2"/>
  <c r="L1641" i="2"/>
  <c r="L1625" i="2"/>
  <c r="L1609" i="2"/>
  <c r="L1593" i="2"/>
  <c r="L1577" i="2"/>
  <c r="L1561" i="2"/>
  <c r="L1545" i="2"/>
  <c r="L1529" i="2"/>
  <c r="L1513" i="2"/>
  <c r="L1497" i="2"/>
  <c r="L1481" i="2"/>
  <c r="L1465" i="2"/>
  <c r="L1449" i="2"/>
  <c r="L1433" i="2"/>
  <c r="L1417" i="2"/>
  <c r="L1401" i="2"/>
  <c r="L1385" i="2"/>
  <c r="L1369" i="2"/>
  <c r="L1353" i="2"/>
  <c r="L1337" i="2"/>
  <c r="L1321" i="2"/>
  <c r="L1305" i="2"/>
  <c r="L1289" i="2"/>
  <c r="L1273" i="2"/>
  <c r="L1257" i="2"/>
  <c r="L1241" i="2"/>
  <c r="L1225" i="2"/>
  <c r="L1209" i="2"/>
  <c r="L1193" i="2"/>
  <c r="L681" i="2"/>
  <c r="L717" i="2"/>
  <c r="L749" i="2"/>
  <c r="L781" i="2"/>
  <c r="L813" i="2"/>
  <c r="L845" i="2"/>
  <c r="L877" i="2"/>
  <c r="L909" i="2"/>
  <c r="L941" i="2"/>
  <c r="L987" i="2"/>
  <c r="L1051" i="2"/>
  <c r="L1115" i="2"/>
  <c r="L1179" i="2"/>
  <c r="L1302" i="2"/>
  <c r="L1450" i="2"/>
  <c r="L1706" i="2"/>
  <c r="L1894" i="2"/>
  <c r="L1862" i="2"/>
  <c r="L1830" i="2"/>
  <c r="L1896" i="2"/>
  <c r="L1864" i="2"/>
  <c r="L1832" i="2"/>
  <c r="L1800" i="2"/>
  <c r="L1768" i="2"/>
  <c r="L1736" i="2"/>
  <c r="L1704" i="2"/>
  <c r="L1672" i="2"/>
  <c r="L1640" i="2"/>
  <c r="L1608" i="2"/>
  <c r="L1576" i="2"/>
  <c r="L1544" i="2"/>
  <c r="L1512" i="2"/>
  <c r="L1480" i="2"/>
  <c r="L1448" i="2"/>
  <c r="L1416" i="2"/>
  <c r="L1384" i="2"/>
  <c r="L1352" i="2"/>
  <c r="L1320" i="2"/>
  <c r="L1288" i="2"/>
  <c r="L1256" i="2"/>
  <c r="L1224" i="2"/>
  <c r="L1192" i="2"/>
  <c r="L1172" i="2"/>
  <c r="L1156" i="2"/>
  <c r="L1140" i="2"/>
  <c r="L1124" i="2"/>
  <c r="L1108" i="2"/>
  <c r="L1092" i="2"/>
  <c r="L1076" i="2"/>
  <c r="L1060" i="2"/>
  <c r="L1044" i="2"/>
  <c r="L1028" i="2"/>
  <c r="L802" i="2"/>
  <c r="L610" i="2"/>
  <c r="L407" i="2"/>
  <c r="L1135" i="2"/>
  <c r="L1105" i="2"/>
  <c r="L776" i="2"/>
  <c r="L616" i="2"/>
  <c r="L528" i="2"/>
  <c r="L488" i="2"/>
  <c r="L456" i="2"/>
  <c r="L424" i="2"/>
  <c r="L392" i="2"/>
  <c r="L360" i="2"/>
  <c r="L328" i="2"/>
  <c r="L296" i="2"/>
  <c r="L264" i="2"/>
  <c r="L232" i="2"/>
  <c r="L200" i="2"/>
  <c r="L180" i="2"/>
  <c r="L164" i="2"/>
  <c r="L118" i="2"/>
  <c r="L134" i="2"/>
  <c r="L150" i="2"/>
  <c r="L177" i="2"/>
  <c r="L209" i="2"/>
  <c r="L241" i="2"/>
  <c r="L273" i="2"/>
  <c r="L305" i="2"/>
  <c r="L337" i="2"/>
  <c r="L369" i="2"/>
  <c r="L401" i="2"/>
  <c r="L433" i="2"/>
  <c r="L465" i="2"/>
  <c r="L497" i="2"/>
  <c r="L529" i="2"/>
  <c r="L561" i="2"/>
  <c r="L593" i="2"/>
  <c r="L625" i="2"/>
  <c r="L1510" i="2"/>
  <c r="L1762" i="2"/>
  <c r="L1506" i="2"/>
  <c r="L1330" i="2"/>
  <c r="L1202" i="2"/>
  <c r="L1129" i="2"/>
  <c r="L1065" i="2"/>
  <c r="L1001" i="2"/>
  <c r="L948" i="2"/>
  <c r="L916" i="2"/>
  <c r="L884" i="2"/>
  <c r="L852" i="2"/>
  <c r="L820" i="2"/>
  <c r="L788" i="2"/>
  <c r="L756" i="2"/>
  <c r="L724" i="2"/>
  <c r="L692" i="2"/>
  <c r="L660" i="2"/>
  <c r="L628" i="2"/>
  <c r="L596" i="2"/>
  <c r="L564" i="2"/>
  <c r="L534" i="2"/>
  <c r="L518" i="2"/>
  <c r="L502" i="2"/>
  <c r="L486" i="2"/>
  <c r="L470" i="2"/>
  <c r="L454" i="2"/>
  <c r="L438" i="2"/>
  <c r="L422" i="2"/>
  <c r="L406" i="2"/>
  <c r="L390" i="2"/>
  <c r="L374" i="2"/>
  <c r="L358" i="2"/>
  <c r="L342" i="2"/>
  <c r="L326" i="2"/>
  <c r="L310" i="2"/>
  <c r="L294" i="2"/>
  <c r="L278" i="2"/>
  <c r="L262" i="2"/>
  <c r="L246" i="2"/>
  <c r="L230" i="2"/>
  <c r="L214" i="2"/>
  <c r="L198" i="2"/>
  <c r="L182" i="2"/>
  <c r="L166" i="2"/>
  <c r="L120" i="2"/>
  <c r="L136" i="2"/>
  <c r="L152" i="2"/>
  <c r="L181" i="2"/>
  <c r="L213" i="2"/>
  <c r="L245" i="2"/>
  <c r="L277" i="2"/>
  <c r="L309" i="2"/>
  <c r="L341" i="2"/>
  <c r="L373" i="2"/>
  <c r="L405" i="2"/>
  <c r="L437" i="2"/>
  <c r="L469" i="2"/>
  <c r="L501" i="2"/>
  <c r="L533" i="2"/>
  <c r="L565" i="2"/>
  <c r="L597" i="2"/>
  <c r="L629" i="2"/>
  <c r="L661" i="2"/>
  <c r="L657" i="2"/>
  <c r="L705" i="2"/>
  <c r="L737" i="2"/>
  <c r="L769" i="2"/>
  <c r="L801" i="2"/>
  <c r="L833" i="2"/>
  <c r="L865" i="2"/>
  <c r="L897" i="2"/>
  <c r="L929" i="2"/>
  <c r="L963" i="2"/>
  <c r="L1027" i="2"/>
  <c r="L1091" i="2"/>
  <c r="L1155" i="2"/>
  <c r="L1254" i="2"/>
  <c r="L1382" i="2"/>
  <c r="L1610" i="2"/>
  <c r="L1906" i="2"/>
  <c r="L1874" i="2"/>
  <c r="L1842" i="2"/>
  <c r="L1908" i="2"/>
  <c r="L1876" i="2"/>
  <c r="L1844" i="2"/>
  <c r="L1812" i="2"/>
  <c r="L1780" i="2"/>
  <c r="L1748" i="2"/>
  <c r="L1716" i="2"/>
  <c r="L1684" i="2"/>
  <c r="L1652" i="2"/>
  <c r="L1620" i="2"/>
  <c r="L1588" i="2"/>
  <c r="L1556" i="2"/>
  <c r="L1524" i="2"/>
  <c r="L1492" i="2"/>
  <c r="L1460" i="2"/>
  <c r="L1428" i="2"/>
  <c r="L1396" i="2"/>
  <c r="L1364" i="2"/>
  <c r="L1332" i="2"/>
  <c r="L1300" i="2"/>
  <c r="L1268" i="2"/>
  <c r="L1236" i="2"/>
  <c r="L1204" i="2"/>
  <c r="L1178" i="2"/>
  <c r="L1162" i="2"/>
  <c r="L1146" i="2"/>
  <c r="L1130" i="2"/>
  <c r="L1114" i="2"/>
  <c r="L1098" i="2"/>
  <c r="L1082" i="2"/>
  <c r="L1066" i="2"/>
  <c r="L1050" i="2"/>
  <c r="L1034" i="2"/>
  <c r="L1018" i="2"/>
  <c r="L1002" i="2"/>
  <c r="L986" i="2"/>
  <c r="L970" i="2"/>
  <c r="L1905" i="2"/>
  <c r="L1889" i="2"/>
  <c r="L1873" i="2"/>
  <c r="L1857" i="2"/>
  <c r="L1841" i="2"/>
  <c r="L1825" i="2"/>
  <c r="L1809" i="2"/>
  <c r="L1793" i="2"/>
  <c r="L1777" i="2"/>
  <c r="L1761" i="2"/>
  <c r="L1745" i="2"/>
  <c r="L1729" i="2"/>
  <c r="L1713" i="2"/>
  <c r="L1697" i="2"/>
  <c r="L1681" i="2"/>
  <c r="L1665" i="2"/>
  <c r="L1649" i="2"/>
  <c r="L1633" i="2"/>
  <c r="L1617" i="2"/>
  <c r="L1601" i="2"/>
  <c r="L1585" i="2"/>
  <c r="L1569" i="2"/>
  <c r="L1553" i="2"/>
  <c r="L1537" i="2"/>
  <c r="L1521" i="2"/>
  <c r="L1505" i="2"/>
  <c r="L1489" i="2"/>
  <c r="L1473" i="2"/>
  <c r="L1457" i="2"/>
  <c r="L1441" i="2"/>
  <c r="L1425" i="2"/>
  <c r="L1409" i="2"/>
  <c r="L1393" i="2"/>
  <c r="L1377" i="2"/>
  <c r="L1361" i="2"/>
  <c r="L1345" i="2"/>
  <c r="L1329" i="2"/>
  <c r="L1313" i="2"/>
  <c r="L1297" i="2"/>
  <c r="L1281" i="2"/>
  <c r="L1265" i="2"/>
  <c r="L1249" i="2"/>
  <c r="L1233" i="2"/>
  <c r="L1217" i="2"/>
  <c r="L1201" i="2"/>
  <c r="L1185" i="2"/>
  <c r="L701" i="2"/>
  <c r="L733" i="2"/>
  <c r="L765" i="2"/>
  <c r="L797" i="2"/>
  <c r="L829" i="2"/>
  <c r="L861" i="2"/>
  <c r="L893" i="2"/>
  <c r="L925" i="2"/>
  <c r="L957" i="2"/>
  <c r="L1019" i="2"/>
  <c r="L1083" i="2"/>
  <c r="L1147" i="2"/>
  <c r="L1238" i="2"/>
  <c r="L1366" i="2"/>
  <c r="L1578" i="2"/>
  <c r="L1910" i="2"/>
  <c r="L1878" i="2"/>
  <c r="L1846" i="2"/>
  <c r="L1912" i="2"/>
  <c r="L1880" i="2"/>
  <c r="L1848" i="2"/>
  <c r="L1816" i="2"/>
  <c r="L1784" i="2"/>
  <c r="L1752" i="2"/>
  <c r="L1720" i="2"/>
  <c r="L1688" i="2"/>
  <c r="L1656" i="2"/>
  <c r="L1624" i="2"/>
  <c r="L1592" i="2"/>
  <c r="L1560" i="2"/>
  <c r="L1528" i="2"/>
  <c r="L1496" i="2"/>
  <c r="L1464" i="2"/>
  <c r="L1432" i="2"/>
  <c r="L1400" i="2"/>
  <c r="L1368" i="2"/>
  <c r="L1336" i="2"/>
  <c r="L1304" i="2"/>
  <c r="L1272" i="2"/>
  <c r="L1240" i="2"/>
  <c r="L1208" i="2"/>
  <c r="L1180" i="2"/>
  <c r="L1164" i="2"/>
  <c r="L1148" i="2"/>
  <c r="L1132" i="2"/>
  <c r="L1116" i="2"/>
  <c r="L1100" i="2"/>
  <c r="L1084" i="2"/>
  <c r="L1068" i="2"/>
  <c r="L1052" i="2"/>
  <c r="L1036" i="2"/>
  <c r="L1020" i="2"/>
  <c r="L1211" i="2"/>
  <c r="L1227" i="2"/>
  <c r="L1243" i="2"/>
  <c r="L1259" i="2"/>
  <c r="L1275" i="2"/>
  <c r="L1291" i="2"/>
  <c r="L1307" i="2"/>
  <c r="L1323" i="2"/>
  <c r="L1339" i="2"/>
  <c r="L1355" i="2"/>
  <c r="L1371" i="2"/>
  <c r="L1387" i="2"/>
  <c r="L1403" i="2"/>
  <c r="L1419" i="2"/>
  <c r="L1435" i="2"/>
  <c r="L1451" i="2"/>
  <c r="L1467" i="2"/>
  <c r="L1483" i="2"/>
  <c r="L1499" i="2"/>
  <c r="L1515" i="2"/>
  <c r="L1531" i="2"/>
  <c r="L1547" i="2"/>
  <c r="L1563" i="2"/>
  <c r="L1579" i="2"/>
  <c r="L1595" i="2"/>
  <c r="L1611" i="2"/>
  <c r="L1627" i="2"/>
  <c r="L1643" i="2"/>
  <c r="L1659" i="2"/>
  <c r="L1675" i="2"/>
  <c r="L1691" i="2"/>
  <c r="L1707" i="2"/>
  <c r="L1723" i="2"/>
  <c r="L1739" i="2"/>
  <c r="L1755" i="2"/>
  <c r="L1771" i="2"/>
  <c r="L1787" i="2"/>
  <c r="L1803" i="2"/>
  <c r="L1819" i="2"/>
  <c r="L1835" i="2"/>
  <c r="L1851" i="2"/>
  <c r="L1867" i="2"/>
  <c r="L1883" i="2"/>
  <c r="L1899" i="2"/>
  <c r="L960" i="2"/>
  <c r="L976" i="2"/>
  <c r="L992" i="2"/>
  <c r="L1008" i="2"/>
  <c r="L1048" i="2"/>
  <c r="L1112" i="2"/>
  <c r="L1176" i="2"/>
  <c r="L1296" i="2"/>
  <c r="L1424" i="2"/>
  <c r="L1552" i="2"/>
  <c r="L1680" i="2"/>
  <c r="L1808" i="2"/>
  <c r="L1838" i="2"/>
  <c r="L1398" i="2"/>
  <c r="L1035" i="2"/>
  <c r="L869" i="2"/>
  <c r="L741" i="2"/>
  <c r="L1213" i="2"/>
  <c r="L1277" i="2"/>
  <c r="L1341" i="2"/>
  <c r="L1405" i="2"/>
  <c r="L1469" i="2"/>
  <c r="L1533" i="2"/>
  <c r="L1597" i="2"/>
  <c r="L1661" i="2"/>
  <c r="L1725" i="2"/>
  <c r="L1789" i="2"/>
  <c r="L1853" i="2"/>
  <c r="L966" i="2"/>
  <c r="L1030" i="2"/>
  <c r="L1094" i="2"/>
  <c r="L1158" i="2"/>
  <c r="L1260" i="2"/>
  <c r="L1388" i="2"/>
  <c r="L1516" i="2"/>
  <c r="L1644" i="2"/>
  <c r="L1772" i="2"/>
  <c r="L1900" i="2"/>
  <c r="L1674" i="2"/>
  <c r="L1107" i="2"/>
  <c r="L905" i="2"/>
  <c r="L777" i="2"/>
  <c r="L669" i="2"/>
  <c r="L541" i="2"/>
  <c r="L413" i="2"/>
  <c r="L285" i="2"/>
  <c r="L157" i="2"/>
  <c r="L178" i="2"/>
  <c r="L242" i="2"/>
  <c r="L306" i="2"/>
  <c r="L370" i="2"/>
  <c r="L434" i="2"/>
  <c r="L498" i="2"/>
  <c r="L588" i="2"/>
  <c r="L716" i="2"/>
  <c r="L844" i="2"/>
  <c r="L985" i="2"/>
  <c r="L1298" i="2"/>
  <c r="L633" i="2"/>
  <c r="L505" i="2"/>
  <c r="L377" i="2"/>
  <c r="L249" i="2"/>
  <c r="L138" i="2"/>
  <c r="L192" i="2"/>
  <c r="L320" i="2"/>
  <c r="L448" i="2"/>
  <c r="L712" i="2"/>
  <c r="L578" i="2"/>
  <c r="L117" i="2"/>
  <c r="E46" i="2"/>
  <c r="E33" i="2" s="1"/>
  <c r="L1282" i="2"/>
  <c r="L1814" i="2"/>
  <c r="L663" i="2"/>
  <c r="L153" i="2"/>
  <c r="L642" i="2"/>
  <c r="L770" i="2"/>
  <c r="L898" i="2"/>
  <c r="L1173" i="2"/>
  <c r="L981" i="2"/>
  <c r="L696" i="2"/>
  <c r="L760" i="2"/>
  <c r="L824" i="2"/>
  <c r="L888" i="2"/>
  <c r="L952" i="2"/>
  <c r="L1073" i="2"/>
  <c r="L1218" i="2"/>
  <c r="L1538" i="2"/>
  <c r="L1526" i="2"/>
  <c r="L1654" i="2"/>
  <c r="L1782" i="2"/>
  <c r="L1214" i="2"/>
  <c r="L951" i="2"/>
  <c r="L823" i="2"/>
  <c r="L695" i="2"/>
  <c r="L567" i="2"/>
  <c r="L439" i="2"/>
  <c r="L311" i="2"/>
  <c r="L183" i="2"/>
  <c r="L538" i="2"/>
  <c r="L570" i="2"/>
  <c r="L602" i="2"/>
  <c r="L634" i="2"/>
  <c r="L666" i="2"/>
  <c r="L698" i="2"/>
  <c r="L730" i="2"/>
  <c r="L762" i="2"/>
  <c r="L794" i="2"/>
  <c r="L826" i="2"/>
  <c r="L858" i="2"/>
  <c r="L890" i="2"/>
  <c r="L922" i="2"/>
  <c r="L954" i="2"/>
  <c r="L1093" i="2"/>
  <c r="L591" i="2"/>
  <c r="L680" i="2"/>
  <c r="L744" i="2"/>
  <c r="L808" i="2"/>
  <c r="L872" i="2"/>
  <c r="L936" i="2"/>
  <c r="L1041" i="2"/>
  <c r="L1169" i="2"/>
  <c r="L1410" i="2"/>
  <c r="L1462" i="2"/>
  <c r="L1622" i="2"/>
  <c r="L1750" i="2"/>
  <c r="L1342" i="2"/>
  <c r="L1007" i="2"/>
  <c r="L855" i="2"/>
  <c r="L727" i="2"/>
  <c r="L599" i="2"/>
  <c r="L471" i="2"/>
  <c r="L343" i="2"/>
  <c r="L215" i="2"/>
  <c r="L121" i="2"/>
  <c r="L562" i="2"/>
  <c r="L594" i="2"/>
  <c r="L626" i="2"/>
  <c r="L658" i="2"/>
  <c r="L690" i="2"/>
  <c r="L722" i="2"/>
  <c r="L754" i="2"/>
  <c r="L786" i="2"/>
  <c r="L818" i="2"/>
  <c r="L850" i="2"/>
  <c r="L882" i="2"/>
  <c r="L914" i="2"/>
  <c r="L946" i="2"/>
  <c r="L1045" i="2"/>
  <c r="L1438" i="2"/>
  <c r="L504" i="2"/>
  <c r="L536" i="2"/>
  <c r="L600" i="2"/>
  <c r="L664" i="2"/>
  <c r="L728" i="2"/>
  <c r="L792" i="2"/>
  <c r="L856" i="2"/>
  <c r="L920" i="2"/>
  <c r="L1009" i="2"/>
  <c r="L1137" i="2"/>
  <c r="L1346" i="2"/>
  <c r="L1794" i="2"/>
  <c r="L1590" i="2"/>
  <c r="L1718" i="2"/>
  <c r="L1530" i="2"/>
  <c r="L1071" i="2"/>
  <c r="L887" i="2"/>
  <c r="L759" i="2"/>
  <c r="L631" i="2"/>
  <c r="L503" i="2"/>
  <c r="L375" i="2"/>
  <c r="L247" i="2"/>
  <c r="L137" i="2"/>
  <c r="L554" i="2"/>
  <c r="L586" i="2"/>
  <c r="L618" i="2"/>
  <c r="L650" i="2"/>
  <c r="L682" i="2"/>
  <c r="L714" i="2"/>
  <c r="L746" i="2"/>
  <c r="L778" i="2"/>
  <c r="L810" i="2"/>
  <c r="L842" i="2"/>
  <c r="L874" i="2"/>
  <c r="L906" i="2"/>
  <c r="L938" i="2"/>
  <c r="L997" i="2"/>
  <c r="L1322" i="2"/>
  <c r="L1630" i="2"/>
  <c r="L1013" i="2"/>
  <c r="L1109" i="2"/>
  <c r="L1386" i="2"/>
  <c r="L1694" i="2"/>
  <c r="L965" i="2"/>
  <c r="L1029" i="2"/>
  <c r="L1157" i="2"/>
  <c r="L1746" i="2"/>
  <c r="L783" i="2"/>
  <c r="L1119" i="2"/>
  <c r="L271" i="2"/>
  <c r="L1310" i="2"/>
  <c r="L527" i="2"/>
  <c r="L847" i="2"/>
  <c r="L335" i="2"/>
  <c r="L1077" i="2"/>
  <c r="L1141" i="2"/>
  <c r="L1258" i="2"/>
  <c r="L1618" i="2"/>
  <c r="L1566" i="2"/>
  <c r="L1722" i="2"/>
  <c r="L911" i="2"/>
  <c r="L655" i="2"/>
  <c r="L399" i="2"/>
  <c r="L149" i="2"/>
  <c r="L1061" i="2"/>
  <c r="L1125" i="2"/>
  <c r="L1194" i="2"/>
  <c r="L1490" i="2"/>
  <c r="L1502" i="2"/>
  <c r="L1758" i="2"/>
  <c r="L991" i="2"/>
  <c r="L719" i="2"/>
  <c r="L463" i="2"/>
  <c r="L207" i="2"/>
  <c r="L1226" i="2"/>
  <c r="L1290" i="2"/>
  <c r="L1354" i="2"/>
  <c r="L1426" i="2"/>
  <c r="L1554" i="2"/>
  <c r="L1682" i="2"/>
  <c r="L1810" i="2"/>
  <c r="L1470" i="2"/>
  <c r="L1534" i="2"/>
  <c r="L1598" i="2"/>
  <c r="L1662" i="2"/>
  <c r="L1726" i="2"/>
  <c r="L1790" i="2"/>
  <c r="L1466" i="2"/>
  <c r="L1183" i="2"/>
  <c r="L1055" i="2"/>
  <c r="L943" i="2"/>
  <c r="L879" i="2"/>
  <c r="L815" i="2"/>
  <c r="L751" i="2"/>
  <c r="L687" i="2"/>
  <c r="L623" i="2"/>
  <c r="L559" i="2"/>
  <c r="L495" i="2"/>
  <c r="L431" i="2"/>
  <c r="L367" i="2"/>
  <c r="L303" i="2"/>
  <c r="L239" i="2"/>
  <c r="L175" i="2"/>
  <c r="L1754" i="2"/>
  <c r="L133" i="2"/>
  <c r="L159" i="2"/>
  <c r="L191" i="2"/>
  <c r="L223" i="2"/>
  <c r="L255" i="2"/>
  <c r="L287" i="2"/>
  <c r="L319" i="2"/>
  <c r="L351" i="2"/>
  <c r="L383" i="2"/>
  <c r="L415" i="2"/>
  <c r="L447" i="2"/>
  <c r="L479" i="2"/>
  <c r="L511" i="2"/>
  <c r="L543" i="2"/>
  <c r="L575" i="2"/>
  <c r="L607" i="2"/>
  <c r="L639" i="2"/>
  <c r="L671" i="2"/>
  <c r="L703" i="2"/>
  <c r="L735" i="2"/>
  <c r="L767" i="2"/>
  <c r="L799" i="2"/>
  <c r="L831" i="2"/>
  <c r="L863" i="2"/>
  <c r="L895" i="2"/>
  <c r="L927" i="2"/>
  <c r="L959" i="2"/>
  <c r="L1023" i="2"/>
  <c r="L1087" i="2"/>
  <c r="L1151" i="2"/>
  <c r="L1246" i="2"/>
  <c r="L1374" i="2"/>
  <c r="L1594" i="2"/>
  <c r="L1806" i="2"/>
  <c r="L1774" i="2"/>
  <c r="L1742" i="2"/>
  <c r="L1710" i="2"/>
  <c r="L1678" i="2"/>
  <c r="L1646" i="2"/>
  <c r="L1614" i="2"/>
  <c r="L1582" i="2"/>
  <c r="L1550" i="2"/>
  <c r="L1518" i="2"/>
  <c r="L1486" i="2"/>
  <c r="L1454" i="2"/>
  <c r="L1422" i="2"/>
  <c r="L1778" i="2"/>
  <c r="L1714" i="2"/>
  <c r="L1650" i="2"/>
  <c r="L1586" i="2"/>
  <c r="L1522" i="2"/>
  <c r="L1458" i="2"/>
  <c r="L1402" i="2"/>
  <c r="L1370" i="2"/>
  <c r="L1338" i="2"/>
  <c r="L1306" i="2"/>
  <c r="L1274" i="2"/>
  <c r="L1242" i="2"/>
  <c r="L1210" i="2"/>
  <c r="L1181" i="2"/>
  <c r="L1165" i="2"/>
  <c r="L1149" i="2"/>
  <c r="L1133" i="2"/>
  <c r="L1117" i="2"/>
  <c r="L1101" i="2"/>
  <c r="L1085" i="2"/>
  <c r="L1069" i="2"/>
  <c r="L1053" i="2"/>
  <c r="L1037" i="2"/>
  <c r="L1021" i="2"/>
  <c r="L1005" i="2"/>
  <c r="L989" i="2"/>
  <c r="L973" i="2"/>
  <c r="L958" i="2"/>
  <c r="L950" i="2"/>
  <c r="L942" i="2"/>
  <c r="L934" i="2"/>
  <c r="L926" i="2"/>
  <c r="L918" i="2"/>
  <c r="L910" i="2"/>
  <c r="L902" i="2"/>
  <c r="L894" i="2"/>
  <c r="L886" i="2"/>
  <c r="L878" i="2"/>
  <c r="L870" i="2"/>
  <c r="L862" i="2"/>
  <c r="L854" i="2"/>
  <c r="L846" i="2"/>
  <c r="L838" i="2"/>
  <c r="L830" i="2"/>
  <c r="L822" i="2"/>
  <c r="L814" i="2"/>
  <c r="L806" i="2"/>
  <c r="L798" i="2"/>
  <c r="L790" i="2"/>
  <c r="L782" i="2"/>
  <c r="L774" i="2"/>
  <c r="L766" i="2"/>
  <c r="L758" i="2"/>
  <c r="L750" i="2"/>
  <c r="L742" i="2"/>
  <c r="L734" i="2"/>
  <c r="L726" i="2"/>
  <c r="L718" i="2"/>
  <c r="L710" i="2"/>
  <c r="L702" i="2"/>
  <c r="L694" i="2"/>
  <c r="L686" i="2"/>
  <c r="L678" i="2"/>
  <c r="L670" i="2"/>
  <c r="L662" i="2"/>
  <c r="L654" i="2"/>
  <c r="L646" i="2"/>
  <c r="L638" i="2"/>
  <c r="L630" i="2"/>
  <c r="L622" i="2"/>
  <c r="L614" i="2"/>
  <c r="L606" i="2"/>
  <c r="L598" i="2"/>
  <c r="L590" i="2"/>
  <c r="L582" i="2"/>
  <c r="L574" i="2"/>
  <c r="L566" i="2"/>
  <c r="L558" i="2"/>
  <c r="L550" i="2"/>
  <c r="L542" i="2"/>
  <c r="L113" i="2"/>
  <c r="L129" i="2"/>
  <c r="L145" i="2"/>
  <c r="L167" i="2"/>
  <c r="L199" i="2"/>
  <c r="L231" i="2"/>
  <c r="L263" i="2"/>
  <c r="L295" i="2"/>
  <c r="L327" i="2"/>
  <c r="L359" i="2"/>
  <c r="L391" i="2"/>
  <c r="L423" i="2"/>
  <c r="L455" i="2"/>
  <c r="L487" i="2"/>
  <c r="L519" i="2"/>
  <c r="L551" i="2"/>
  <c r="L583" i="2"/>
  <c r="L615" i="2"/>
  <c r="L647" i="2"/>
  <c r="L679" i="2"/>
  <c r="L711" i="2"/>
  <c r="L743" i="2"/>
  <c r="L775" i="2"/>
  <c r="L807" i="2"/>
  <c r="L839" i="2"/>
  <c r="L871" i="2"/>
  <c r="L903" i="2"/>
  <c r="L935" i="2"/>
  <c r="L975" i="2"/>
  <c r="L1039" i="2"/>
  <c r="L1103" i="2"/>
  <c r="L1167" i="2"/>
  <c r="L1278" i="2"/>
  <c r="L1406" i="2"/>
  <c r="L1658" i="2"/>
  <c r="L1798" i="2"/>
  <c r="L1766" i="2"/>
  <c r="L1734" i="2"/>
  <c r="L1702" i="2"/>
  <c r="L1670" i="2"/>
  <c r="L1638" i="2"/>
  <c r="L1606" i="2"/>
  <c r="L1574" i="2"/>
  <c r="L1542" i="2"/>
  <c r="L1494" i="2"/>
  <c r="L1430" i="2"/>
  <c r="L1730" i="2"/>
  <c r="L1602" i="2"/>
  <c r="L1474" i="2"/>
  <c r="L1378" i="2"/>
  <c r="L1314" i="2"/>
  <c r="L1250" i="2"/>
  <c r="L1186" i="2"/>
  <c r="L1153" i="2"/>
  <c r="L1121" i="2"/>
  <c r="L1089" i="2"/>
  <c r="L1057" i="2"/>
  <c r="L1025" i="2"/>
  <c r="L993" i="2"/>
  <c r="L961" i="2"/>
  <c r="L944" i="2"/>
  <c r="L928" i="2"/>
  <c r="L912" i="2"/>
  <c r="L896" i="2"/>
  <c r="L880" i="2"/>
  <c r="L864" i="2"/>
  <c r="L848" i="2"/>
  <c r="L832" i="2"/>
  <c r="L816" i="2"/>
  <c r="L800" i="2"/>
  <c r="L784" i="2"/>
  <c r="L768" i="2"/>
  <c r="L752" i="2"/>
  <c r="L736" i="2"/>
  <c r="L720" i="2"/>
  <c r="L704" i="2"/>
  <c r="L688" i="2"/>
  <c r="L672" i="2"/>
  <c r="L656" i="2"/>
  <c r="L640" i="2"/>
  <c r="L624" i="2"/>
  <c r="L608" i="2"/>
  <c r="L592" i="2"/>
  <c r="L576" i="2"/>
  <c r="L560" i="2"/>
  <c r="L544" i="2"/>
  <c r="L532" i="2"/>
  <c r="L524" i="2"/>
  <c r="L516" i="2"/>
  <c r="L508" i="2"/>
  <c r="L500" i="2"/>
  <c r="L492" i="2"/>
  <c r="L484" i="2"/>
  <c r="L476" i="2"/>
  <c r="L468" i="2"/>
  <c r="L460" i="2"/>
  <c r="L452" i="2"/>
  <c r="L444" i="2"/>
  <c r="L436" i="2"/>
  <c r="L428" i="2"/>
  <c r="L420" i="2"/>
  <c r="L412" i="2"/>
  <c r="L404" i="2"/>
  <c r="L396" i="2"/>
  <c r="L388" i="2"/>
  <c r="L380" i="2"/>
  <c r="L372" i="2"/>
  <c r="L364" i="2"/>
  <c r="L356" i="2"/>
  <c r="L348" i="2"/>
  <c r="L340" i="2"/>
  <c r="L332" i="2"/>
  <c r="L324" i="2"/>
  <c r="L316" i="2"/>
  <c r="L308" i="2"/>
  <c r="L300" i="2"/>
  <c r="L292" i="2"/>
  <c r="L284" i="2"/>
  <c r="L276" i="2"/>
  <c r="L268" i="2"/>
  <c r="L260" i="2"/>
  <c r="L252" i="2"/>
  <c r="L244" i="2"/>
  <c r="L236" i="2"/>
  <c r="L228" i="2"/>
  <c r="L220" i="2"/>
  <c r="L212" i="2"/>
  <c r="L204" i="2"/>
  <c r="L196" i="2"/>
  <c r="L141" i="2"/>
  <c r="L125" i="2"/>
  <c r="L1498" i="2"/>
  <c r="L1198" i="2"/>
  <c r="L1031" i="2"/>
  <c r="L899" i="2"/>
  <c r="L771" i="2"/>
  <c r="L627" i="2"/>
  <c r="L499" i="2"/>
  <c r="L387" i="2"/>
  <c r="L243" i="2"/>
  <c r="L135" i="2"/>
  <c r="L915" i="2"/>
  <c r="L787" i="2"/>
  <c r="L659" i="2"/>
  <c r="L547" i="2"/>
  <c r="L403" i="2"/>
  <c r="L291" i="2"/>
  <c r="L163" i="2"/>
  <c r="L1294" i="2"/>
  <c r="L983" i="2"/>
  <c r="L843" i="2"/>
  <c r="L715" i="2"/>
  <c r="L587" i="2"/>
  <c r="L459" i="2"/>
  <c r="L331" i="2"/>
  <c r="L203" i="2"/>
  <c r="L115" i="2"/>
  <c r="L1230" i="2"/>
  <c r="L955" i="2"/>
  <c r="L827" i="2"/>
  <c r="L699" i="2"/>
  <c r="L571" i="2"/>
  <c r="L443" i="2"/>
  <c r="L315" i="2"/>
  <c r="L187" i="2"/>
  <c r="L1786" i="2"/>
  <c r="L1626" i="2"/>
  <c r="L1390" i="2"/>
  <c r="L1262" i="2"/>
  <c r="L1159" i="2"/>
  <c r="L1095" i="2"/>
  <c r="L999" i="2"/>
  <c r="L931" i="2"/>
  <c r="L867" i="2"/>
  <c r="L803" i="2"/>
  <c r="L739" i="2"/>
  <c r="L675" i="2"/>
  <c r="L595" i="2"/>
  <c r="L531" i="2"/>
  <c r="L467" i="2"/>
  <c r="L419" i="2"/>
  <c r="L339" i="2"/>
  <c r="L275" i="2"/>
  <c r="L211" i="2"/>
  <c r="L151" i="2"/>
  <c r="L119" i="2"/>
  <c r="L967" i="2"/>
  <c r="L883" i="2"/>
  <c r="L819" i="2"/>
  <c r="L755" i="2"/>
  <c r="L691" i="2"/>
  <c r="L643" i="2"/>
  <c r="L579" i="2"/>
  <c r="L515" i="2"/>
  <c r="L435" i="2"/>
  <c r="L371" i="2"/>
  <c r="L323" i="2"/>
  <c r="L259" i="2"/>
  <c r="L195" i="2"/>
  <c r="L143" i="2"/>
  <c r="L1434" i="2"/>
  <c r="L1175" i="2"/>
  <c r="L1047" i="2"/>
  <c r="L939" i="2"/>
  <c r="L875" i="2"/>
  <c r="L811" i="2"/>
  <c r="L747" i="2"/>
  <c r="L683" i="2"/>
  <c r="L619" i="2"/>
  <c r="L555" i="2"/>
  <c r="L491" i="2"/>
  <c r="L427" i="2"/>
  <c r="L363" i="2"/>
  <c r="L299" i="2"/>
  <c r="L235" i="2"/>
  <c r="L171" i="2"/>
  <c r="L131" i="2"/>
  <c r="L1690" i="2"/>
  <c r="L1358" i="2"/>
  <c r="L1143" i="2"/>
  <c r="L1015" i="2"/>
  <c r="L923" i="2"/>
  <c r="L859" i="2"/>
  <c r="L795" i="2"/>
  <c r="L731" i="2"/>
  <c r="L667" i="2"/>
  <c r="L603" i="2"/>
  <c r="L539" i="2"/>
  <c r="L475" i="2"/>
  <c r="L411" i="2"/>
  <c r="L347" i="2"/>
  <c r="L283" i="2"/>
  <c r="L219" i="2"/>
  <c r="L155" i="2"/>
  <c r="L123" i="2"/>
  <c r="L1326" i="2"/>
  <c r="L1127" i="2"/>
  <c r="L947" i="2"/>
  <c r="L835" i="2"/>
  <c r="L707" i="2"/>
  <c r="L563" i="2"/>
  <c r="L451" i="2"/>
  <c r="L307" i="2"/>
  <c r="L179" i="2"/>
  <c r="L1063" i="2"/>
  <c r="L851" i="2"/>
  <c r="L723" i="2"/>
  <c r="L611" i="2"/>
  <c r="L483" i="2"/>
  <c r="L355" i="2"/>
  <c r="L227" i="2"/>
  <c r="L127" i="2"/>
  <c r="L1111" i="2"/>
  <c r="L907" i="2"/>
  <c r="L779" i="2"/>
  <c r="L651" i="2"/>
  <c r="L523" i="2"/>
  <c r="L395" i="2"/>
  <c r="L267" i="2"/>
  <c r="L147" i="2"/>
  <c r="L1562" i="2"/>
  <c r="L1079" i="2"/>
  <c r="L891" i="2"/>
  <c r="L763" i="2"/>
  <c r="L635" i="2"/>
  <c r="L507" i="2"/>
  <c r="L379" i="2"/>
  <c r="L251" i="2"/>
  <c r="L139" i="2"/>
  <c r="N30" i="1"/>
  <c r="O29" i="1" s="1"/>
  <c r="O28" i="1"/>
  <c r="O28" i="4" l="1"/>
  <c r="N28" i="5"/>
  <c r="N29" i="5" s="1"/>
  <c r="F33" i="2"/>
  <c r="I33" i="2" s="1"/>
  <c r="G33" i="2"/>
  <c r="N31" i="4"/>
  <c r="N31" i="1"/>
  <c r="O30" i="1" s="1"/>
  <c r="O29" i="4"/>
  <c r="O27" i="5" l="1"/>
  <c r="O28" i="5"/>
  <c r="N30" i="5"/>
  <c r="N31" i="5" s="1"/>
  <c r="N32" i="5" s="1"/>
  <c r="O31" i="5" s="1"/>
  <c r="N32" i="4"/>
  <c r="O31" i="4" s="1"/>
  <c r="N32" i="1"/>
  <c r="O31" i="1" s="1"/>
  <c r="O30" i="4"/>
  <c r="O29" i="5" l="1"/>
  <c r="O30" i="5"/>
  <c r="N33" i="1"/>
  <c r="N33" i="4"/>
  <c r="O32" i="4" s="1"/>
  <c r="N33" i="5"/>
  <c r="O32" i="5" s="1"/>
  <c r="N34" i="1" l="1"/>
  <c r="N34" i="5"/>
  <c r="N34" i="4"/>
  <c r="O32" i="1"/>
  <c r="O33" i="4" l="1"/>
  <c r="O33" i="1"/>
  <c r="O33" i="5"/>
  <c r="N35" i="4"/>
  <c r="O34" i="4" s="1"/>
  <c r="N35" i="1"/>
  <c r="N35" i="5"/>
  <c r="N36" i="5" l="1"/>
  <c r="O35" i="5" s="1"/>
  <c r="N36" i="1"/>
  <c r="O35" i="1" s="1"/>
  <c r="O34" i="5"/>
  <c r="O34" i="1"/>
  <c r="N36" i="4"/>
  <c r="O35" i="4" s="1"/>
  <c r="N37" i="4" l="1"/>
  <c r="O36" i="4" s="1"/>
  <c r="N37" i="5"/>
  <c r="O36" i="5" s="1"/>
  <c r="N37" i="1"/>
  <c r="N38" i="1" l="1"/>
  <c r="O37" i="1" s="1"/>
  <c r="O36" i="1"/>
  <c r="N38" i="5"/>
  <c r="N38" i="4"/>
  <c r="O37" i="4" s="1"/>
  <c r="N39" i="1" l="1"/>
  <c r="O38" i="1" s="1"/>
  <c r="N39" i="5"/>
  <c r="O38" i="5" s="1"/>
  <c r="N39" i="4"/>
  <c r="O38" i="4" s="1"/>
  <c r="O37" i="5"/>
  <c r="N40" i="1" l="1"/>
  <c r="O39" i="1" s="1"/>
  <c r="N40" i="4"/>
  <c r="O39" i="4" s="1"/>
  <c r="N40" i="5"/>
  <c r="O39" i="5" s="1"/>
  <c r="N41" i="5" l="1"/>
  <c r="O40" i="5" s="1"/>
  <c r="N41" i="4"/>
  <c r="O40" i="4" s="1"/>
  <c r="N41" i="1"/>
  <c r="N42" i="1" l="1"/>
  <c r="O41" i="1" s="1"/>
  <c r="N42" i="4"/>
  <c r="O41" i="4" s="1"/>
  <c r="N42" i="5"/>
  <c r="O40" i="1"/>
  <c r="N43" i="5" l="1"/>
  <c r="O42" i="5" s="1"/>
  <c r="N43" i="4"/>
  <c r="O42" i="4" s="1"/>
  <c r="N43" i="1"/>
  <c r="O42" i="1" s="1"/>
  <c r="O41" i="5"/>
  <c r="N44" i="1" l="1"/>
  <c r="O43" i="1" s="1"/>
  <c r="N44" i="4"/>
  <c r="N44" i="5"/>
  <c r="O43" i="5" s="1"/>
  <c r="N45" i="4" l="1"/>
  <c r="O45" i="4" s="1"/>
  <c r="E30" i="4" s="1"/>
  <c r="O43" i="4"/>
  <c r="N45" i="5"/>
  <c r="O45" i="5" s="1"/>
  <c r="E30" i="5" s="1"/>
  <c r="N45" i="1"/>
  <c r="O45" i="1" s="1"/>
  <c r="E30" i="1" s="1"/>
  <c r="O44" i="1" l="1"/>
  <c r="P30" i="1"/>
  <c r="G28" i="1"/>
  <c r="O44" i="5"/>
  <c r="O44" i="4"/>
  <c r="P30" i="5"/>
  <c r="G28" i="5"/>
  <c r="G28" i="4"/>
  <c r="P30" i="4"/>
  <c r="P18" i="2" l="1"/>
  <c r="F18" i="2" l="1"/>
  <c r="P19" i="2"/>
  <c r="T43" i="2" l="1"/>
  <c r="T45" i="2"/>
  <c r="T47" i="2"/>
  <c r="T42" i="2"/>
  <c r="B34" i="2" s="1"/>
  <c r="T44" i="2"/>
  <c r="T46" i="2"/>
  <c r="P20" i="2"/>
  <c r="D47" i="2" l="1"/>
  <c r="E47" i="2" s="1"/>
  <c r="D34" i="2"/>
  <c r="H34" i="2"/>
  <c r="N114" i="2" l="1"/>
  <c r="N116" i="2"/>
  <c r="N118" i="2"/>
  <c r="N120" i="2"/>
  <c r="N122" i="2"/>
  <c r="N124" i="2"/>
  <c r="N126" i="2"/>
  <c r="N128" i="2"/>
  <c r="N130" i="2"/>
  <c r="N132" i="2"/>
  <c r="N134" i="2"/>
  <c r="N136" i="2"/>
  <c r="N138" i="2"/>
  <c r="N140" i="2"/>
  <c r="N142" i="2"/>
  <c r="N144" i="2"/>
  <c r="N146" i="2"/>
  <c r="N148" i="2"/>
  <c r="N150" i="2"/>
  <c r="N152" i="2"/>
  <c r="N154" i="2"/>
  <c r="N156" i="2"/>
  <c r="N158" i="2"/>
  <c r="N160" i="2"/>
  <c r="N162" i="2"/>
  <c r="N164" i="2"/>
  <c r="N166" i="2"/>
  <c r="N168" i="2"/>
  <c r="N170" i="2"/>
  <c r="N172" i="2"/>
  <c r="N174" i="2"/>
  <c r="N176" i="2"/>
  <c r="N178" i="2"/>
  <c r="N180" i="2"/>
  <c r="N182" i="2"/>
  <c r="N184" i="2"/>
  <c r="N186" i="2"/>
  <c r="N188" i="2"/>
  <c r="N190" i="2"/>
  <c r="N192" i="2"/>
  <c r="N194" i="2"/>
  <c r="N196" i="2"/>
  <c r="N198" i="2"/>
  <c r="N200" i="2"/>
  <c r="N202" i="2"/>
  <c r="N204" i="2"/>
  <c r="N206" i="2"/>
  <c r="N208" i="2"/>
  <c r="N210" i="2"/>
  <c r="N212" i="2"/>
  <c r="N214" i="2"/>
  <c r="N216" i="2"/>
  <c r="N218" i="2"/>
  <c r="N220" i="2"/>
  <c r="N222" i="2"/>
  <c r="N224" i="2"/>
  <c r="N226" i="2"/>
  <c r="N228" i="2"/>
  <c r="N230" i="2"/>
  <c r="N232" i="2"/>
  <c r="N234" i="2"/>
  <c r="N236" i="2"/>
  <c r="N238" i="2"/>
  <c r="N240" i="2"/>
  <c r="N242" i="2"/>
  <c r="N244" i="2"/>
  <c r="N246" i="2"/>
  <c r="N248" i="2"/>
  <c r="N250" i="2"/>
  <c r="N252" i="2"/>
  <c r="N254" i="2"/>
  <c r="N256" i="2"/>
  <c r="N258" i="2"/>
  <c r="N260" i="2"/>
  <c r="N113" i="2"/>
  <c r="N115" i="2"/>
  <c r="N117" i="2"/>
  <c r="N119" i="2"/>
  <c r="N121" i="2"/>
  <c r="N123" i="2"/>
  <c r="N125" i="2"/>
  <c r="N127" i="2"/>
  <c r="N129" i="2"/>
  <c r="N131" i="2"/>
  <c r="N133" i="2"/>
  <c r="N135" i="2"/>
  <c r="N137" i="2"/>
  <c r="N139" i="2"/>
  <c r="N141" i="2"/>
  <c r="N143" i="2"/>
  <c r="N145" i="2"/>
  <c r="N147" i="2"/>
  <c r="N149" i="2"/>
  <c r="N151" i="2"/>
  <c r="N153" i="2"/>
  <c r="N155" i="2"/>
  <c r="N157" i="2"/>
  <c r="N159" i="2"/>
  <c r="N161" i="2"/>
  <c r="N163" i="2"/>
  <c r="N165" i="2"/>
  <c r="N167" i="2"/>
  <c r="N169" i="2"/>
  <c r="N171" i="2"/>
  <c r="N173" i="2"/>
  <c r="N175" i="2"/>
  <c r="N177" i="2"/>
  <c r="N179" i="2"/>
  <c r="N181" i="2"/>
  <c r="N183" i="2"/>
  <c r="N185" i="2"/>
  <c r="N187" i="2"/>
  <c r="N189" i="2"/>
  <c r="N191" i="2"/>
  <c r="N193" i="2"/>
  <c r="N195" i="2"/>
  <c r="N197" i="2"/>
  <c r="N199" i="2"/>
  <c r="N201" i="2"/>
  <c r="N203" i="2"/>
  <c r="N205" i="2"/>
  <c r="N207" i="2"/>
  <c r="N209" i="2"/>
  <c r="N211" i="2"/>
  <c r="N213" i="2"/>
  <c r="N215" i="2"/>
  <c r="N217" i="2"/>
  <c r="N219" i="2"/>
  <c r="N221" i="2"/>
  <c r="N223" i="2"/>
  <c r="N225" i="2"/>
  <c r="N227" i="2"/>
  <c r="N229" i="2"/>
  <c r="N231" i="2"/>
  <c r="N233" i="2"/>
  <c r="N235" i="2"/>
  <c r="N237" i="2"/>
  <c r="N239" i="2"/>
  <c r="N241" i="2"/>
  <c r="N243" i="2"/>
  <c r="N245" i="2"/>
  <c r="N247" i="2"/>
  <c r="N249" i="2"/>
  <c r="N251" i="2"/>
  <c r="N253" i="2"/>
  <c r="N255" i="2"/>
  <c r="N257" i="2"/>
  <c r="N259" i="2"/>
  <c r="N261" i="2"/>
  <c r="N262" i="2"/>
  <c r="N263" i="2"/>
  <c r="N265" i="2"/>
  <c r="N267" i="2"/>
  <c r="N269" i="2"/>
  <c r="N271" i="2"/>
  <c r="N273" i="2"/>
  <c r="N275" i="2"/>
  <c r="N277" i="2"/>
  <c r="N279" i="2"/>
  <c r="N281" i="2"/>
  <c r="N283" i="2"/>
  <c r="N285" i="2"/>
  <c r="N287" i="2"/>
  <c r="N289" i="2"/>
  <c r="N291" i="2"/>
  <c r="N293" i="2"/>
  <c r="N295" i="2"/>
  <c r="N297" i="2"/>
  <c r="N299" i="2"/>
  <c r="N301" i="2"/>
  <c r="N303" i="2"/>
  <c r="N305" i="2"/>
  <c r="N307" i="2"/>
  <c r="N309" i="2"/>
  <c r="N311" i="2"/>
  <c r="N313" i="2"/>
  <c r="N315" i="2"/>
  <c r="N317" i="2"/>
  <c r="N319" i="2"/>
  <c r="N321" i="2"/>
  <c r="N323" i="2"/>
  <c r="N325" i="2"/>
  <c r="N327" i="2"/>
  <c r="N329" i="2"/>
  <c r="N331" i="2"/>
  <c r="N333" i="2"/>
  <c r="N335" i="2"/>
  <c r="N337" i="2"/>
  <c r="N339" i="2"/>
  <c r="N341" i="2"/>
  <c r="N343" i="2"/>
  <c r="N345" i="2"/>
  <c r="N347" i="2"/>
  <c r="N349" i="2"/>
  <c r="N351" i="2"/>
  <c r="N353" i="2"/>
  <c r="N355" i="2"/>
  <c r="N357" i="2"/>
  <c r="N359" i="2"/>
  <c r="N361" i="2"/>
  <c r="N363" i="2"/>
  <c r="N365" i="2"/>
  <c r="N367" i="2"/>
  <c r="N369" i="2"/>
  <c r="N371" i="2"/>
  <c r="N373" i="2"/>
  <c r="N375" i="2"/>
  <c r="N377" i="2"/>
  <c r="N379" i="2"/>
  <c r="N381" i="2"/>
  <c r="N383" i="2"/>
  <c r="N385" i="2"/>
  <c r="N387" i="2"/>
  <c r="N389" i="2"/>
  <c r="N391" i="2"/>
  <c r="N393" i="2"/>
  <c r="N395" i="2"/>
  <c r="N397" i="2"/>
  <c r="N399" i="2"/>
  <c r="N401" i="2"/>
  <c r="N403" i="2"/>
  <c r="N405" i="2"/>
  <c r="N407" i="2"/>
  <c r="N409" i="2"/>
  <c r="N411" i="2"/>
  <c r="N413" i="2"/>
  <c r="N415" i="2"/>
  <c r="N417" i="2"/>
  <c r="N419" i="2"/>
  <c r="N421" i="2"/>
  <c r="N423" i="2"/>
  <c r="N425" i="2"/>
  <c r="N427" i="2"/>
  <c r="N429" i="2"/>
  <c r="N431" i="2"/>
  <c r="N264" i="2"/>
  <c r="N266" i="2"/>
  <c r="N268" i="2"/>
  <c r="N270" i="2"/>
  <c r="N272" i="2"/>
  <c r="N274" i="2"/>
  <c r="N276" i="2"/>
  <c r="N278" i="2"/>
  <c r="N280" i="2"/>
  <c r="N282" i="2"/>
  <c r="N284" i="2"/>
  <c r="N286" i="2"/>
  <c r="N288" i="2"/>
  <c r="N290" i="2"/>
  <c r="N292" i="2"/>
  <c r="N294" i="2"/>
  <c r="N296" i="2"/>
  <c r="N298" i="2"/>
  <c r="N300" i="2"/>
  <c r="N302" i="2"/>
  <c r="N304" i="2"/>
  <c r="N306" i="2"/>
  <c r="N308" i="2"/>
  <c r="N310" i="2"/>
  <c r="N312" i="2"/>
  <c r="N314" i="2"/>
  <c r="N316" i="2"/>
  <c r="N318" i="2"/>
  <c r="N320" i="2"/>
  <c r="N322" i="2"/>
  <c r="N324" i="2"/>
  <c r="N326" i="2"/>
  <c r="N328" i="2"/>
  <c r="N330" i="2"/>
  <c r="N332" i="2"/>
  <c r="N334" i="2"/>
  <c r="N336" i="2"/>
  <c r="N338" i="2"/>
  <c r="N340" i="2"/>
  <c r="N342" i="2"/>
  <c r="N344" i="2"/>
  <c r="N346" i="2"/>
  <c r="N348" i="2"/>
  <c r="N350" i="2"/>
  <c r="N352" i="2"/>
  <c r="N354" i="2"/>
  <c r="N356" i="2"/>
  <c r="N358" i="2"/>
  <c r="N360" i="2"/>
  <c r="N362" i="2"/>
  <c r="N364" i="2"/>
  <c r="N366" i="2"/>
  <c r="N368" i="2"/>
  <c r="N370" i="2"/>
  <c r="N372" i="2"/>
  <c r="N374" i="2"/>
  <c r="N376" i="2"/>
  <c r="N378" i="2"/>
  <c r="N380" i="2"/>
  <c r="N382" i="2"/>
  <c r="N384" i="2"/>
  <c r="N386" i="2"/>
  <c r="N388" i="2"/>
  <c r="N390" i="2"/>
  <c r="N392" i="2"/>
  <c r="N394" i="2"/>
  <c r="N396" i="2"/>
  <c r="N398" i="2"/>
  <c r="N400" i="2"/>
  <c r="N402" i="2"/>
  <c r="N404" i="2"/>
  <c r="N406" i="2"/>
  <c r="N408" i="2"/>
  <c r="N410" i="2"/>
  <c r="N412" i="2"/>
  <c r="N414" i="2"/>
  <c r="N416" i="2"/>
  <c r="N418" i="2"/>
  <c r="N420" i="2"/>
  <c r="N422" i="2"/>
  <c r="N424" i="2"/>
  <c r="N426" i="2"/>
  <c r="N428" i="2"/>
  <c r="N430" i="2"/>
  <c r="N433" i="2"/>
  <c r="N435" i="2"/>
  <c r="N437" i="2"/>
  <c r="N439" i="2"/>
  <c r="N441" i="2"/>
  <c r="N443" i="2"/>
  <c r="N445" i="2"/>
  <c r="N447" i="2"/>
  <c r="N449" i="2"/>
  <c r="N451" i="2"/>
  <c r="N453" i="2"/>
  <c r="N455" i="2"/>
  <c r="N457" i="2"/>
  <c r="N459" i="2"/>
  <c r="N461" i="2"/>
  <c r="N463" i="2"/>
  <c r="N465" i="2"/>
  <c r="N467" i="2"/>
  <c r="N469" i="2"/>
  <c r="N471" i="2"/>
  <c r="N473" i="2"/>
  <c r="N475" i="2"/>
  <c r="N477" i="2"/>
  <c r="N479" i="2"/>
  <c r="N481" i="2"/>
  <c r="N483" i="2"/>
  <c r="N485" i="2"/>
  <c r="N487" i="2"/>
  <c r="N489" i="2"/>
  <c r="N491" i="2"/>
  <c r="N493" i="2"/>
  <c r="N495" i="2"/>
  <c r="N497" i="2"/>
  <c r="N499" i="2"/>
  <c r="N501" i="2"/>
  <c r="N503" i="2"/>
  <c r="N505" i="2"/>
  <c r="N507" i="2"/>
  <c r="N509" i="2"/>
  <c r="N511" i="2"/>
  <c r="N513" i="2"/>
  <c r="N515" i="2"/>
  <c r="N517" i="2"/>
  <c r="N519" i="2"/>
  <c r="N521" i="2"/>
  <c r="N523" i="2"/>
  <c r="N525" i="2"/>
  <c r="N527" i="2"/>
  <c r="N529" i="2"/>
  <c r="N531" i="2"/>
  <c r="N533" i="2"/>
  <c r="N535" i="2"/>
  <c r="N537" i="2"/>
  <c r="N539" i="2"/>
  <c r="N541" i="2"/>
  <c r="N543" i="2"/>
  <c r="N545" i="2"/>
  <c r="N547" i="2"/>
  <c r="N549" i="2"/>
  <c r="N551" i="2"/>
  <c r="N553" i="2"/>
  <c r="N555" i="2"/>
  <c r="N557" i="2"/>
  <c r="N559" i="2"/>
  <c r="N561" i="2"/>
  <c r="N563" i="2"/>
  <c r="N565" i="2"/>
  <c r="N567" i="2"/>
  <c r="N569" i="2"/>
  <c r="N571" i="2"/>
  <c r="N573" i="2"/>
  <c r="N575" i="2"/>
  <c r="N577" i="2"/>
  <c r="N579" i="2"/>
  <c r="N581" i="2"/>
  <c r="N583" i="2"/>
  <c r="N585" i="2"/>
  <c r="N587" i="2"/>
  <c r="N589" i="2"/>
  <c r="N591" i="2"/>
  <c r="N593" i="2"/>
  <c r="N595" i="2"/>
  <c r="N597" i="2"/>
  <c r="N599" i="2"/>
  <c r="N601" i="2"/>
  <c r="N603" i="2"/>
  <c r="N605" i="2"/>
  <c r="N607" i="2"/>
  <c r="N609" i="2"/>
  <c r="N611" i="2"/>
  <c r="N613" i="2"/>
  <c r="N615" i="2"/>
  <c r="N617" i="2"/>
  <c r="N619" i="2"/>
  <c r="N621" i="2"/>
  <c r="N623" i="2"/>
  <c r="N625" i="2"/>
  <c r="N627" i="2"/>
  <c r="N629" i="2"/>
  <c r="N631" i="2"/>
  <c r="N633" i="2"/>
  <c r="N635" i="2"/>
  <c r="N637" i="2"/>
  <c r="N639" i="2"/>
  <c r="N641" i="2"/>
  <c r="N643" i="2"/>
  <c r="N645" i="2"/>
  <c r="N647" i="2"/>
  <c r="N649" i="2"/>
  <c r="N651" i="2"/>
  <c r="N653" i="2"/>
  <c r="N655" i="2"/>
  <c r="N657" i="2"/>
  <c r="N659" i="2"/>
  <c r="N661" i="2"/>
  <c r="N663" i="2"/>
  <c r="N665" i="2"/>
  <c r="N667" i="2"/>
  <c r="N669" i="2"/>
  <c r="N671" i="2"/>
  <c r="N673" i="2"/>
  <c r="N675" i="2"/>
  <c r="N677" i="2"/>
  <c r="N679" i="2"/>
  <c r="N681" i="2"/>
  <c r="N683" i="2"/>
  <c r="N685" i="2"/>
  <c r="N687" i="2"/>
  <c r="N689" i="2"/>
  <c r="N691" i="2"/>
  <c r="N693" i="2"/>
  <c r="N695" i="2"/>
  <c r="N697" i="2"/>
  <c r="N699" i="2"/>
  <c r="N701" i="2"/>
  <c r="N703" i="2"/>
  <c r="N705" i="2"/>
  <c r="N707" i="2"/>
  <c r="N709" i="2"/>
  <c r="N711" i="2"/>
  <c r="N713" i="2"/>
  <c r="N715" i="2"/>
  <c r="N717" i="2"/>
  <c r="N719" i="2"/>
  <c r="N721" i="2"/>
  <c r="N723" i="2"/>
  <c r="N725" i="2"/>
  <c r="N727" i="2"/>
  <c r="N729" i="2"/>
  <c r="N731" i="2"/>
  <c r="N733" i="2"/>
  <c r="N735" i="2"/>
  <c r="N737" i="2"/>
  <c r="N739" i="2"/>
  <c r="N741" i="2"/>
  <c r="N743" i="2"/>
  <c r="N745" i="2"/>
  <c r="N747" i="2"/>
  <c r="N749" i="2"/>
  <c r="N751" i="2"/>
  <c r="N753" i="2"/>
  <c r="N755" i="2"/>
  <c r="N757" i="2"/>
  <c r="N759" i="2"/>
  <c r="N761" i="2"/>
  <c r="N763" i="2"/>
  <c r="N765" i="2"/>
  <c r="N767" i="2"/>
  <c r="N769" i="2"/>
  <c r="N432" i="2"/>
  <c r="N434" i="2"/>
  <c r="N436" i="2"/>
  <c r="N438" i="2"/>
  <c r="N440" i="2"/>
  <c r="N442" i="2"/>
  <c r="N444" i="2"/>
  <c r="N446" i="2"/>
  <c r="N448" i="2"/>
  <c r="N450" i="2"/>
  <c r="N452" i="2"/>
  <c r="N454" i="2"/>
  <c r="N456" i="2"/>
  <c r="N458" i="2"/>
  <c r="N460" i="2"/>
  <c r="N462" i="2"/>
  <c r="N464" i="2"/>
  <c r="N466" i="2"/>
  <c r="N468" i="2"/>
  <c r="N470" i="2"/>
  <c r="N472" i="2"/>
  <c r="N474" i="2"/>
  <c r="N476" i="2"/>
  <c r="N478" i="2"/>
  <c r="N480" i="2"/>
  <c r="N482" i="2"/>
  <c r="N484" i="2"/>
  <c r="N486" i="2"/>
  <c r="N488" i="2"/>
  <c r="E34" i="2" s="1"/>
  <c r="N490" i="2"/>
  <c r="N492" i="2"/>
  <c r="N494" i="2"/>
  <c r="N496" i="2"/>
  <c r="N498" i="2"/>
  <c r="N500" i="2"/>
  <c r="N502" i="2"/>
  <c r="N504" i="2"/>
  <c r="N506" i="2"/>
  <c r="N508" i="2"/>
  <c r="N510" i="2"/>
  <c r="N512" i="2"/>
  <c r="N514" i="2"/>
  <c r="N516" i="2"/>
  <c r="N518" i="2"/>
  <c r="N520" i="2"/>
  <c r="N522" i="2"/>
  <c r="N524" i="2"/>
  <c r="N526" i="2"/>
  <c r="N528" i="2"/>
  <c r="N530" i="2"/>
  <c r="N532" i="2"/>
  <c r="N534" i="2"/>
  <c r="N536" i="2"/>
  <c r="N538" i="2"/>
  <c r="N540" i="2"/>
  <c r="N542" i="2"/>
  <c r="N544" i="2"/>
  <c r="N546" i="2"/>
  <c r="N548" i="2"/>
  <c r="N550" i="2"/>
  <c r="N552" i="2"/>
  <c r="N554" i="2"/>
  <c r="N556" i="2"/>
  <c r="N558" i="2"/>
  <c r="N560" i="2"/>
  <c r="N562" i="2"/>
  <c r="N564" i="2"/>
  <c r="N566" i="2"/>
  <c r="N568" i="2"/>
  <c r="N570" i="2"/>
  <c r="N572" i="2"/>
  <c r="N574" i="2"/>
  <c r="N576" i="2"/>
  <c r="N578" i="2"/>
  <c r="N580" i="2"/>
  <c r="N582" i="2"/>
  <c r="N584" i="2"/>
  <c r="N586" i="2"/>
  <c r="N588" i="2"/>
  <c r="N590" i="2"/>
  <c r="N592" i="2"/>
  <c r="N594" i="2"/>
  <c r="N596" i="2"/>
  <c r="N598" i="2"/>
  <c r="N600" i="2"/>
  <c r="N602" i="2"/>
  <c r="N604" i="2"/>
  <c r="N606" i="2"/>
  <c r="N608" i="2"/>
  <c r="N610" i="2"/>
  <c r="N612" i="2"/>
  <c r="N614" i="2"/>
  <c r="N616" i="2"/>
  <c r="N618" i="2"/>
  <c r="N620" i="2"/>
  <c r="N622" i="2"/>
  <c r="N624" i="2"/>
  <c r="N626" i="2"/>
  <c r="N628" i="2"/>
  <c r="N630" i="2"/>
  <c r="N632" i="2"/>
  <c r="N634" i="2"/>
  <c r="N636" i="2"/>
  <c r="N638" i="2"/>
  <c r="N640" i="2"/>
  <c r="N642" i="2"/>
  <c r="N644" i="2"/>
  <c r="N646" i="2"/>
  <c r="N648" i="2"/>
  <c r="N650" i="2"/>
  <c r="N652" i="2"/>
  <c r="N654" i="2"/>
  <c r="N656" i="2"/>
  <c r="N658" i="2"/>
  <c r="N660" i="2"/>
  <c r="N662" i="2"/>
  <c r="N664" i="2"/>
  <c r="N666" i="2"/>
  <c r="N668" i="2"/>
  <c r="N670" i="2"/>
  <c r="N672" i="2"/>
  <c r="N674" i="2"/>
  <c r="N676" i="2"/>
  <c r="N678" i="2"/>
  <c r="N680" i="2"/>
  <c r="N682" i="2"/>
  <c r="N684" i="2"/>
  <c r="N686" i="2"/>
  <c r="N688" i="2"/>
  <c r="N690" i="2"/>
  <c r="N692" i="2"/>
  <c r="N694" i="2"/>
  <c r="N696" i="2"/>
  <c r="N698" i="2"/>
  <c r="N700" i="2"/>
  <c r="N702" i="2"/>
  <c r="N704" i="2"/>
  <c r="N706" i="2"/>
  <c r="N708" i="2"/>
  <c r="N710" i="2"/>
  <c r="N712" i="2"/>
  <c r="N714" i="2"/>
  <c r="N716" i="2"/>
  <c r="N718" i="2"/>
  <c r="N720" i="2"/>
  <c r="N722" i="2"/>
  <c r="N724" i="2"/>
  <c r="N726" i="2"/>
  <c r="N728" i="2"/>
  <c r="N730" i="2"/>
  <c r="N732" i="2"/>
  <c r="N734" i="2"/>
  <c r="N736" i="2"/>
  <c r="N738" i="2"/>
  <c r="N740" i="2"/>
  <c r="N742" i="2"/>
  <c r="N744" i="2"/>
  <c r="N746" i="2"/>
  <c r="N748" i="2"/>
  <c r="N750" i="2"/>
  <c r="N752" i="2"/>
  <c r="N754" i="2"/>
  <c r="N756" i="2"/>
  <c r="N758" i="2"/>
  <c r="N760" i="2"/>
  <c r="N762" i="2"/>
  <c r="N764" i="2"/>
  <c r="N766" i="2"/>
  <c r="N768" i="2"/>
  <c r="N770" i="2"/>
  <c r="N772" i="2"/>
  <c r="N771" i="2"/>
  <c r="N773" i="2"/>
  <c r="N775" i="2"/>
  <c r="N777" i="2"/>
  <c r="N779" i="2"/>
  <c r="N781" i="2"/>
  <c r="N783" i="2"/>
  <c r="N785" i="2"/>
  <c r="N787" i="2"/>
  <c r="N789" i="2"/>
  <c r="N791" i="2"/>
  <c r="N793" i="2"/>
  <c r="N795" i="2"/>
  <c r="N797" i="2"/>
  <c r="N799" i="2"/>
  <c r="N801" i="2"/>
  <c r="N803" i="2"/>
  <c r="N805" i="2"/>
  <c r="N807" i="2"/>
  <c r="N809" i="2"/>
  <c r="N811" i="2"/>
  <c r="N813" i="2"/>
  <c r="N815" i="2"/>
  <c r="N817" i="2"/>
  <c r="N819" i="2"/>
  <c r="N821" i="2"/>
  <c r="N823" i="2"/>
  <c r="N825" i="2"/>
  <c r="N827" i="2"/>
  <c r="N829" i="2"/>
  <c r="N831" i="2"/>
  <c r="N833" i="2"/>
  <c r="N835" i="2"/>
  <c r="N837" i="2"/>
  <c r="N839" i="2"/>
  <c r="N841" i="2"/>
  <c r="N843" i="2"/>
  <c r="N845" i="2"/>
  <c r="N847" i="2"/>
  <c r="N849" i="2"/>
  <c r="N851" i="2"/>
  <c r="N853" i="2"/>
  <c r="N855" i="2"/>
  <c r="N857" i="2"/>
  <c r="N859" i="2"/>
  <c r="N861" i="2"/>
  <c r="N863" i="2"/>
  <c r="N865" i="2"/>
  <c r="N867" i="2"/>
  <c r="N869" i="2"/>
  <c r="N871" i="2"/>
  <c r="N873" i="2"/>
  <c r="N875" i="2"/>
  <c r="N877" i="2"/>
  <c r="N879" i="2"/>
  <c r="N881" i="2"/>
  <c r="N883" i="2"/>
  <c r="N885" i="2"/>
  <c r="N887" i="2"/>
  <c r="N889" i="2"/>
  <c r="N891" i="2"/>
  <c r="N893" i="2"/>
  <c r="N895" i="2"/>
  <c r="N897" i="2"/>
  <c r="N899" i="2"/>
  <c r="N901" i="2"/>
  <c r="N903" i="2"/>
  <c r="N905" i="2"/>
  <c r="N907" i="2"/>
  <c r="N909" i="2"/>
  <c r="N911" i="2"/>
  <c r="N913" i="2"/>
  <c r="N915" i="2"/>
  <c r="N917" i="2"/>
  <c r="N919" i="2"/>
  <c r="N921" i="2"/>
  <c r="N923" i="2"/>
  <c r="N925" i="2"/>
  <c r="N927" i="2"/>
  <c r="N929" i="2"/>
  <c r="N931" i="2"/>
  <c r="N933" i="2"/>
  <c r="N935" i="2"/>
  <c r="N937" i="2"/>
  <c r="N939" i="2"/>
  <c r="N941" i="2"/>
  <c r="N943" i="2"/>
  <c r="N945" i="2"/>
  <c r="N947" i="2"/>
  <c r="N949" i="2"/>
  <c r="N951" i="2"/>
  <c r="N953" i="2"/>
  <c r="N955" i="2"/>
  <c r="N957" i="2"/>
  <c r="N959" i="2"/>
  <c r="N961" i="2"/>
  <c r="N963" i="2"/>
  <c r="N965" i="2"/>
  <c r="N967" i="2"/>
  <c r="N969" i="2"/>
  <c r="N971" i="2"/>
  <c r="N973" i="2"/>
  <c r="N975" i="2"/>
  <c r="N977" i="2"/>
  <c r="N979" i="2"/>
  <c r="N981" i="2"/>
  <c r="N983" i="2"/>
  <c r="N985" i="2"/>
  <c r="N987" i="2"/>
  <c r="N989" i="2"/>
  <c r="N991" i="2"/>
  <c r="N993" i="2"/>
  <c r="N995" i="2"/>
  <c r="N997" i="2"/>
  <c r="N999" i="2"/>
  <c r="N1001" i="2"/>
  <c r="N1003" i="2"/>
  <c r="N1005" i="2"/>
  <c r="N1007" i="2"/>
  <c r="N1009" i="2"/>
  <c r="N1011" i="2"/>
  <c r="N1013" i="2"/>
  <c r="N1015" i="2"/>
  <c r="N1017" i="2"/>
  <c r="N1019" i="2"/>
  <c r="N1021" i="2"/>
  <c r="N1023" i="2"/>
  <c r="N1025" i="2"/>
  <c r="N1027" i="2"/>
  <c r="N1029" i="2"/>
  <c r="N1031" i="2"/>
  <c r="N1033" i="2"/>
  <c r="N1035" i="2"/>
  <c r="N1037" i="2"/>
  <c r="N1039" i="2"/>
  <c r="N1041" i="2"/>
  <c r="N1043" i="2"/>
  <c r="N1045" i="2"/>
  <c r="N1047" i="2"/>
  <c r="N1049" i="2"/>
  <c r="N1051" i="2"/>
  <c r="N1053" i="2"/>
  <c r="N1055" i="2"/>
  <c r="N1057" i="2"/>
  <c r="N1059" i="2"/>
  <c r="N1061" i="2"/>
  <c r="N1063" i="2"/>
  <c r="N1065" i="2"/>
  <c r="N1067" i="2"/>
  <c r="N1069" i="2"/>
  <c r="N1071" i="2"/>
  <c r="N1073" i="2"/>
  <c r="N1075" i="2"/>
  <c r="N1077" i="2"/>
  <c r="N1079" i="2"/>
  <c r="N1081" i="2"/>
  <c r="N1083" i="2"/>
  <c r="N1085" i="2"/>
  <c r="N1087" i="2"/>
  <c r="N1089" i="2"/>
  <c r="N1091" i="2"/>
  <c r="N1093" i="2"/>
  <c r="N1095" i="2"/>
  <c r="N1097" i="2"/>
  <c r="N1099" i="2"/>
  <c r="N1101" i="2"/>
  <c r="N1103" i="2"/>
  <c r="N1105" i="2"/>
  <c r="N1107" i="2"/>
  <c r="N1109" i="2"/>
  <c r="N1111" i="2"/>
  <c r="N774" i="2"/>
  <c r="N776" i="2"/>
  <c r="N778" i="2"/>
  <c r="N780" i="2"/>
  <c r="N782" i="2"/>
  <c r="N784" i="2"/>
  <c r="N786" i="2"/>
  <c r="N788" i="2"/>
  <c r="N790" i="2"/>
  <c r="N792" i="2"/>
  <c r="N794" i="2"/>
  <c r="N796" i="2"/>
  <c r="N798" i="2"/>
  <c r="N800" i="2"/>
  <c r="N802" i="2"/>
  <c r="N804" i="2"/>
  <c r="N806" i="2"/>
  <c r="N808" i="2"/>
  <c r="N810" i="2"/>
  <c r="N812" i="2"/>
  <c r="N814" i="2"/>
  <c r="N816" i="2"/>
  <c r="N818" i="2"/>
  <c r="N820" i="2"/>
  <c r="N822" i="2"/>
  <c r="N824" i="2"/>
  <c r="N826" i="2"/>
  <c r="N828" i="2"/>
  <c r="N830" i="2"/>
  <c r="N832" i="2"/>
  <c r="N834" i="2"/>
  <c r="N836" i="2"/>
  <c r="N838" i="2"/>
  <c r="N840" i="2"/>
  <c r="N842" i="2"/>
  <c r="N844" i="2"/>
  <c r="N846" i="2"/>
  <c r="N848" i="2"/>
  <c r="N850" i="2"/>
  <c r="N852" i="2"/>
  <c r="N854" i="2"/>
  <c r="N856" i="2"/>
  <c r="N858" i="2"/>
  <c r="N860" i="2"/>
  <c r="N862" i="2"/>
  <c r="N864" i="2"/>
  <c r="N866" i="2"/>
  <c r="N868" i="2"/>
  <c r="N870" i="2"/>
  <c r="N872" i="2"/>
  <c r="N874" i="2"/>
  <c r="N876" i="2"/>
  <c r="N878" i="2"/>
  <c r="N880" i="2"/>
  <c r="N882" i="2"/>
  <c r="N884" i="2"/>
  <c r="N886" i="2"/>
  <c r="N888" i="2"/>
  <c r="N890" i="2"/>
  <c r="N892" i="2"/>
  <c r="N894" i="2"/>
  <c r="N896" i="2"/>
  <c r="N898" i="2"/>
  <c r="N900" i="2"/>
  <c r="N902" i="2"/>
  <c r="N904" i="2"/>
  <c r="N906" i="2"/>
  <c r="N908" i="2"/>
  <c r="N910" i="2"/>
  <c r="N912" i="2"/>
  <c r="N914" i="2"/>
  <c r="N916" i="2"/>
  <c r="N918" i="2"/>
  <c r="N920" i="2"/>
  <c r="N922" i="2"/>
  <c r="N924" i="2"/>
  <c r="N926" i="2"/>
  <c r="N928" i="2"/>
  <c r="N930" i="2"/>
  <c r="N932" i="2"/>
  <c r="N934" i="2"/>
  <c r="N936" i="2"/>
  <c r="N938" i="2"/>
  <c r="N940" i="2"/>
  <c r="N942" i="2"/>
  <c r="N944" i="2"/>
  <c r="N946" i="2"/>
  <c r="N948" i="2"/>
  <c r="N950" i="2"/>
  <c r="N952" i="2"/>
  <c r="N954" i="2"/>
  <c r="N956" i="2"/>
  <c r="N958" i="2"/>
  <c r="N960" i="2"/>
  <c r="N962" i="2"/>
  <c r="N964" i="2"/>
  <c r="N966" i="2"/>
  <c r="N968" i="2"/>
  <c r="N970" i="2"/>
  <c r="N972" i="2"/>
  <c r="N974" i="2"/>
  <c r="N976" i="2"/>
  <c r="N978" i="2"/>
  <c r="N980" i="2"/>
  <c r="N982" i="2"/>
  <c r="N984" i="2"/>
  <c r="N986" i="2"/>
  <c r="N988" i="2"/>
  <c r="N990" i="2"/>
  <c r="N992" i="2"/>
  <c r="N994" i="2"/>
  <c r="N996" i="2"/>
  <c r="N998" i="2"/>
  <c r="N1000" i="2"/>
  <c r="N1002" i="2"/>
  <c r="N1004" i="2"/>
  <c r="N1006" i="2"/>
  <c r="N1008" i="2"/>
  <c r="N1010" i="2"/>
  <c r="N1012" i="2"/>
  <c r="N1014" i="2"/>
  <c r="N1016" i="2"/>
  <c r="N1018" i="2"/>
  <c r="N1020" i="2"/>
  <c r="N1022" i="2"/>
  <c r="N1024" i="2"/>
  <c r="N1026" i="2"/>
  <c r="N1028" i="2"/>
  <c r="N1030" i="2"/>
  <c r="N1032" i="2"/>
  <c r="N1034" i="2"/>
  <c r="N1036" i="2"/>
  <c r="N1038" i="2"/>
  <c r="N1040" i="2"/>
  <c r="N1042" i="2"/>
  <c r="N1044" i="2"/>
  <c r="N1046" i="2"/>
  <c r="N1048" i="2"/>
  <c r="N1050" i="2"/>
  <c r="N1052" i="2"/>
  <c r="N1054" i="2"/>
  <c r="N1056" i="2"/>
  <c r="N1058" i="2"/>
  <c r="N1060" i="2"/>
  <c r="N1062" i="2"/>
  <c r="N1064" i="2"/>
  <c r="N1066" i="2"/>
  <c r="N1068" i="2"/>
  <c r="N1070" i="2"/>
  <c r="N1072" i="2"/>
  <c r="N1074" i="2"/>
  <c r="N1076" i="2"/>
  <c r="N1078" i="2"/>
  <c r="N1080" i="2"/>
  <c r="N1082" i="2"/>
  <c r="N1084" i="2"/>
  <c r="N1086" i="2"/>
  <c r="N1088" i="2"/>
  <c r="N1090" i="2"/>
  <c r="N1092" i="2"/>
  <c r="N1094" i="2"/>
  <c r="N1096" i="2"/>
  <c r="N1098" i="2"/>
  <c r="N1100" i="2"/>
  <c r="N1102" i="2"/>
  <c r="N1104" i="2"/>
  <c r="N1106" i="2"/>
  <c r="N1108" i="2"/>
  <c r="N1110" i="2"/>
  <c r="N1112" i="2"/>
  <c r="N1114" i="2"/>
  <c r="N1115" i="2"/>
  <c r="N1116" i="2"/>
  <c r="N1118" i="2"/>
  <c r="N1120" i="2"/>
  <c r="N1122" i="2"/>
  <c r="N1124" i="2"/>
  <c r="N1126" i="2"/>
  <c r="N1128" i="2"/>
  <c r="N1130" i="2"/>
  <c r="N1132" i="2"/>
  <c r="N1134" i="2"/>
  <c r="N1136" i="2"/>
  <c r="N1138" i="2"/>
  <c r="N1140" i="2"/>
  <c r="N1142" i="2"/>
  <c r="N1144" i="2"/>
  <c r="N1146" i="2"/>
  <c r="N1148" i="2"/>
  <c r="N1150" i="2"/>
  <c r="N1152" i="2"/>
  <c r="N1154" i="2"/>
  <c r="N1156" i="2"/>
  <c r="N1158" i="2"/>
  <c r="N1160" i="2"/>
  <c r="N1162" i="2"/>
  <c r="N1164" i="2"/>
  <c r="N1166" i="2"/>
  <c r="N1168" i="2"/>
  <c r="N1170" i="2"/>
  <c r="N1172" i="2"/>
  <c r="N1174" i="2"/>
  <c r="N1176" i="2"/>
  <c r="N1178" i="2"/>
  <c r="N1180" i="2"/>
  <c r="N1182" i="2"/>
  <c r="N1184" i="2"/>
  <c r="N1186" i="2"/>
  <c r="N1188" i="2"/>
  <c r="N1190" i="2"/>
  <c r="N1192" i="2"/>
  <c r="N1194" i="2"/>
  <c r="N1196" i="2"/>
  <c r="N1198" i="2"/>
  <c r="N1200" i="2"/>
  <c r="N1202" i="2"/>
  <c r="N1204" i="2"/>
  <c r="N1206" i="2"/>
  <c r="N1208" i="2"/>
  <c r="N1210" i="2"/>
  <c r="N1212" i="2"/>
  <c r="N1214" i="2"/>
  <c r="N1216" i="2"/>
  <c r="N1218" i="2"/>
  <c r="N1220" i="2"/>
  <c r="N1222" i="2"/>
  <c r="N1224" i="2"/>
  <c r="N1226" i="2"/>
  <c r="N1228" i="2"/>
  <c r="N1230" i="2"/>
  <c r="N1232" i="2"/>
  <c r="N1234" i="2"/>
  <c r="N1236" i="2"/>
  <c r="N1238" i="2"/>
  <c r="N1240" i="2"/>
  <c r="N1242" i="2"/>
  <c r="N1244" i="2"/>
  <c r="N1246" i="2"/>
  <c r="N1248" i="2"/>
  <c r="N1250" i="2"/>
  <c r="N1252" i="2"/>
  <c r="N1254" i="2"/>
  <c r="N1256" i="2"/>
  <c r="N1258" i="2"/>
  <c r="N1260" i="2"/>
  <c r="N1262" i="2"/>
  <c r="N1264" i="2"/>
  <c r="N1266" i="2"/>
  <c r="N1268" i="2"/>
  <c r="N1270" i="2"/>
  <c r="N1272" i="2"/>
  <c r="N1274" i="2"/>
  <c r="N1276" i="2"/>
  <c r="N1278" i="2"/>
  <c r="N1280" i="2"/>
  <c r="N1282" i="2"/>
  <c r="N1284" i="2"/>
  <c r="N1286" i="2"/>
  <c r="N1288" i="2"/>
  <c r="N1290" i="2"/>
  <c r="N1292" i="2"/>
  <c r="N1294" i="2"/>
  <c r="N1296" i="2"/>
  <c r="N1298" i="2"/>
  <c r="N1300" i="2"/>
  <c r="N1302" i="2"/>
  <c r="N1304" i="2"/>
  <c r="N1306" i="2"/>
  <c r="N1308" i="2"/>
  <c r="N1310" i="2"/>
  <c r="N1312" i="2"/>
  <c r="N1314" i="2"/>
  <c r="N1316" i="2"/>
  <c r="N1318" i="2"/>
  <c r="N1320" i="2"/>
  <c r="N1322" i="2"/>
  <c r="N1324" i="2"/>
  <c r="N1326" i="2"/>
  <c r="N1328" i="2"/>
  <c r="N1330" i="2"/>
  <c r="N1332" i="2"/>
  <c r="N1334" i="2"/>
  <c r="N1336" i="2"/>
  <c r="N1338" i="2"/>
  <c r="N1340" i="2"/>
  <c r="N1342" i="2"/>
  <c r="N1344" i="2"/>
  <c r="N1346" i="2"/>
  <c r="N1348" i="2"/>
  <c r="N1350" i="2"/>
  <c r="N1352" i="2"/>
  <c r="N1354" i="2"/>
  <c r="N1356" i="2"/>
  <c r="N1358" i="2"/>
  <c r="N1360" i="2"/>
  <c r="N1362" i="2"/>
  <c r="N1364" i="2"/>
  <c r="N1366" i="2"/>
  <c r="N1368" i="2"/>
  <c r="N1370" i="2"/>
  <c r="N1372" i="2"/>
  <c r="N1374" i="2"/>
  <c r="N1376" i="2"/>
  <c r="N1378" i="2"/>
  <c r="N1380" i="2"/>
  <c r="N1382" i="2"/>
  <c r="N1384" i="2"/>
  <c r="N1386" i="2"/>
  <c r="N1388" i="2"/>
  <c r="N1390" i="2"/>
  <c r="N1392" i="2"/>
  <c r="N1394" i="2"/>
  <c r="N1396" i="2"/>
  <c r="N1398" i="2"/>
  <c r="N1400" i="2"/>
  <c r="N1402" i="2"/>
  <c r="N1404" i="2"/>
  <c r="N1406" i="2"/>
  <c r="N1408" i="2"/>
  <c r="N1410" i="2"/>
  <c r="N1412" i="2"/>
  <c r="N1414" i="2"/>
  <c r="N1416" i="2"/>
  <c r="N1418" i="2"/>
  <c r="N1420" i="2"/>
  <c r="N1422" i="2"/>
  <c r="N1424" i="2"/>
  <c r="N1426" i="2"/>
  <c r="N1428" i="2"/>
  <c r="N1430" i="2"/>
  <c r="N1432" i="2"/>
  <c r="N1434" i="2"/>
  <c r="N1436" i="2"/>
  <c r="N1438" i="2"/>
  <c r="N1440" i="2"/>
  <c r="N1442" i="2"/>
  <c r="N1444" i="2"/>
  <c r="N1446" i="2"/>
  <c r="N1448" i="2"/>
  <c r="N1450" i="2"/>
  <c r="N1452" i="2"/>
  <c r="N1454" i="2"/>
  <c r="N1456" i="2"/>
  <c r="N1458" i="2"/>
  <c r="N1460" i="2"/>
  <c r="N1462" i="2"/>
  <c r="N1464" i="2"/>
  <c r="N1466" i="2"/>
  <c r="N1468" i="2"/>
  <c r="N1470" i="2"/>
  <c r="N1472" i="2"/>
  <c r="N1474" i="2"/>
  <c r="N1476" i="2"/>
  <c r="N1478" i="2"/>
  <c r="N1480" i="2"/>
  <c r="N1482" i="2"/>
  <c r="N1484" i="2"/>
  <c r="N1486" i="2"/>
  <c r="N1488" i="2"/>
  <c r="N1490" i="2"/>
  <c r="N1492" i="2"/>
  <c r="N1494" i="2"/>
  <c r="N1496" i="2"/>
  <c r="N1498" i="2"/>
  <c r="N1500" i="2"/>
  <c r="N1502" i="2"/>
  <c r="N1504" i="2"/>
  <c r="N1506" i="2"/>
  <c r="N1508" i="2"/>
  <c r="N1510" i="2"/>
  <c r="N1512" i="2"/>
  <c r="N1514" i="2"/>
  <c r="N1516" i="2"/>
  <c r="N1518" i="2"/>
  <c r="N1520" i="2"/>
  <c r="N1522" i="2"/>
  <c r="N1524" i="2"/>
  <c r="N1526" i="2"/>
  <c r="N1528" i="2"/>
  <c r="N1530" i="2"/>
  <c r="N1532" i="2"/>
  <c r="N1534" i="2"/>
  <c r="N1536" i="2"/>
  <c r="N1538" i="2"/>
  <c r="N1540" i="2"/>
  <c r="N1542" i="2"/>
  <c r="N1544" i="2"/>
  <c r="N1546" i="2"/>
  <c r="N1548" i="2"/>
  <c r="N1550" i="2"/>
  <c r="N1552" i="2"/>
  <c r="N1554" i="2"/>
  <c r="N1556" i="2"/>
  <c r="N1558" i="2"/>
  <c r="N1560" i="2"/>
  <c r="N1562" i="2"/>
  <c r="N1564" i="2"/>
  <c r="N1566" i="2"/>
  <c r="N1568" i="2"/>
  <c r="N1570" i="2"/>
  <c r="N1572" i="2"/>
  <c r="N1574" i="2"/>
  <c r="N1576" i="2"/>
  <c r="N1578" i="2"/>
  <c r="N1580" i="2"/>
  <c r="N1582" i="2"/>
  <c r="N1584" i="2"/>
  <c r="N1586" i="2"/>
  <c r="N1588" i="2"/>
  <c r="N1590" i="2"/>
  <c r="N1592" i="2"/>
  <c r="N1594" i="2"/>
  <c r="N1596" i="2"/>
  <c r="N1598" i="2"/>
  <c r="N1600" i="2"/>
  <c r="N1602" i="2"/>
  <c r="N1604" i="2"/>
  <c r="N1606" i="2"/>
  <c r="N1608" i="2"/>
  <c r="N1610" i="2"/>
  <c r="N1612" i="2"/>
  <c r="N1614" i="2"/>
  <c r="N1616" i="2"/>
  <c r="N1618" i="2"/>
  <c r="N1620" i="2"/>
  <c r="N1622" i="2"/>
  <c r="N1624" i="2"/>
  <c r="N1626" i="2"/>
  <c r="N1628" i="2"/>
  <c r="N1630" i="2"/>
  <c r="N1632" i="2"/>
  <c r="N1634" i="2"/>
  <c r="N1636" i="2"/>
  <c r="N1638" i="2"/>
  <c r="N1640" i="2"/>
  <c r="N1642" i="2"/>
  <c r="N1644" i="2"/>
  <c r="N1646" i="2"/>
  <c r="N1648" i="2"/>
  <c r="N1650" i="2"/>
  <c r="N1652" i="2"/>
  <c r="N1654" i="2"/>
  <c r="N1656" i="2"/>
  <c r="N1658" i="2"/>
  <c r="N1660" i="2"/>
  <c r="N1662" i="2"/>
  <c r="N1664" i="2"/>
  <c r="N1666" i="2"/>
  <c r="N1668" i="2"/>
  <c r="N1670" i="2"/>
  <c r="N1672" i="2"/>
  <c r="N1674" i="2"/>
  <c r="N1676" i="2"/>
  <c r="N1678" i="2"/>
  <c r="N1680" i="2"/>
  <c r="N1682" i="2"/>
  <c r="N1684" i="2"/>
  <c r="N1686" i="2"/>
  <c r="N1688" i="2"/>
  <c r="N1690" i="2"/>
  <c r="N1692" i="2"/>
  <c r="N1694" i="2"/>
  <c r="N1696" i="2"/>
  <c r="N1698" i="2"/>
  <c r="N1700" i="2"/>
  <c r="N1702" i="2"/>
  <c r="N1704" i="2"/>
  <c r="N1706" i="2"/>
  <c r="N1708" i="2"/>
  <c r="N1710" i="2"/>
  <c r="N1712" i="2"/>
  <c r="N1714" i="2"/>
  <c r="N1716" i="2"/>
  <c r="N1718" i="2"/>
  <c r="N1720" i="2"/>
  <c r="N1722" i="2"/>
  <c r="N1724" i="2"/>
  <c r="N1726" i="2"/>
  <c r="N1728" i="2"/>
  <c r="N1730" i="2"/>
  <c r="N1732" i="2"/>
  <c r="N1734" i="2"/>
  <c r="N1736" i="2"/>
  <c r="N1738" i="2"/>
  <c r="N1740" i="2"/>
  <c r="N1742" i="2"/>
  <c r="N1744" i="2"/>
  <c r="N1746" i="2"/>
  <c r="N1748" i="2"/>
  <c r="N1750" i="2"/>
  <c r="N1752" i="2"/>
  <c r="N1754" i="2"/>
  <c r="N1756" i="2"/>
  <c r="N1758" i="2"/>
  <c r="N1760" i="2"/>
  <c r="N1762" i="2"/>
  <c r="N1764" i="2"/>
  <c r="N1766" i="2"/>
  <c r="N1768" i="2"/>
  <c r="N1770" i="2"/>
  <c r="N1772" i="2"/>
  <c r="N1774" i="2"/>
  <c r="N1776" i="2"/>
  <c r="N1778" i="2"/>
  <c r="N1780" i="2"/>
  <c r="N1782" i="2"/>
  <c r="N1784" i="2"/>
  <c r="N1786" i="2"/>
  <c r="N1788" i="2"/>
  <c r="N1113" i="2"/>
  <c r="N1117" i="2"/>
  <c r="N1119" i="2"/>
  <c r="N1121" i="2"/>
  <c r="N1123" i="2"/>
  <c r="N1125" i="2"/>
  <c r="N1127" i="2"/>
  <c r="N1129" i="2"/>
  <c r="N1131" i="2"/>
  <c r="N1133" i="2"/>
  <c r="N1135" i="2"/>
  <c r="N1137" i="2"/>
  <c r="N1139" i="2"/>
  <c r="N1141" i="2"/>
  <c r="N1143" i="2"/>
  <c r="N1145" i="2"/>
  <c r="N1147" i="2"/>
  <c r="N1149" i="2"/>
  <c r="N1151" i="2"/>
  <c r="N1153" i="2"/>
  <c r="N1155" i="2"/>
  <c r="N1157" i="2"/>
  <c r="N1159" i="2"/>
  <c r="N1161" i="2"/>
  <c r="N1163" i="2"/>
  <c r="N1165" i="2"/>
  <c r="N1167" i="2"/>
  <c r="N1169" i="2"/>
  <c r="N1171" i="2"/>
  <c r="N1173" i="2"/>
  <c r="N1175" i="2"/>
  <c r="N1177" i="2"/>
  <c r="N1179" i="2"/>
  <c r="N1181" i="2"/>
  <c r="N1183" i="2"/>
  <c r="N1185" i="2"/>
  <c r="N1187" i="2"/>
  <c r="N1189" i="2"/>
  <c r="N1191" i="2"/>
  <c r="N1193" i="2"/>
  <c r="N1195" i="2"/>
  <c r="N1197" i="2"/>
  <c r="N1199" i="2"/>
  <c r="N1201" i="2"/>
  <c r="N1203" i="2"/>
  <c r="N1205" i="2"/>
  <c r="N1207" i="2"/>
  <c r="N1209" i="2"/>
  <c r="N1211" i="2"/>
  <c r="N1213" i="2"/>
  <c r="N1215" i="2"/>
  <c r="N1217" i="2"/>
  <c r="N1219" i="2"/>
  <c r="N1221" i="2"/>
  <c r="N1223" i="2"/>
  <c r="N1225" i="2"/>
  <c r="N1227" i="2"/>
  <c r="N1229" i="2"/>
  <c r="N1231" i="2"/>
  <c r="N1233" i="2"/>
  <c r="N1235" i="2"/>
  <c r="N1237" i="2"/>
  <c r="N1239" i="2"/>
  <c r="N1241" i="2"/>
  <c r="N1243" i="2"/>
  <c r="N1245" i="2"/>
  <c r="N1247" i="2"/>
  <c r="N1249" i="2"/>
  <c r="N1251" i="2"/>
  <c r="N1253" i="2"/>
  <c r="N1255" i="2"/>
  <c r="N1257" i="2"/>
  <c r="N1259" i="2"/>
  <c r="N1261" i="2"/>
  <c r="N1263" i="2"/>
  <c r="N1265" i="2"/>
  <c r="N1267" i="2"/>
  <c r="N1269" i="2"/>
  <c r="N1271" i="2"/>
  <c r="N1273" i="2"/>
  <c r="N1275" i="2"/>
  <c r="N1277" i="2"/>
  <c r="N1279" i="2"/>
  <c r="N1281" i="2"/>
  <c r="N1283" i="2"/>
  <c r="N1285" i="2"/>
  <c r="N1287" i="2"/>
  <c r="N1289" i="2"/>
  <c r="N1291" i="2"/>
  <c r="N1293" i="2"/>
  <c r="N1295" i="2"/>
  <c r="N1297" i="2"/>
  <c r="N1299" i="2"/>
  <c r="N1301" i="2"/>
  <c r="N1303" i="2"/>
  <c r="N1305" i="2"/>
  <c r="N1307" i="2"/>
  <c r="N1309" i="2"/>
  <c r="N1311" i="2"/>
  <c r="N1313" i="2"/>
  <c r="N1315" i="2"/>
  <c r="N1317" i="2"/>
  <c r="N1319" i="2"/>
  <c r="N1321" i="2"/>
  <c r="N1323" i="2"/>
  <c r="N1325" i="2"/>
  <c r="N1327" i="2"/>
  <c r="N1329" i="2"/>
  <c r="N1331" i="2"/>
  <c r="N1333" i="2"/>
  <c r="N1335" i="2"/>
  <c r="N1337" i="2"/>
  <c r="N1339" i="2"/>
  <c r="N1341" i="2"/>
  <c r="N1343" i="2"/>
  <c r="N1345" i="2"/>
  <c r="N1347" i="2"/>
  <c r="N1349" i="2"/>
  <c r="N1351" i="2"/>
  <c r="N1353" i="2"/>
  <c r="N1355" i="2"/>
  <c r="N1357" i="2"/>
  <c r="N1359" i="2"/>
  <c r="N1361" i="2"/>
  <c r="N1363" i="2"/>
  <c r="N1365" i="2"/>
  <c r="N1367" i="2"/>
  <c r="N1369" i="2"/>
  <c r="N1371" i="2"/>
  <c r="N1373" i="2"/>
  <c r="N1375" i="2"/>
  <c r="N1377" i="2"/>
  <c r="N1379" i="2"/>
  <c r="N1381" i="2"/>
  <c r="N1383" i="2"/>
  <c r="N1385" i="2"/>
  <c r="N1387" i="2"/>
  <c r="N1389" i="2"/>
  <c r="N1391" i="2"/>
  <c r="N1393" i="2"/>
  <c r="N1395" i="2"/>
  <c r="N1397" i="2"/>
  <c r="N1399" i="2"/>
  <c r="N1401" i="2"/>
  <c r="N1403" i="2"/>
  <c r="N1405" i="2"/>
  <c r="N1407" i="2"/>
  <c r="N1409" i="2"/>
  <c r="N1411" i="2"/>
  <c r="N1413" i="2"/>
  <c r="N1415" i="2"/>
  <c r="N1417" i="2"/>
  <c r="N1419" i="2"/>
  <c r="N1421" i="2"/>
  <c r="N1423" i="2"/>
  <c r="N1425" i="2"/>
  <c r="N1427" i="2"/>
  <c r="N1429" i="2"/>
  <c r="N1431" i="2"/>
  <c r="N1433" i="2"/>
  <c r="N1435" i="2"/>
  <c r="N1437" i="2"/>
  <c r="N1439" i="2"/>
  <c r="N1441" i="2"/>
  <c r="N1443" i="2"/>
  <c r="N1445" i="2"/>
  <c r="N1447" i="2"/>
  <c r="N1449" i="2"/>
  <c r="N1451" i="2"/>
  <c r="N1453" i="2"/>
  <c r="N1455" i="2"/>
  <c r="N1457" i="2"/>
  <c r="N1459" i="2"/>
  <c r="N1461" i="2"/>
  <c r="N1463" i="2"/>
  <c r="N1465" i="2"/>
  <c r="N1467" i="2"/>
  <c r="N1469" i="2"/>
  <c r="N1471" i="2"/>
  <c r="N1473" i="2"/>
  <c r="N1475" i="2"/>
  <c r="N1477" i="2"/>
  <c r="N1479" i="2"/>
  <c r="N1481" i="2"/>
  <c r="N1483" i="2"/>
  <c r="N1485" i="2"/>
  <c r="N1487" i="2"/>
  <c r="N1489" i="2"/>
  <c r="N1491" i="2"/>
  <c r="N1493" i="2"/>
  <c r="N1495" i="2"/>
  <c r="N1497" i="2"/>
  <c r="N1499" i="2"/>
  <c r="N1501" i="2"/>
  <c r="N1503" i="2"/>
  <c r="N1505" i="2"/>
  <c r="N1507" i="2"/>
  <c r="N1509" i="2"/>
  <c r="N1511" i="2"/>
  <c r="N1513" i="2"/>
  <c r="N1515" i="2"/>
  <c r="N1517" i="2"/>
  <c r="N1519" i="2"/>
  <c r="N1521" i="2"/>
  <c r="N1523" i="2"/>
  <c r="N1525" i="2"/>
  <c r="N1527" i="2"/>
  <c r="N1529" i="2"/>
  <c r="N1531" i="2"/>
  <c r="N1533" i="2"/>
  <c r="N1535" i="2"/>
  <c r="N1537" i="2"/>
  <c r="N1539" i="2"/>
  <c r="N1541" i="2"/>
  <c r="N1543" i="2"/>
  <c r="N1545" i="2"/>
  <c r="N1547" i="2"/>
  <c r="N1549" i="2"/>
  <c r="N1551" i="2"/>
  <c r="N1553" i="2"/>
  <c r="N1555" i="2"/>
  <c r="N1557" i="2"/>
  <c r="N1559" i="2"/>
  <c r="N1561" i="2"/>
  <c r="N1563" i="2"/>
  <c r="N1565" i="2"/>
  <c r="N1567" i="2"/>
  <c r="N1569" i="2"/>
  <c r="N1571" i="2"/>
  <c r="N1573" i="2"/>
  <c r="N1575" i="2"/>
  <c r="N1577" i="2"/>
  <c r="N1579" i="2"/>
  <c r="N1581" i="2"/>
  <c r="N1583" i="2"/>
  <c r="N1585" i="2"/>
  <c r="N1587" i="2"/>
  <c r="N1589" i="2"/>
  <c r="N1591" i="2"/>
  <c r="N1593" i="2"/>
  <c r="N1595" i="2"/>
  <c r="N1597" i="2"/>
  <c r="N1599" i="2"/>
  <c r="N1601" i="2"/>
  <c r="N1603" i="2"/>
  <c r="N1605" i="2"/>
  <c r="N1607" i="2"/>
  <c r="N1609" i="2"/>
  <c r="N1611" i="2"/>
  <c r="N1613" i="2"/>
  <c r="N1615" i="2"/>
  <c r="N1617" i="2"/>
  <c r="N1619" i="2"/>
  <c r="N1621" i="2"/>
  <c r="N1623" i="2"/>
  <c r="N1625" i="2"/>
  <c r="N1627" i="2"/>
  <c r="N1629" i="2"/>
  <c r="N1631" i="2"/>
  <c r="N1633" i="2"/>
  <c r="N1635" i="2"/>
  <c r="N1637" i="2"/>
  <c r="N1639" i="2"/>
  <c r="N1641" i="2"/>
  <c r="N1643" i="2"/>
  <c r="N1645" i="2"/>
  <c r="N1647" i="2"/>
  <c r="N1649" i="2"/>
  <c r="N1651" i="2"/>
  <c r="N1653" i="2"/>
  <c r="N1655" i="2"/>
  <c r="N1657" i="2"/>
  <c r="N1659" i="2"/>
  <c r="N1661" i="2"/>
  <c r="N1663" i="2"/>
  <c r="N1665" i="2"/>
  <c r="N1667" i="2"/>
  <c r="N1669" i="2"/>
  <c r="N1671" i="2"/>
  <c r="N1673" i="2"/>
  <c r="N1675" i="2"/>
  <c r="N1677" i="2"/>
  <c r="N1679" i="2"/>
  <c r="N1681" i="2"/>
  <c r="N1683" i="2"/>
  <c r="N1685" i="2"/>
  <c r="N1687" i="2"/>
  <c r="N1689" i="2"/>
  <c r="N1691" i="2"/>
  <c r="N1693" i="2"/>
  <c r="N1695" i="2"/>
  <c r="N1697" i="2"/>
  <c r="N1699" i="2"/>
  <c r="N1701" i="2"/>
  <c r="N1703" i="2"/>
  <c r="N1705" i="2"/>
  <c r="N1707" i="2"/>
  <c r="N1709" i="2"/>
  <c r="N1711" i="2"/>
  <c r="N1713" i="2"/>
  <c r="N1715" i="2"/>
  <c r="N1717" i="2"/>
  <c r="N1719" i="2"/>
  <c r="N1721" i="2"/>
  <c r="N1723" i="2"/>
  <c r="N1725" i="2"/>
  <c r="N1727" i="2"/>
  <c r="N1729" i="2"/>
  <c r="N1731" i="2"/>
  <c r="N1733" i="2"/>
  <c r="N1735" i="2"/>
  <c r="N1737" i="2"/>
  <c r="N1739" i="2"/>
  <c r="N1741" i="2"/>
  <c r="N1743" i="2"/>
  <c r="N1745" i="2"/>
  <c r="N1747" i="2"/>
  <c r="N1749" i="2"/>
  <c r="N1751" i="2"/>
  <c r="N1753" i="2"/>
  <c r="N1755" i="2"/>
  <c r="N1757" i="2"/>
  <c r="N1759" i="2"/>
  <c r="N1761" i="2"/>
  <c r="N1763" i="2"/>
  <c r="N1765" i="2"/>
  <c r="N1767" i="2"/>
  <c r="N1769" i="2"/>
  <c r="N1771" i="2"/>
  <c r="N1773" i="2"/>
  <c r="N1775" i="2"/>
  <c r="N1777" i="2"/>
  <c r="N1779" i="2"/>
  <c r="N1781" i="2"/>
  <c r="N1783" i="2"/>
  <c r="N1785" i="2"/>
  <c r="N1787" i="2"/>
  <c r="N1789" i="2"/>
  <c r="N1791" i="2"/>
  <c r="N1793" i="2"/>
  <c r="N1795" i="2"/>
  <c r="N1792" i="2"/>
  <c r="N1796" i="2"/>
  <c r="N1797" i="2"/>
  <c r="N1799" i="2"/>
  <c r="N1801" i="2"/>
  <c r="N1803" i="2"/>
  <c r="N1805" i="2"/>
  <c r="N1807" i="2"/>
  <c r="N1809" i="2"/>
  <c r="N1811" i="2"/>
  <c r="N1813" i="2"/>
  <c r="N1815" i="2"/>
  <c r="N1817" i="2"/>
  <c r="N1819" i="2"/>
  <c r="N1821" i="2"/>
  <c r="N1823" i="2"/>
  <c r="N1825" i="2"/>
  <c r="N1827" i="2"/>
  <c r="N1829" i="2"/>
  <c r="N1831" i="2"/>
  <c r="N1833" i="2"/>
  <c r="N1835" i="2"/>
  <c r="N1837" i="2"/>
  <c r="N1839" i="2"/>
  <c r="N1841" i="2"/>
  <c r="N1843" i="2"/>
  <c r="N1845" i="2"/>
  <c r="N1847" i="2"/>
  <c r="N1849" i="2"/>
  <c r="N1851" i="2"/>
  <c r="N1853" i="2"/>
  <c r="N1855" i="2"/>
  <c r="N1857" i="2"/>
  <c r="N1859" i="2"/>
  <c r="N1861" i="2"/>
  <c r="N1863" i="2"/>
  <c r="N1865" i="2"/>
  <c r="N1867" i="2"/>
  <c r="N1869" i="2"/>
  <c r="N1871" i="2"/>
  <c r="N1873" i="2"/>
  <c r="N1875" i="2"/>
  <c r="N1877" i="2"/>
  <c r="N1879" i="2"/>
  <c r="N1881" i="2"/>
  <c r="N1883" i="2"/>
  <c r="N1885" i="2"/>
  <c r="N1887" i="2"/>
  <c r="N1889" i="2"/>
  <c r="N1891" i="2"/>
  <c r="N1893" i="2"/>
  <c r="N1895" i="2"/>
  <c r="N1897" i="2"/>
  <c r="N1899" i="2"/>
  <c r="N1901" i="2"/>
  <c r="N1903" i="2"/>
  <c r="N1905" i="2"/>
  <c r="N1907" i="2"/>
  <c r="N1909" i="2"/>
  <c r="N1911" i="2"/>
  <c r="N1790" i="2"/>
  <c r="N1794" i="2"/>
  <c r="N1798" i="2"/>
  <c r="N1800" i="2"/>
  <c r="N1802" i="2"/>
  <c r="N1804" i="2"/>
  <c r="N1806" i="2"/>
  <c r="N1808" i="2"/>
  <c r="N1810" i="2"/>
  <c r="N1812" i="2"/>
  <c r="N1814" i="2"/>
  <c r="N1816" i="2"/>
  <c r="N1818" i="2"/>
  <c r="N1820" i="2"/>
  <c r="N1822" i="2"/>
  <c r="N1824" i="2"/>
  <c r="N1826" i="2"/>
  <c r="N1828" i="2"/>
  <c r="N1830" i="2"/>
  <c r="N1832" i="2"/>
  <c r="N1834" i="2"/>
  <c r="N1836" i="2"/>
  <c r="N1838" i="2"/>
  <c r="N1840" i="2"/>
  <c r="N1842" i="2"/>
  <c r="N1844" i="2"/>
  <c r="N1846" i="2"/>
  <c r="N1848" i="2"/>
  <c r="N1850" i="2"/>
  <c r="N1852" i="2"/>
  <c r="N1854" i="2"/>
  <c r="N1856" i="2"/>
  <c r="N1858" i="2"/>
  <c r="N1860" i="2"/>
  <c r="N1862" i="2"/>
  <c r="N1864" i="2"/>
  <c r="N1866" i="2"/>
  <c r="N1868" i="2"/>
  <c r="N1870" i="2"/>
  <c r="N1872" i="2"/>
  <c r="N1874" i="2"/>
  <c r="N1876" i="2"/>
  <c r="N1878" i="2"/>
  <c r="N1880" i="2"/>
  <c r="N1882" i="2"/>
  <c r="N1884" i="2"/>
  <c r="N1886" i="2"/>
  <c r="N1888" i="2"/>
  <c r="N1890" i="2"/>
  <c r="N1892" i="2"/>
  <c r="N1894" i="2"/>
  <c r="N1896" i="2"/>
  <c r="N1898" i="2"/>
  <c r="N1900" i="2"/>
  <c r="N1902" i="2"/>
  <c r="N1904" i="2"/>
  <c r="N1906" i="2"/>
  <c r="N1908" i="2"/>
  <c r="N1910" i="2"/>
  <c r="N1912" i="2"/>
  <c r="G40" i="4"/>
  <c r="K47" i="4" s="1"/>
  <c r="G45" i="4"/>
  <c r="K48" i="4" l="1"/>
  <c r="G43" i="4"/>
  <c r="F34" i="2"/>
  <c r="I34" i="2" s="1"/>
  <c r="G34" i="2"/>
  <c r="A13" i="2"/>
  <c r="D10" i="7"/>
  <c r="M13" i="2"/>
  <c r="G37" i="4"/>
  <c r="G41" i="4"/>
  <c r="K49" i="4"/>
  <c r="K50" i="4"/>
  <c r="I10" i="7"/>
  <c r="O10" i="7" s="1"/>
  <c r="Q19" i="2"/>
  <c r="F19" i="2" l="1"/>
  <c r="Q20" i="2"/>
  <c r="F20" i="2" s="1"/>
  <c r="T50" i="2" l="1"/>
  <c r="B35" i="2" s="1"/>
  <c r="T52" i="2"/>
  <c r="T54" i="2"/>
  <c r="T51" i="2"/>
  <c r="T53" i="2"/>
  <c r="T55" i="2"/>
  <c r="T58" i="2"/>
  <c r="B36" i="2" s="1"/>
  <c r="T60" i="2"/>
  <c r="T62" i="2"/>
  <c r="T59" i="2"/>
  <c r="T61" i="2"/>
  <c r="T63" i="2"/>
  <c r="D36" i="2" l="1"/>
  <c r="H36" i="2"/>
  <c r="D49" i="2"/>
  <c r="E49" i="2" s="1"/>
  <c r="D48" i="2"/>
  <c r="E48" i="2" s="1"/>
  <c r="D35" i="2"/>
  <c r="H35" i="2"/>
  <c r="P113" i="2" l="1"/>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E35" i="2" s="1"/>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79" i="2"/>
  <c r="P680" i="2"/>
  <c r="P681" i="2"/>
  <c r="P682" i="2"/>
  <c r="P683" i="2"/>
  <c r="P684" i="2"/>
  <c r="P685" i="2"/>
  <c r="P686" i="2"/>
  <c r="P687" i="2"/>
  <c r="P688" i="2"/>
  <c r="P689" i="2"/>
  <c r="P690" i="2"/>
  <c r="P691" i="2"/>
  <c r="P692" i="2"/>
  <c r="P693" i="2"/>
  <c r="P694" i="2"/>
  <c r="P695" i="2"/>
  <c r="P696" i="2"/>
  <c r="P697" i="2"/>
  <c r="P698" i="2"/>
  <c r="P699" i="2"/>
  <c r="P700" i="2"/>
  <c r="P701" i="2"/>
  <c r="P702" i="2"/>
  <c r="P703" i="2"/>
  <c r="P704" i="2"/>
  <c r="P705" i="2"/>
  <c r="P706" i="2"/>
  <c r="P707" i="2"/>
  <c r="P708" i="2"/>
  <c r="P709" i="2"/>
  <c r="P710" i="2"/>
  <c r="P711" i="2"/>
  <c r="P712" i="2"/>
  <c r="P713" i="2"/>
  <c r="P714" i="2"/>
  <c r="P715" i="2"/>
  <c r="P716" i="2"/>
  <c r="P717" i="2"/>
  <c r="P718" i="2"/>
  <c r="P719" i="2"/>
  <c r="P720" i="2"/>
  <c r="P721" i="2"/>
  <c r="P722" i="2"/>
  <c r="P723" i="2"/>
  <c r="P724" i="2"/>
  <c r="P725" i="2"/>
  <c r="P726" i="2"/>
  <c r="P727" i="2"/>
  <c r="P728" i="2"/>
  <c r="P729" i="2"/>
  <c r="P730" i="2"/>
  <c r="P731" i="2"/>
  <c r="P732" i="2"/>
  <c r="P733" i="2"/>
  <c r="P734" i="2"/>
  <c r="P735" i="2"/>
  <c r="P736" i="2"/>
  <c r="P737" i="2"/>
  <c r="P738" i="2"/>
  <c r="P739" i="2"/>
  <c r="P740" i="2"/>
  <c r="P741" i="2"/>
  <c r="P742" i="2"/>
  <c r="P743" i="2"/>
  <c r="P744" i="2"/>
  <c r="P745" i="2"/>
  <c r="P746" i="2"/>
  <c r="P747" i="2"/>
  <c r="P748" i="2"/>
  <c r="P749" i="2"/>
  <c r="P750" i="2"/>
  <c r="P751" i="2"/>
  <c r="P752" i="2"/>
  <c r="P753" i="2"/>
  <c r="P754" i="2"/>
  <c r="P755" i="2"/>
  <c r="P756" i="2"/>
  <c r="P757" i="2"/>
  <c r="P758" i="2"/>
  <c r="P759" i="2"/>
  <c r="P760" i="2"/>
  <c r="P761" i="2"/>
  <c r="P762" i="2"/>
  <c r="P763" i="2"/>
  <c r="P764" i="2"/>
  <c r="P765" i="2"/>
  <c r="P766" i="2"/>
  <c r="P767" i="2"/>
  <c r="P768" i="2"/>
  <c r="P769" i="2"/>
  <c r="P770" i="2"/>
  <c r="P771" i="2"/>
  <c r="P772" i="2"/>
  <c r="P773" i="2"/>
  <c r="P774" i="2"/>
  <c r="P775" i="2"/>
  <c r="P776" i="2"/>
  <c r="P777" i="2"/>
  <c r="P778" i="2"/>
  <c r="P779" i="2"/>
  <c r="P780" i="2"/>
  <c r="P781" i="2"/>
  <c r="P782" i="2"/>
  <c r="P783" i="2"/>
  <c r="P784" i="2"/>
  <c r="P785" i="2"/>
  <c r="P786" i="2"/>
  <c r="P787" i="2"/>
  <c r="P788" i="2"/>
  <c r="P789" i="2"/>
  <c r="P790" i="2"/>
  <c r="P791" i="2"/>
  <c r="P792" i="2"/>
  <c r="P793" i="2"/>
  <c r="P794" i="2"/>
  <c r="P795" i="2"/>
  <c r="P796" i="2"/>
  <c r="P797" i="2"/>
  <c r="P798" i="2"/>
  <c r="P799" i="2"/>
  <c r="P800" i="2"/>
  <c r="P801" i="2"/>
  <c r="P802" i="2"/>
  <c r="P803" i="2"/>
  <c r="P804" i="2"/>
  <c r="P805" i="2"/>
  <c r="P806" i="2"/>
  <c r="P807" i="2"/>
  <c r="P808" i="2"/>
  <c r="P809" i="2"/>
  <c r="P810" i="2"/>
  <c r="P811" i="2"/>
  <c r="P812" i="2"/>
  <c r="P813" i="2"/>
  <c r="P814" i="2"/>
  <c r="P815" i="2"/>
  <c r="P816" i="2"/>
  <c r="P817" i="2"/>
  <c r="P818" i="2"/>
  <c r="P819" i="2"/>
  <c r="P820" i="2"/>
  <c r="P821" i="2"/>
  <c r="P822" i="2"/>
  <c r="P823" i="2"/>
  <c r="P824" i="2"/>
  <c r="P825" i="2"/>
  <c r="P826" i="2"/>
  <c r="P827" i="2"/>
  <c r="P828" i="2"/>
  <c r="P829" i="2"/>
  <c r="P830" i="2"/>
  <c r="P831" i="2"/>
  <c r="P832" i="2"/>
  <c r="P833" i="2"/>
  <c r="P834" i="2"/>
  <c r="P835" i="2"/>
  <c r="P836" i="2"/>
  <c r="P837" i="2"/>
  <c r="P838" i="2"/>
  <c r="P839" i="2"/>
  <c r="P840" i="2"/>
  <c r="P841" i="2"/>
  <c r="P842" i="2"/>
  <c r="P843" i="2"/>
  <c r="P844" i="2"/>
  <c r="P845" i="2"/>
  <c r="P846" i="2"/>
  <c r="P847" i="2"/>
  <c r="P848" i="2"/>
  <c r="P850" i="2"/>
  <c r="P852" i="2"/>
  <c r="P854" i="2"/>
  <c r="P856" i="2"/>
  <c r="P858" i="2"/>
  <c r="P860" i="2"/>
  <c r="P849" i="2"/>
  <c r="P851" i="2"/>
  <c r="P853" i="2"/>
  <c r="P855" i="2"/>
  <c r="P857" i="2"/>
  <c r="P859" i="2"/>
  <c r="P861" i="2"/>
  <c r="P862" i="2"/>
  <c r="P863" i="2"/>
  <c r="P864" i="2"/>
  <c r="P865" i="2"/>
  <c r="P866" i="2"/>
  <c r="P867" i="2"/>
  <c r="P868" i="2"/>
  <c r="P869" i="2"/>
  <c r="P870" i="2"/>
  <c r="P871" i="2"/>
  <c r="P872" i="2"/>
  <c r="P873" i="2"/>
  <c r="P874" i="2"/>
  <c r="P875" i="2"/>
  <c r="P876" i="2"/>
  <c r="P877" i="2"/>
  <c r="P878" i="2"/>
  <c r="P879" i="2"/>
  <c r="P880" i="2"/>
  <c r="P881" i="2"/>
  <c r="P882" i="2"/>
  <c r="P883" i="2"/>
  <c r="P884" i="2"/>
  <c r="P885" i="2"/>
  <c r="P886" i="2"/>
  <c r="P887" i="2"/>
  <c r="P888" i="2"/>
  <c r="P889" i="2"/>
  <c r="P890" i="2"/>
  <c r="P891" i="2"/>
  <c r="P892" i="2"/>
  <c r="P893" i="2"/>
  <c r="P894" i="2"/>
  <c r="P895" i="2"/>
  <c r="P896" i="2"/>
  <c r="P897" i="2"/>
  <c r="P898" i="2"/>
  <c r="P899" i="2"/>
  <c r="P900" i="2"/>
  <c r="P901" i="2"/>
  <c r="P902" i="2"/>
  <c r="P903" i="2"/>
  <c r="P904" i="2"/>
  <c r="P905" i="2"/>
  <c r="P906" i="2"/>
  <c r="P907" i="2"/>
  <c r="P908" i="2"/>
  <c r="P909" i="2"/>
  <c r="P910" i="2"/>
  <c r="P911" i="2"/>
  <c r="P912" i="2"/>
  <c r="P913" i="2"/>
  <c r="P914" i="2"/>
  <c r="P915" i="2"/>
  <c r="P916" i="2"/>
  <c r="P917" i="2"/>
  <c r="P918" i="2"/>
  <c r="P919" i="2"/>
  <c r="P920" i="2"/>
  <c r="P921" i="2"/>
  <c r="P922" i="2"/>
  <c r="P923" i="2"/>
  <c r="P924" i="2"/>
  <c r="P925" i="2"/>
  <c r="P926" i="2"/>
  <c r="P927" i="2"/>
  <c r="P928" i="2"/>
  <c r="P929" i="2"/>
  <c r="P930" i="2"/>
  <c r="P931" i="2"/>
  <c r="P932" i="2"/>
  <c r="P933" i="2"/>
  <c r="P934" i="2"/>
  <c r="P935" i="2"/>
  <c r="P936" i="2"/>
  <c r="P937" i="2"/>
  <c r="P938" i="2"/>
  <c r="P939" i="2"/>
  <c r="P940" i="2"/>
  <c r="P941" i="2"/>
  <c r="P942" i="2"/>
  <c r="P943" i="2"/>
  <c r="P944" i="2"/>
  <c r="P945" i="2"/>
  <c r="P946" i="2"/>
  <c r="P947" i="2"/>
  <c r="P948" i="2"/>
  <c r="P949" i="2"/>
  <c r="P950" i="2"/>
  <c r="P951" i="2"/>
  <c r="P952" i="2"/>
  <c r="P953" i="2"/>
  <c r="P954" i="2"/>
  <c r="P955" i="2"/>
  <c r="P956" i="2"/>
  <c r="P957" i="2"/>
  <c r="P958" i="2"/>
  <c r="P959" i="2"/>
  <c r="P960" i="2"/>
  <c r="P961" i="2"/>
  <c r="P962" i="2"/>
  <c r="P963" i="2"/>
  <c r="P964" i="2"/>
  <c r="P965" i="2"/>
  <c r="P966" i="2"/>
  <c r="P967" i="2"/>
  <c r="P968" i="2"/>
  <c r="P969" i="2"/>
  <c r="P970" i="2"/>
  <c r="P971" i="2"/>
  <c r="P972" i="2"/>
  <c r="P973" i="2"/>
  <c r="P974" i="2"/>
  <c r="P975" i="2"/>
  <c r="P976" i="2"/>
  <c r="P977" i="2"/>
  <c r="P978" i="2"/>
  <c r="P979" i="2"/>
  <c r="P980" i="2"/>
  <c r="P981" i="2"/>
  <c r="P982" i="2"/>
  <c r="P983" i="2"/>
  <c r="P984" i="2"/>
  <c r="P985" i="2"/>
  <c r="P986" i="2"/>
  <c r="P987" i="2"/>
  <c r="P988" i="2"/>
  <c r="P989" i="2"/>
  <c r="P990" i="2"/>
  <c r="P991" i="2"/>
  <c r="P992" i="2"/>
  <c r="P993" i="2"/>
  <c r="P994" i="2"/>
  <c r="P995" i="2"/>
  <c r="P996" i="2"/>
  <c r="P997" i="2"/>
  <c r="P998" i="2"/>
  <c r="P999" i="2"/>
  <c r="P1000" i="2"/>
  <c r="P1001" i="2"/>
  <c r="P1002" i="2"/>
  <c r="P1003" i="2"/>
  <c r="P1004" i="2"/>
  <c r="P1005" i="2"/>
  <c r="P1006" i="2"/>
  <c r="P1007" i="2"/>
  <c r="P1008" i="2"/>
  <c r="P1009" i="2"/>
  <c r="P1010" i="2"/>
  <c r="P1011" i="2"/>
  <c r="P1012" i="2"/>
  <c r="P1013" i="2"/>
  <c r="P1014" i="2"/>
  <c r="P1015" i="2"/>
  <c r="P1016" i="2"/>
  <c r="P1017" i="2"/>
  <c r="P1018" i="2"/>
  <c r="P1019" i="2"/>
  <c r="P1020" i="2"/>
  <c r="P1021" i="2"/>
  <c r="P1022" i="2"/>
  <c r="P1023" i="2"/>
  <c r="P1024" i="2"/>
  <c r="P1025" i="2"/>
  <c r="P1026" i="2"/>
  <c r="P1027" i="2"/>
  <c r="P1028" i="2"/>
  <c r="P1029" i="2"/>
  <c r="P1030" i="2"/>
  <c r="P1031" i="2"/>
  <c r="P1032" i="2"/>
  <c r="P1033" i="2"/>
  <c r="P1034" i="2"/>
  <c r="P1035" i="2"/>
  <c r="P1036" i="2"/>
  <c r="P1037" i="2"/>
  <c r="P1038" i="2"/>
  <c r="P1039" i="2"/>
  <c r="P1040" i="2"/>
  <c r="P1041" i="2"/>
  <c r="P1042" i="2"/>
  <c r="P1043" i="2"/>
  <c r="P1044" i="2"/>
  <c r="P1045" i="2"/>
  <c r="P1046" i="2"/>
  <c r="P1047" i="2"/>
  <c r="P1048" i="2"/>
  <c r="P1049" i="2"/>
  <c r="P1050" i="2"/>
  <c r="P1051" i="2"/>
  <c r="P1052" i="2"/>
  <c r="P1053" i="2"/>
  <c r="P1054" i="2"/>
  <c r="P1055" i="2"/>
  <c r="P1056" i="2"/>
  <c r="P1057" i="2"/>
  <c r="P1058" i="2"/>
  <c r="P1059" i="2"/>
  <c r="P1060" i="2"/>
  <c r="P1061" i="2"/>
  <c r="P1062" i="2"/>
  <c r="P1063" i="2"/>
  <c r="P1064" i="2"/>
  <c r="P1065" i="2"/>
  <c r="P1066" i="2"/>
  <c r="P1067" i="2"/>
  <c r="P1068" i="2"/>
  <c r="P1069" i="2"/>
  <c r="P1070" i="2"/>
  <c r="P1071" i="2"/>
  <c r="P1072" i="2"/>
  <c r="P1073" i="2"/>
  <c r="P1074" i="2"/>
  <c r="P1075" i="2"/>
  <c r="P1076" i="2"/>
  <c r="P1077" i="2"/>
  <c r="P1078" i="2"/>
  <c r="P1079" i="2"/>
  <c r="P1080" i="2"/>
  <c r="P1081" i="2"/>
  <c r="P1082" i="2"/>
  <c r="P1083" i="2"/>
  <c r="P1084" i="2"/>
  <c r="P1085" i="2"/>
  <c r="P1086" i="2"/>
  <c r="P1087" i="2"/>
  <c r="P1088" i="2"/>
  <c r="P1089" i="2"/>
  <c r="P1090" i="2"/>
  <c r="P1091" i="2"/>
  <c r="P1092" i="2"/>
  <c r="P1093" i="2"/>
  <c r="P1094" i="2"/>
  <c r="P1095" i="2"/>
  <c r="P1096" i="2"/>
  <c r="P1097" i="2"/>
  <c r="P1098" i="2"/>
  <c r="P1099" i="2"/>
  <c r="P1100" i="2"/>
  <c r="P1101" i="2"/>
  <c r="P1102" i="2"/>
  <c r="P1103" i="2"/>
  <c r="P1104" i="2"/>
  <c r="P1105" i="2"/>
  <c r="P1106" i="2"/>
  <c r="P1107" i="2"/>
  <c r="P1108" i="2"/>
  <c r="P1109" i="2"/>
  <c r="P1110" i="2"/>
  <c r="P1111" i="2"/>
  <c r="P1112" i="2"/>
  <c r="P1113" i="2"/>
  <c r="P1114" i="2"/>
  <c r="P1115" i="2"/>
  <c r="P1116" i="2"/>
  <c r="P1117" i="2"/>
  <c r="P1118" i="2"/>
  <c r="P1119" i="2"/>
  <c r="P1120" i="2"/>
  <c r="P1121" i="2"/>
  <c r="P1122" i="2"/>
  <c r="P1123" i="2"/>
  <c r="P1124" i="2"/>
  <c r="P1125" i="2"/>
  <c r="P1126" i="2"/>
  <c r="P1127" i="2"/>
  <c r="P1128" i="2"/>
  <c r="P1129" i="2"/>
  <c r="P1130" i="2"/>
  <c r="P1131" i="2"/>
  <c r="P1132" i="2"/>
  <c r="P1133" i="2"/>
  <c r="P1134" i="2"/>
  <c r="P1135" i="2"/>
  <c r="P1136" i="2"/>
  <c r="P1137" i="2"/>
  <c r="P1138" i="2"/>
  <c r="P1139" i="2"/>
  <c r="P1140" i="2"/>
  <c r="P1141" i="2"/>
  <c r="P1142" i="2"/>
  <c r="P1143" i="2"/>
  <c r="P1144" i="2"/>
  <c r="P1145" i="2"/>
  <c r="P1146" i="2"/>
  <c r="P1147" i="2"/>
  <c r="P1148" i="2"/>
  <c r="P1149" i="2"/>
  <c r="P1150" i="2"/>
  <c r="P1151" i="2"/>
  <c r="P1152" i="2"/>
  <c r="P1153" i="2"/>
  <c r="P1154" i="2"/>
  <c r="P1155" i="2"/>
  <c r="P1156" i="2"/>
  <c r="P1157" i="2"/>
  <c r="P1158" i="2"/>
  <c r="P1159" i="2"/>
  <c r="P1160" i="2"/>
  <c r="P1161" i="2"/>
  <c r="P1162" i="2"/>
  <c r="P1163" i="2"/>
  <c r="P1164" i="2"/>
  <c r="P1165" i="2"/>
  <c r="P1166" i="2"/>
  <c r="P1167" i="2"/>
  <c r="P1168" i="2"/>
  <c r="P1169" i="2"/>
  <c r="P1170" i="2"/>
  <c r="P1171" i="2"/>
  <c r="P1172" i="2"/>
  <c r="P1173" i="2"/>
  <c r="P1174" i="2"/>
  <c r="P1175" i="2"/>
  <c r="P1176" i="2"/>
  <c r="P1177" i="2"/>
  <c r="P1178" i="2"/>
  <c r="P1179" i="2"/>
  <c r="P1180" i="2"/>
  <c r="P1181" i="2"/>
  <c r="P1182" i="2"/>
  <c r="P1183" i="2"/>
  <c r="P1184" i="2"/>
  <c r="P1185" i="2"/>
  <c r="P1186" i="2"/>
  <c r="P1187" i="2"/>
  <c r="P1188" i="2"/>
  <c r="P1189" i="2"/>
  <c r="P1190" i="2"/>
  <c r="P1191" i="2"/>
  <c r="P1192" i="2"/>
  <c r="P1193" i="2"/>
  <c r="P1194" i="2"/>
  <c r="P1195" i="2"/>
  <c r="P1196" i="2"/>
  <c r="P1197" i="2"/>
  <c r="P1198" i="2"/>
  <c r="P1199" i="2"/>
  <c r="P1200" i="2"/>
  <c r="P1201" i="2"/>
  <c r="P1202" i="2"/>
  <c r="P1203" i="2"/>
  <c r="P1204" i="2"/>
  <c r="P1205" i="2"/>
  <c r="P1206" i="2"/>
  <c r="P1207" i="2"/>
  <c r="P1208" i="2"/>
  <c r="P1209" i="2"/>
  <c r="P1210" i="2"/>
  <c r="P1211" i="2"/>
  <c r="P1212" i="2"/>
  <c r="P1213" i="2"/>
  <c r="P1214" i="2"/>
  <c r="P1215" i="2"/>
  <c r="P1216" i="2"/>
  <c r="P1217" i="2"/>
  <c r="P1218" i="2"/>
  <c r="P1219" i="2"/>
  <c r="P1220" i="2"/>
  <c r="P1221" i="2"/>
  <c r="P1222" i="2"/>
  <c r="P1223" i="2"/>
  <c r="P1224" i="2"/>
  <c r="P1225" i="2"/>
  <c r="P1226" i="2"/>
  <c r="P1227" i="2"/>
  <c r="P1228" i="2"/>
  <c r="P1229" i="2"/>
  <c r="P1230" i="2"/>
  <c r="P1231" i="2"/>
  <c r="P1232" i="2"/>
  <c r="P1233" i="2"/>
  <c r="P1234" i="2"/>
  <c r="P1235" i="2"/>
  <c r="P1236" i="2"/>
  <c r="P1237" i="2"/>
  <c r="P1238" i="2"/>
  <c r="P1239" i="2"/>
  <c r="P1240" i="2"/>
  <c r="P1241" i="2"/>
  <c r="P1242" i="2"/>
  <c r="P1243" i="2"/>
  <c r="P1244" i="2"/>
  <c r="P1245" i="2"/>
  <c r="P1246" i="2"/>
  <c r="P1247" i="2"/>
  <c r="P1248" i="2"/>
  <c r="P1249" i="2"/>
  <c r="P1250" i="2"/>
  <c r="P1251" i="2"/>
  <c r="P1252" i="2"/>
  <c r="P1253" i="2"/>
  <c r="P1254" i="2"/>
  <c r="P1255" i="2"/>
  <c r="P1256" i="2"/>
  <c r="P1257" i="2"/>
  <c r="P1258" i="2"/>
  <c r="P1259" i="2"/>
  <c r="P1260" i="2"/>
  <c r="P1261" i="2"/>
  <c r="P1262" i="2"/>
  <c r="P1263" i="2"/>
  <c r="P1264" i="2"/>
  <c r="P1265" i="2"/>
  <c r="P1266" i="2"/>
  <c r="P1267" i="2"/>
  <c r="P1268" i="2"/>
  <c r="P1269" i="2"/>
  <c r="P1270" i="2"/>
  <c r="P1271" i="2"/>
  <c r="P1272" i="2"/>
  <c r="P1273" i="2"/>
  <c r="P1274" i="2"/>
  <c r="P1275" i="2"/>
  <c r="P1276" i="2"/>
  <c r="P1277" i="2"/>
  <c r="P1278" i="2"/>
  <c r="P1279" i="2"/>
  <c r="P1280" i="2"/>
  <c r="P1281" i="2"/>
  <c r="P1282" i="2"/>
  <c r="P1283" i="2"/>
  <c r="P1284" i="2"/>
  <c r="P1285" i="2"/>
  <c r="P1286" i="2"/>
  <c r="P1287" i="2"/>
  <c r="P1288" i="2"/>
  <c r="P1289" i="2"/>
  <c r="P1290" i="2"/>
  <c r="P1291" i="2"/>
  <c r="P1292" i="2"/>
  <c r="P1293" i="2"/>
  <c r="P1294" i="2"/>
  <c r="P1295" i="2"/>
  <c r="P1296" i="2"/>
  <c r="P1297" i="2"/>
  <c r="P1298" i="2"/>
  <c r="P1299" i="2"/>
  <c r="P1300" i="2"/>
  <c r="P1301" i="2"/>
  <c r="P1302" i="2"/>
  <c r="P1303" i="2"/>
  <c r="P1304" i="2"/>
  <c r="P1305" i="2"/>
  <c r="P1306" i="2"/>
  <c r="P1307" i="2"/>
  <c r="P1308" i="2"/>
  <c r="P1309" i="2"/>
  <c r="P1310" i="2"/>
  <c r="P1311" i="2"/>
  <c r="P1312" i="2"/>
  <c r="P1313" i="2"/>
  <c r="P1314" i="2"/>
  <c r="P1315" i="2"/>
  <c r="P1316" i="2"/>
  <c r="P1317" i="2"/>
  <c r="P1318" i="2"/>
  <c r="P1319" i="2"/>
  <c r="P1320" i="2"/>
  <c r="P1321" i="2"/>
  <c r="P1322" i="2"/>
  <c r="P1323" i="2"/>
  <c r="P1324" i="2"/>
  <c r="P1325" i="2"/>
  <c r="P1326" i="2"/>
  <c r="P1327" i="2"/>
  <c r="P1328" i="2"/>
  <c r="P1329" i="2"/>
  <c r="P1330" i="2"/>
  <c r="P1331" i="2"/>
  <c r="P1332" i="2"/>
  <c r="P1333" i="2"/>
  <c r="P1334" i="2"/>
  <c r="P1335" i="2"/>
  <c r="P1336" i="2"/>
  <c r="P1337" i="2"/>
  <c r="P1338" i="2"/>
  <c r="P1339" i="2"/>
  <c r="P1340" i="2"/>
  <c r="P1341" i="2"/>
  <c r="P1342" i="2"/>
  <c r="P1343" i="2"/>
  <c r="P1344" i="2"/>
  <c r="P1345" i="2"/>
  <c r="P1346" i="2"/>
  <c r="P1347" i="2"/>
  <c r="P1348" i="2"/>
  <c r="P1349" i="2"/>
  <c r="P1350" i="2"/>
  <c r="P1351" i="2"/>
  <c r="P1352" i="2"/>
  <c r="P1353" i="2"/>
  <c r="P1354" i="2"/>
  <c r="P1355" i="2"/>
  <c r="P1356" i="2"/>
  <c r="P1357" i="2"/>
  <c r="P1358" i="2"/>
  <c r="P1359" i="2"/>
  <c r="P1360" i="2"/>
  <c r="P1361" i="2"/>
  <c r="P1362" i="2"/>
  <c r="P1363" i="2"/>
  <c r="P1364" i="2"/>
  <c r="P1365" i="2"/>
  <c r="P1366" i="2"/>
  <c r="P1367" i="2"/>
  <c r="P1368" i="2"/>
  <c r="P1369" i="2"/>
  <c r="P1370" i="2"/>
  <c r="P1371" i="2"/>
  <c r="P1372" i="2"/>
  <c r="P1373" i="2"/>
  <c r="P1374" i="2"/>
  <c r="P1375" i="2"/>
  <c r="P1376" i="2"/>
  <c r="P1377" i="2"/>
  <c r="P1378" i="2"/>
  <c r="P1379" i="2"/>
  <c r="P1380" i="2"/>
  <c r="P1381" i="2"/>
  <c r="P1382" i="2"/>
  <c r="P1383" i="2"/>
  <c r="P1384" i="2"/>
  <c r="P1385" i="2"/>
  <c r="P1386" i="2"/>
  <c r="P1387" i="2"/>
  <c r="P1388" i="2"/>
  <c r="P1389" i="2"/>
  <c r="P1390" i="2"/>
  <c r="P1391" i="2"/>
  <c r="P1392" i="2"/>
  <c r="P1393" i="2"/>
  <c r="P1394" i="2"/>
  <c r="P1395" i="2"/>
  <c r="P1396" i="2"/>
  <c r="P1397" i="2"/>
  <c r="P1398" i="2"/>
  <c r="P1399" i="2"/>
  <c r="P1400" i="2"/>
  <c r="P1401" i="2"/>
  <c r="P1402" i="2"/>
  <c r="P1403" i="2"/>
  <c r="P1404" i="2"/>
  <c r="P1405" i="2"/>
  <c r="P1406" i="2"/>
  <c r="P1407" i="2"/>
  <c r="P1408" i="2"/>
  <c r="P1409" i="2"/>
  <c r="P1410" i="2"/>
  <c r="P1411" i="2"/>
  <c r="P1412" i="2"/>
  <c r="P1413" i="2"/>
  <c r="P1414" i="2"/>
  <c r="P1415" i="2"/>
  <c r="P1416" i="2"/>
  <c r="P1417" i="2"/>
  <c r="P1418" i="2"/>
  <c r="P1419" i="2"/>
  <c r="P1420" i="2"/>
  <c r="P1421" i="2"/>
  <c r="P1422" i="2"/>
  <c r="P1423" i="2"/>
  <c r="P1424" i="2"/>
  <c r="P1425" i="2"/>
  <c r="P1426" i="2"/>
  <c r="P1427" i="2"/>
  <c r="P1428" i="2"/>
  <c r="P1429" i="2"/>
  <c r="P1430" i="2"/>
  <c r="P1431" i="2"/>
  <c r="P1432" i="2"/>
  <c r="P1433" i="2"/>
  <c r="P1434" i="2"/>
  <c r="P1435" i="2"/>
  <c r="P1436" i="2"/>
  <c r="P1437" i="2"/>
  <c r="P1438" i="2"/>
  <c r="P1439" i="2"/>
  <c r="P1440" i="2"/>
  <c r="P1441" i="2"/>
  <c r="P1442" i="2"/>
  <c r="P1443" i="2"/>
  <c r="P1444" i="2"/>
  <c r="P1445" i="2"/>
  <c r="P1446" i="2"/>
  <c r="P1447" i="2"/>
  <c r="P1448" i="2"/>
  <c r="P1449" i="2"/>
  <c r="P1450" i="2"/>
  <c r="P1451" i="2"/>
  <c r="P1452" i="2"/>
  <c r="P1453" i="2"/>
  <c r="P1454" i="2"/>
  <c r="P1455" i="2"/>
  <c r="P1456" i="2"/>
  <c r="P1457" i="2"/>
  <c r="P1458" i="2"/>
  <c r="P1459" i="2"/>
  <c r="P1460" i="2"/>
  <c r="P1461" i="2"/>
  <c r="P1462" i="2"/>
  <c r="P1463" i="2"/>
  <c r="P1464" i="2"/>
  <c r="P1465" i="2"/>
  <c r="P1466" i="2"/>
  <c r="P1467" i="2"/>
  <c r="P1468" i="2"/>
  <c r="P1469" i="2"/>
  <c r="P1470" i="2"/>
  <c r="P1471" i="2"/>
  <c r="P1472" i="2"/>
  <c r="P1473" i="2"/>
  <c r="P1474" i="2"/>
  <c r="P1475" i="2"/>
  <c r="P1476" i="2"/>
  <c r="P1477" i="2"/>
  <c r="P1478" i="2"/>
  <c r="P1479" i="2"/>
  <c r="P1480" i="2"/>
  <c r="P1481" i="2"/>
  <c r="P1482" i="2"/>
  <c r="P1483" i="2"/>
  <c r="P1484" i="2"/>
  <c r="P1485" i="2"/>
  <c r="P1486" i="2"/>
  <c r="P1487" i="2"/>
  <c r="P1488" i="2"/>
  <c r="P1489" i="2"/>
  <c r="P1490" i="2"/>
  <c r="P1491" i="2"/>
  <c r="P1492" i="2"/>
  <c r="P1493" i="2"/>
  <c r="P1494" i="2"/>
  <c r="P1495" i="2"/>
  <c r="P1496" i="2"/>
  <c r="P1497" i="2"/>
  <c r="P1498" i="2"/>
  <c r="P1499" i="2"/>
  <c r="P1500" i="2"/>
  <c r="P1501" i="2"/>
  <c r="P1502" i="2"/>
  <c r="P1503" i="2"/>
  <c r="P1504" i="2"/>
  <c r="P1505" i="2"/>
  <c r="P1506" i="2"/>
  <c r="P1507" i="2"/>
  <c r="P1508" i="2"/>
  <c r="P1509" i="2"/>
  <c r="P1510" i="2"/>
  <c r="P1511" i="2"/>
  <c r="P1512" i="2"/>
  <c r="P1513" i="2"/>
  <c r="P1514" i="2"/>
  <c r="P1515" i="2"/>
  <c r="P1516" i="2"/>
  <c r="P1517" i="2"/>
  <c r="P1518" i="2"/>
  <c r="P1519" i="2"/>
  <c r="P1520" i="2"/>
  <c r="P1521" i="2"/>
  <c r="P1522" i="2"/>
  <c r="P1523" i="2"/>
  <c r="P1524" i="2"/>
  <c r="P1525" i="2"/>
  <c r="P1526" i="2"/>
  <c r="P1527" i="2"/>
  <c r="P1528" i="2"/>
  <c r="P1529" i="2"/>
  <c r="P1530" i="2"/>
  <c r="P1531" i="2"/>
  <c r="P1532" i="2"/>
  <c r="P1533" i="2"/>
  <c r="P1534" i="2"/>
  <c r="P1535" i="2"/>
  <c r="P1536" i="2"/>
  <c r="P1537" i="2"/>
  <c r="P1538" i="2"/>
  <c r="P1539" i="2"/>
  <c r="P1540" i="2"/>
  <c r="P1541" i="2"/>
  <c r="P1542" i="2"/>
  <c r="P1543" i="2"/>
  <c r="P1544" i="2"/>
  <c r="P1545" i="2"/>
  <c r="P1546" i="2"/>
  <c r="P1547" i="2"/>
  <c r="P1548" i="2"/>
  <c r="P1549" i="2"/>
  <c r="P1550" i="2"/>
  <c r="P1551" i="2"/>
  <c r="P1552" i="2"/>
  <c r="P1553" i="2"/>
  <c r="P1554" i="2"/>
  <c r="P1555" i="2"/>
  <c r="P1556" i="2"/>
  <c r="P1557" i="2"/>
  <c r="P1558" i="2"/>
  <c r="P1559" i="2"/>
  <c r="P1560" i="2"/>
  <c r="P1561" i="2"/>
  <c r="P1562" i="2"/>
  <c r="P1563" i="2"/>
  <c r="P1564" i="2"/>
  <c r="P1565" i="2"/>
  <c r="P1566" i="2"/>
  <c r="P1567" i="2"/>
  <c r="P1568" i="2"/>
  <c r="P1569" i="2"/>
  <c r="P1570" i="2"/>
  <c r="P1571" i="2"/>
  <c r="P1572" i="2"/>
  <c r="P1573" i="2"/>
  <c r="P1574" i="2"/>
  <c r="P1575" i="2"/>
  <c r="P1576" i="2"/>
  <c r="P1577" i="2"/>
  <c r="P1578" i="2"/>
  <c r="P1579" i="2"/>
  <c r="P1580" i="2"/>
  <c r="P1581" i="2"/>
  <c r="P1582" i="2"/>
  <c r="P1583" i="2"/>
  <c r="P1584" i="2"/>
  <c r="P1585" i="2"/>
  <c r="P1586" i="2"/>
  <c r="P1587" i="2"/>
  <c r="P1588" i="2"/>
  <c r="P1589" i="2"/>
  <c r="P1590" i="2"/>
  <c r="P1591" i="2"/>
  <c r="P1592" i="2"/>
  <c r="P1593" i="2"/>
  <c r="P1594" i="2"/>
  <c r="P1595" i="2"/>
  <c r="P1596" i="2"/>
  <c r="P1597" i="2"/>
  <c r="P1598" i="2"/>
  <c r="P1599" i="2"/>
  <c r="P1600" i="2"/>
  <c r="P1601" i="2"/>
  <c r="P1602" i="2"/>
  <c r="P1603" i="2"/>
  <c r="P1604" i="2"/>
  <c r="P1605" i="2"/>
  <c r="P1606" i="2"/>
  <c r="P1607" i="2"/>
  <c r="P1608" i="2"/>
  <c r="P1609" i="2"/>
  <c r="P1610" i="2"/>
  <c r="P1611" i="2"/>
  <c r="P1612" i="2"/>
  <c r="P1613" i="2"/>
  <c r="P1614" i="2"/>
  <c r="P1615" i="2"/>
  <c r="P1616" i="2"/>
  <c r="P1617" i="2"/>
  <c r="P1618" i="2"/>
  <c r="P1619" i="2"/>
  <c r="P1620" i="2"/>
  <c r="P1621" i="2"/>
  <c r="P1622" i="2"/>
  <c r="P1623" i="2"/>
  <c r="P1624" i="2"/>
  <c r="P1625" i="2"/>
  <c r="P1626" i="2"/>
  <c r="P1627" i="2"/>
  <c r="P1628" i="2"/>
  <c r="P1629" i="2"/>
  <c r="P1630" i="2"/>
  <c r="P1631" i="2"/>
  <c r="P1632" i="2"/>
  <c r="P1633" i="2"/>
  <c r="P1634" i="2"/>
  <c r="P1635" i="2"/>
  <c r="P1636" i="2"/>
  <c r="P1637" i="2"/>
  <c r="P1638" i="2"/>
  <c r="P1639" i="2"/>
  <c r="P1640" i="2"/>
  <c r="P1641" i="2"/>
  <c r="P1642" i="2"/>
  <c r="P1643" i="2"/>
  <c r="P1644" i="2"/>
  <c r="P1645" i="2"/>
  <c r="P1646" i="2"/>
  <c r="P1647" i="2"/>
  <c r="P1648" i="2"/>
  <c r="P1649" i="2"/>
  <c r="P1650" i="2"/>
  <c r="P1651" i="2"/>
  <c r="P1652" i="2"/>
  <c r="P1653" i="2"/>
  <c r="P1654" i="2"/>
  <c r="P1655" i="2"/>
  <c r="P1656" i="2"/>
  <c r="P1657" i="2"/>
  <c r="P1658" i="2"/>
  <c r="P1659" i="2"/>
  <c r="P1660" i="2"/>
  <c r="P1661" i="2"/>
  <c r="P1662" i="2"/>
  <c r="P1663" i="2"/>
  <c r="P1664" i="2"/>
  <c r="P1665" i="2"/>
  <c r="P1666" i="2"/>
  <c r="P1667" i="2"/>
  <c r="P1668" i="2"/>
  <c r="P1669" i="2"/>
  <c r="P1670" i="2"/>
  <c r="P1671" i="2"/>
  <c r="P1672" i="2"/>
  <c r="P1673" i="2"/>
  <c r="P1674" i="2"/>
  <c r="P1675" i="2"/>
  <c r="P1676" i="2"/>
  <c r="P1677" i="2"/>
  <c r="P1678" i="2"/>
  <c r="P1679" i="2"/>
  <c r="P1680" i="2"/>
  <c r="P1681" i="2"/>
  <c r="P1682" i="2"/>
  <c r="P1683" i="2"/>
  <c r="P1684" i="2"/>
  <c r="P1685" i="2"/>
  <c r="P1686" i="2"/>
  <c r="P1687" i="2"/>
  <c r="P1688" i="2"/>
  <c r="P1689" i="2"/>
  <c r="P1690" i="2"/>
  <c r="P1691" i="2"/>
  <c r="P1692" i="2"/>
  <c r="P1693" i="2"/>
  <c r="P1694" i="2"/>
  <c r="P1695" i="2"/>
  <c r="P1696" i="2"/>
  <c r="P1697" i="2"/>
  <c r="P1698" i="2"/>
  <c r="P1699" i="2"/>
  <c r="P1700" i="2"/>
  <c r="P1701" i="2"/>
  <c r="P1702" i="2"/>
  <c r="P1703" i="2"/>
  <c r="P1704" i="2"/>
  <c r="P1705" i="2"/>
  <c r="P1706" i="2"/>
  <c r="P1707" i="2"/>
  <c r="P1708" i="2"/>
  <c r="P1709" i="2"/>
  <c r="P1710" i="2"/>
  <c r="P1711" i="2"/>
  <c r="P1712" i="2"/>
  <c r="P1713" i="2"/>
  <c r="P1714" i="2"/>
  <c r="P1715" i="2"/>
  <c r="P1716" i="2"/>
  <c r="P1717" i="2"/>
  <c r="P1718" i="2"/>
  <c r="P1719" i="2"/>
  <c r="P1720" i="2"/>
  <c r="P1721" i="2"/>
  <c r="P1722" i="2"/>
  <c r="P1723" i="2"/>
  <c r="P1724" i="2"/>
  <c r="P1725" i="2"/>
  <c r="P1726" i="2"/>
  <c r="P1727" i="2"/>
  <c r="P1728" i="2"/>
  <c r="P1729" i="2"/>
  <c r="P1730" i="2"/>
  <c r="P1731" i="2"/>
  <c r="P1732" i="2"/>
  <c r="P1733" i="2"/>
  <c r="P1734" i="2"/>
  <c r="P1735" i="2"/>
  <c r="P1736" i="2"/>
  <c r="P1737" i="2"/>
  <c r="P1738" i="2"/>
  <c r="P1739" i="2"/>
  <c r="P1740" i="2"/>
  <c r="P1741" i="2"/>
  <c r="P1742" i="2"/>
  <c r="P1743" i="2"/>
  <c r="P1744" i="2"/>
  <c r="P1745" i="2"/>
  <c r="P1746" i="2"/>
  <c r="P1747" i="2"/>
  <c r="P1748" i="2"/>
  <c r="P1749" i="2"/>
  <c r="P1750" i="2"/>
  <c r="P1751" i="2"/>
  <c r="P1752" i="2"/>
  <c r="P1753" i="2"/>
  <c r="P1754" i="2"/>
  <c r="P1755" i="2"/>
  <c r="P1756" i="2"/>
  <c r="P1757" i="2"/>
  <c r="P1758" i="2"/>
  <c r="P1759" i="2"/>
  <c r="P1760" i="2"/>
  <c r="P1761" i="2"/>
  <c r="P1762" i="2"/>
  <c r="P1763" i="2"/>
  <c r="P1764" i="2"/>
  <c r="P1765" i="2"/>
  <c r="P1766" i="2"/>
  <c r="P1767" i="2"/>
  <c r="P1768" i="2"/>
  <c r="P1769" i="2"/>
  <c r="P1770" i="2"/>
  <c r="P1771" i="2"/>
  <c r="P1772" i="2"/>
  <c r="P1773" i="2"/>
  <c r="P1774" i="2"/>
  <c r="P1775" i="2"/>
  <c r="P1776" i="2"/>
  <c r="P1777" i="2"/>
  <c r="P1778" i="2"/>
  <c r="P1779" i="2"/>
  <c r="P1780" i="2"/>
  <c r="P1781" i="2"/>
  <c r="P1782" i="2"/>
  <c r="P1783" i="2"/>
  <c r="P1784" i="2"/>
  <c r="P1785" i="2"/>
  <c r="P1786" i="2"/>
  <c r="P1787" i="2"/>
  <c r="P1788" i="2"/>
  <c r="P1789" i="2"/>
  <c r="P1790" i="2"/>
  <c r="P1791" i="2"/>
  <c r="P1792" i="2"/>
  <c r="P1793" i="2"/>
  <c r="P1794" i="2"/>
  <c r="P1795" i="2"/>
  <c r="P1796" i="2"/>
  <c r="P1797" i="2"/>
  <c r="P1798" i="2"/>
  <c r="P1799" i="2"/>
  <c r="P1800" i="2"/>
  <c r="P1801" i="2"/>
  <c r="P1802" i="2"/>
  <c r="P1803" i="2"/>
  <c r="P1804" i="2"/>
  <c r="P1805" i="2"/>
  <c r="P1806" i="2"/>
  <c r="P1807" i="2"/>
  <c r="P1808" i="2"/>
  <c r="P1809" i="2"/>
  <c r="P1810" i="2"/>
  <c r="P1811" i="2"/>
  <c r="P1812" i="2"/>
  <c r="P1813" i="2"/>
  <c r="P1814" i="2"/>
  <c r="P1815" i="2"/>
  <c r="P1816" i="2"/>
  <c r="P1817" i="2"/>
  <c r="P1818" i="2"/>
  <c r="P1819" i="2"/>
  <c r="P1820" i="2"/>
  <c r="P1821" i="2"/>
  <c r="P1822" i="2"/>
  <c r="P1823" i="2"/>
  <c r="P1824" i="2"/>
  <c r="P1825" i="2"/>
  <c r="P1826" i="2"/>
  <c r="P1827" i="2"/>
  <c r="P1828" i="2"/>
  <c r="P1829" i="2"/>
  <c r="P1830" i="2"/>
  <c r="P1831" i="2"/>
  <c r="P1832" i="2"/>
  <c r="P1833" i="2"/>
  <c r="P1834" i="2"/>
  <c r="P1835" i="2"/>
  <c r="P1836" i="2"/>
  <c r="P1837" i="2"/>
  <c r="P1838" i="2"/>
  <c r="P1839" i="2"/>
  <c r="P1840" i="2"/>
  <c r="P1841" i="2"/>
  <c r="P1842" i="2"/>
  <c r="P1843" i="2"/>
  <c r="P1844" i="2"/>
  <c r="P1845" i="2"/>
  <c r="P1846" i="2"/>
  <c r="P1847" i="2"/>
  <c r="P1848" i="2"/>
  <c r="P1849" i="2"/>
  <c r="P1850" i="2"/>
  <c r="P1851" i="2"/>
  <c r="P1852" i="2"/>
  <c r="P1853" i="2"/>
  <c r="P1854" i="2"/>
  <c r="P1855" i="2"/>
  <c r="P1856" i="2"/>
  <c r="P1857" i="2"/>
  <c r="P1858" i="2"/>
  <c r="P1859" i="2"/>
  <c r="P1860" i="2"/>
  <c r="P1861" i="2"/>
  <c r="P1862" i="2"/>
  <c r="P1863" i="2"/>
  <c r="P1864" i="2"/>
  <c r="P1865" i="2"/>
  <c r="P1866" i="2"/>
  <c r="P1867" i="2"/>
  <c r="P1868" i="2"/>
  <c r="P1869" i="2"/>
  <c r="P1870" i="2"/>
  <c r="P1871" i="2"/>
  <c r="P1872" i="2"/>
  <c r="P1873" i="2"/>
  <c r="P1874" i="2"/>
  <c r="P1875" i="2"/>
  <c r="P1876" i="2"/>
  <c r="P1877" i="2"/>
  <c r="P1878" i="2"/>
  <c r="P1879" i="2"/>
  <c r="P1880" i="2"/>
  <c r="P1881" i="2"/>
  <c r="P1882" i="2"/>
  <c r="P1883" i="2"/>
  <c r="P1884" i="2"/>
  <c r="P1885" i="2"/>
  <c r="P1886" i="2"/>
  <c r="P1887" i="2"/>
  <c r="P1888" i="2"/>
  <c r="P1889" i="2"/>
  <c r="P1890" i="2"/>
  <c r="P1891" i="2"/>
  <c r="P1892" i="2"/>
  <c r="P1893" i="2"/>
  <c r="P1894" i="2"/>
  <c r="P1895" i="2"/>
  <c r="P1896" i="2"/>
  <c r="P1897" i="2"/>
  <c r="P1898" i="2"/>
  <c r="P1899" i="2"/>
  <c r="P1900" i="2"/>
  <c r="P1901" i="2"/>
  <c r="P1902" i="2"/>
  <c r="P1903" i="2"/>
  <c r="P1904" i="2"/>
  <c r="P1905" i="2"/>
  <c r="P1906" i="2"/>
  <c r="P1907" i="2"/>
  <c r="P1908" i="2"/>
  <c r="P1909" i="2"/>
  <c r="P1910" i="2"/>
  <c r="P1911" i="2"/>
  <c r="P1912" i="2"/>
  <c r="R113" i="2"/>
  <c r="R114" i="2"/>
  <c r="R115" i="2"/>
  <c r="R116" i="2"/>
  <c r="R117" i="2"/>
  <c r="R118" i="2"/>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6" i="2"/>
  <c r="R327" i="2"/>
  <c r="R328" i="2"/>
  <c r="R329" i="2"/>
  <c r="R330" i="2"/>
  <c r="R331" i="2"/>
  <c r="R332" i="2"/>
  <c r="R333" i="2"/>
  <c r="R334" i="2"/>
  <c r="R335" i="2"/>
  <c r="R336" i="2"/>
  <c r="R337" i="2"/>
  <c r="R338" i="2"/>
  <c r="R339" i="2"/>
  <c r="R340" i="2"/>
  <c r="R341" i="2"/>
  <c r="R342" i="2"/>
  <c r="R343" i="2"/>
  <c r="R344" i="2"/>
  <c r="R345" i="2"/>
  <c r="R346" i="2"/>
  <c r="R347" i="2"/>
  <c r="R348" i="2"/>
  <c r="R349" i="2"/>
  <c r="R350" i="2"/>
  <c r="R351" i="2"/>
  <c r="R352" i="2"/>
  <c r="R353" i="2"/>
  <c r="R354" i="2"/>
  <c r="R355" i="2"/>
  <c r="R356" i="2"/>
  <c r="R357" i="2"/>
  <c r="R358" i="2"/>
  <c r="R359" i="2"/>
  <c r="R360" i="2"/>
  <c r="R361" i="2"/>
  <c r="R362" i="2"/>
  <c r="R363" i="2"/>
  <c r="R364" i="2"/>
  <c r="R365" i="2"/>
  <c r="R366" i="2"/>
  <c r="R367" i="2"/>
  <c r="R368" i="2"/>
  <c r="R369" i="2"/>
  <c r="R370" i="2"/>
  <c r="R371" i="2"/>
  <c r="R372" i="2"/>
  <c r="R373" i="2"/>
  <c r="R374" i="2"/>
  <c r="R375" i="2"/>
  <c r="R376" i="2"/>
  <c r="R377" i="2"/>
  <c r="R378" i="2"/>
  <c r="R379" i="2"/>
  <c r="R380" i="2"/>
  <c r="R381" i="2"/>
  <c r="R382" i="2"/>
  <c r="R383" i="2"/>
  <c r="R384" i="2"/>
  <c r="R385" i="2"/>
  <c r="R386" i="2"/>
  <c r="R387" i="2"/>
  <c r="R388" i="2"/>
  <c r="R389" i="2"/>
  <c r="R390" i="2"/>
  <c r="R391" i="2"/>
  <c r="R392" i="2"/>
  <c r="R393" i="2"/>
  <c r="R394" i="2"/>
  <c r="R395" i="2"/>
  <c r="R396" i="2"/>
  <c r="R397" i="2"/>
  <c r="R398" i="2"/>
  <c r="R399" i="2"/>
  <c r="R400" i="2"/>
  <c r="R401" i="2"/>
  <c r="R402" i="2"/>
  <c r="R403" i="2"/>
  <c r="R404" i="2"/>
  <c r="R405" i="2"/>
  <c r="R406" i="2"/>
  <c r="R407" i="2"/>
  <c r="R408" i="2"/>
  <c r="R409" i="2"/>
  <c r="R410" i="2"/>
  <c r="R411" i="2"/>
  <c r="R412" i="2"/>
  <c r="R413" i="2"/>
  <c r="R414" i="2"/>
  <c r="R415" i="2"/>
  <c r="R416" i="2"/>
  <c r="R417" i="2"/>
  <c r="R418" i="2"/>
  <c r="R419" i="2"/>
  <c r="R420" i="2"/>
  <c r="R421" i="2"/>
  <c r="R422" i="2"/>
  <c r="R423" i="2"/>
  <c r="R424" i="2"/>
  <c r="R425" i="2"/>
  <c r="R426" i="2"/>
  <c r="R427" i="2"/>
  <c r="R428" i="2"/>
  <c r="R429" i="2"/>
  <c r="R430" i="2"/>
  <c r="R431" i="2"/>
  <c r="R432" i="2"/>
  <c r="R433" i="2"/>
  <c r="R434" i="2"/>
  <c r="R435" i="2"/>
  <c r="R436" i="2"/>
  <c r="R437" i="2"/>
  <c r="R438" i="2"/>
  <c r="R439" i="2"/>
  <c r="R440" i="2"/>
  <c r="R441" i="2"/>
  <c r="R442" i="2"/>
  <c r="R443" i="2"/>
  <c r="R444" i="2"/>
  <c r="R445" i="2"/>
  <c r="R446" i="2"/>
  <c r="R447" i="2"/>
  <c r="R448" i="2"/>
  <c r="R449" i="2"/>
  <c r="R450" i="2"/>
  <c r="R451" i="2"/>
  <c r="R452" i="2"/>
  <c r="R453" i="2"/>
  <c r="R454" i="2"/>
  <c r="R455" i="2"/>
  <c r="R456" i="2"/>
  <c r="R457" i="2"/>
  <c r="R458" i="2"/>
  <c r="R459" i="2"/>
  <c r="R460" i="2"/>
  <c r="R461" i="2"/>
  <c r="R462" i="2"/>
  <c r="R463" i="2"/>
  <c r="R464" i="2"/>
  <c r="R465" i="2"/>
  <c r="R466" i="2"/>
  <c r="R467" i="2"/>
  <c r="R468" i="2"/>
  <c r="R469" i="2"/>
  <c r="R470" i="2"/>
  <c r="R471" i="2"/>
  <c r="R472" i="2"/>
  <c r="R473" i="2"/>
  <c r="R474" i="2"/>
  <c r="R475" i="2"/>
  <c r="R476" i="2"/>
  <c r="R477" i="2"/>
  <c r="R478" i="2"/>
  <c r="R479" i="2"/>
  <c r="R480" i="2"/>
  <c r="R481" i="2"/>
  <c r="R482" i="2"/>
  <c r="R483" i="2"/>
  <c r="R484" i="2"/>
  <c r="R485" i="2"/>
  <c r="R486" i="2"/>
  <c r="R487" i="2"/>
  <c r="R488" i="2"/>
  <c r="R489" i="2"/>
  <c r="R490" i="2"/>
  <c r="R491" i="2"/>
  <c r="R492" i="2"/>
  <c r="R493" i="2"/>
  <c r="R494" i="2"/>
  <c r="R495" i="2"/>
  <c r="R496" i="2"/>
  <c r="R497" i="2"/>
  <c r="R498" i="2"/>
  <c r="R499" i="2"/>
  <c r="R500" i="2"/>
  <c r="R501" i="2"/>
  <c r="R502" i="2"/>
  <c r="R503" i="2"/>
  <c r="R504" i="2"/>
  <c r="R505" i="2"/>
  <c r="R506" i="2"/>
  <c r="R507" i="2"/>
  <c r="R508" i="2"/>
  <c r="R509" i="2"/>
  <c r="R510" i="2"/>
  <c r="R511" i="2"/>
  <c r="R512" i="2"/>
  <c r="R513" i="2"/>
  <c r="R514" i="2"/>
  <c r="R515" i="2"/>
  <c r="R516" i="2"/>
  <c r="R517" i="2"/>
  <c r="R518" i="2"/>
  <c r="R519" i="2"/>
  <c r="R520" i="2"/>
  <c r="R521" i="2"/>
  <c r="R522" i="2"/>
  <c r="R523" i="2"/>
  <c r="R524" i="2"/>
  <c r="R525" i="2"/>
  <c r="R526" i="2"/>
  <c r="R527" i="2"/>
  <c r="R528" i="2"/>
  <c r="R529" i="2"/>
  <c r="R530" i="2"/>
  <c r="R531" i="2"/>
  <c r="R532" i="2"/>
  <c r="R533" i="2"/>
  <c r="R534" i="2"/>
  <c r="R535" i="2"/>
  <c r="R536" i="2"/>
  <c r="R537" i="2"/>
  <c r="R538" i="2"/>
  <c r="R539" i="2"/>
  <c r="R540" i="2"/>
  <c r="R541" i="2"/>
  <c r="R542" i="2"/>
  <c r="R543" i="2"/>
  <c r="R544" i="2"/>
  <c r="R545" i="2"/>
  <c r="R546" i="2"/>
  <c r="R547" i="2"/>
  <c r="R548" i="2"/>
  <c r="R549" i="2"/>
  <c r="R550" i="2"/>
  <c r="R551" i="2"/>
  <c r="R552" i="2"/>
  <c r="R553" i="2"/>
  <c r="R554" i="2"/>
  <c r="R555" i="2"/>
  <c r="R556" i="2"/>
  <c r="R557" i="2"/>
  <c r="R558" i="2"/>
  <c r="R559" i="2"/>
  <c r="R560" i="2"/>
  <c r="R561" i="2"/>
  <c r="R562" i="2"/>
  <c r="R563" i="2"/>
  <c r="R564" i="2"/>
  <c r="R565" i="2"/>
  <c r="R566" i="2"/>
  <c r="R567" i="2"/>
  <c r="R568" i="2"/>
  <c r="R569" i="2"/>
  <c r="R570" i="2"/>
  <c r="R571" i="2"/>
  <c r="R572" i="2"/>
  <c r="R573" i="2"/>
  <c r="R574" i="2"/>
  <c r="R575" i="2"/>
  <c r="R576" i="2"/>
  <c r="R577" i="2"/>
  <c r="R578" i="2"/>
  <c r="R579" i="2"/>
  <c r="R580" i="2"/>
  <c r="R581" i="2"/>
  <c r="R582" i="2"/>
  <c r="R583" i="2"/>
  <c r="R584" i="2"/>
  <c r="R585" i="2"/>
  <c r="R586" i="2"/>
  <c r="R587" i="2"/>
  <c r="R588" i="2"/>
  <c r="R589" i="2"/>
  <c r="R590" i="2"/>
  <c r="R591" i="2"/>
  <c r="R592" i="2"/>
  <c r="R593" i="2"/>
  <c r="R594" i="2"/>
  <c r="R595" i="2"/>
  <c r="R596" i="2"/>
  <c r="R597" i="2"/>
  <c r="R598" i="2"/>
  <c r="R599" i="2"/>
  <c r="R600" i="2"/>
  <c r="R601" i="2"/>
  <c r="R602" i="2"/>
  <c r="R603" i="2"/>
  <c r="R604" i="2"/>
  <c r="R605" i="2"/>
  <c r="R606" i="2"/>
  <c r="R607" i="2"/>
  <c r="R608" i="2"/>
  <c r="R609" i="2"/>
  <c r="R610" i="2"/>
  <c r="R611" i="2"/>
  <c r="R612" i="2"/>
  <c r="R613" i="2"/>
  <c r="R614" i="2"/>
  <c r="R615" i="2"/>
  <c r="R616" i="2"/>
  <c r="R617" i="2"/>
  <c r="R618" i="2"/>
  <c r="R619" i="2"/>
  <c r="R620" i="2"/>
  <c r="R621" i="2"/>
  <c r="R622" i="2"/>
  <c r="R623" i="2"/>
  <c r="R624" i="2"/>
  <c r="R625" i="2"/>
  <c r="R626" i="2"/>
  <c r="R627" i="2"/>
  <c r="R628" i="2"/>
  <c r="R629" i="2"/>
  <c r="R630" i="2"/>
  <c r="R631" i="2"/>
  <c r="R632" i="2"/>
  <c r="R633" i="2"/>
  <c r="R634" i="2"/>
  <c r="R635" i="2"/>
  <c r="R636" i="2"/>
  <c r="R637" i="2"/>
  <c r="R638" i="2"/>
  <c r="R639" i="2"/>
  <c r="R640" i="2"/>
  <c r="R641" i="2"/>
  <c r="R642" i="2"/>
  <c r="R643" i="2"/>
  <c r="R644" i="2"/>
  <c r="R645" i="2"/>
  <c r="R646" i="2"/>
  <c r="R647" i="2"/>
  <c r="R648" i="2"/>
  <c r="R649" i="2"/>
  <c r="R650" i="2"/>
  <c r="R651" i="2"/>
  <c r="R652" i="2"/>
  <c r="R653" i="2"/>
  <c r="R654" i="2"/>
  <c r="R655" i="2"/>
  <c r="R656" i="2"/>
  <c r="R657" i="2"/>
  <c r="R658" i="2"/>
  <c r="R659" i="2"/>
  <c r="R660" i="2"/>
  <c r="R661" i="2"/>
  <c r="R662" i="2"/>
  <c r="R663" i="2"/>
  <c r="R664" i="2"/>
  <c r="R665" i="2"/>
  <c r="R666" i="2"/>
  <c r="R667" i="2"/>
  <c r="R668" i="2"/>
  <c r="R669" i="2"/>
  <c r="R670" i="2"/>
  <c r="R671" i="2"/>
  <c r="R672" i="2"/>
  <c r="R673" i="2"/>
  <c r="R674" i="2"/>
  <c r="R675" i="2"/>
  <c r="R676" i="2"/>
  <c r="R677" i="2"/>
  <c r="R678" i="2"/>
  <c r="R679" i="2"/>
  <c r="R680" i="2"/>
  <c r="R681" i="2"/>
  <c r="R682" i="2"/>
  <c r="R683" i="2"/>
  <c r="R684" i="2"/>
  <c r="R685" i="2"/>
  <c r="R686" i="2"/>
  <c r="R687" i="2"/>
  <c r="R688" i="2"/>
  <c r="R689" i="2"/>
  <c r="R690" i="2"/>
  <c r="R691" i="2"/>
  <c r="R692" i="2"/>
  <c r="R693" i="2"/>
  <c r="R694" i="2"/>
  <c r="R695" i="2"/>
  <c r="R696" i="2"/>
  <c r="R697" i="2"/>
  <c r="R698" i="2"/>
  <c r="R699" i="2"/>
  <c r="R700" i="2"/>
  <c r="R701" i="2"/>
  <c r="R702" i="2"/>
  <c r="R703" i="2"/>
  <c r="R704" i="2"/>
  <c r="R705" i="2"/>
  <c r="R706" i="2"/>
  <c r="R707" i="2"/>
  <c r="R708" i="2"/>
  <c r="R709" i="2"/>
  <c r="R710" i="2"/>
  <c r="R711" i="2"/>
  <c r="R712" i="2"/>
  <c r="R713" i="2"/>
  <c r="R714" i="2"/>
  <c r="R715" i="2"/>
  <c r="R716" i="2"/>
  <c r="R717" i="2"/>
  <c r="R718" i="2"/>
  <c r="R719" i="2"/>
  <c r="R720" i="2"/>
  <c r="R721" i="2"/>
  <c r="R722" i="2"/>
  <c r="R723" i="2"/>
  <c r="R724" i="2"/>
  <c r="R725" i="2"/>
  <c r="R726" i="2"/>
  <c r="R727" i="2"/>
  <c r="R728" i="2"/>
  <c r="R729" i="2"/>
  <c r="R730" i="2"/>
  <c r="R731" i="2"/>
  <c r="R732" i="2"/>
  <c r="R733" i="2"/>
  <c r="R734" i="2"/>
  <c r="R735" i="2"/>
  <c r="R736" i="2"/>
  <c r="R737" i="2"/>
  <c r="R738" i="2"/>
  <c r="R739" i="2"/>
  <c r="R740" i="2"/>
  <c r="R741" i="2"/>
  <c r="R742" i="2"/>
  <c r="R743" i="2"/>
  <c r="R744" i="2"/>
  <c r="R745" i="2"/>
  <c r="R746" i="2"/>
  <c r="R747" i="2"/>
  <c r="R748" i="2"/>
  <c r="R749" i="2"/>
  <c r="R750" i="2"/>
  <c r="R751" i="2"/>
  <c r="R752" i="2"/>
  <c r="R753" i="2"/>
  <c r="R754" i="2"/>
  <c r="R755" i="2"/>
  <c r="R756" i="2"/>
  <c r="R757" i="2"/>
  <c r="R758" i="2"/>
  <c r="R759" i="2"/>
  <c r="R760" i="2"/>
  <c r="R761" i="2"/>
  <c r="R762" i="2"/>
  <c r="R763" i="2"/>
  <c r="R764" i="2"/>
  <c r="R765" i="2"/>
  <c r="R766" i="2"/>
  <c r="R767" i="2"/>
  <c r="R768" i="2"/>
  <c r="R769" i="2"/>
  <c r="R770" i="2"/>
  <c r="R771" i="2"/>
  <c r="R772" i="2"/>
  <c r="R773" i="2"/>
  <c r="R774" i="2"/>
  <c r="R775" i="2"/>
  <c r="R776" i="2"/>
  <c r="R777" i="2"/>
  <c r="R778" i="2"/>
  <c r="R779" i="2"/>
  <c r="R780" i="2"/>
  <c r="R781" i="2"/>
  <c r="R782" i="2"/>
  <c r="R783" i="2"/>
  <c r="R784" i="2"/>
  <c r="R785" i="2"/>
  <c r="R786" i="2"/>
  <c r="R787" i="2"/>
  <c r="R788" i="2"/>
  <c r="R789" i="2"/>
  <c r="R790" i="2"/>
  <c r="R791" i="2"/>
  <c r="R792" i="2"/>
  <c r="R793" i="2"/>
  <c r="R794" i="2"/>
  <c r="R795" i="2"/>
  <c r="R796" i="2"/>
  <c r="R797" i="2"/>
  <c r="R798" i="2"/>
  <c r="R799" i="2"/>
  <c r="R800" i="2"/>
  <c r="R801" i="2"/>
  <c r="R802" i="2"/>
  <c r="R803" i="2"/>
  <c r="R804" i="2"/>
  <c r="R805" i="2"/>
  <c r="R806" i="2"/>
  <c r="R807" i="2"/>
  <c r="R808" i="2"/>
  <c r="R809" i="2"/>
  <c r="R810" i="2"/>
  <c r="R811" i="2"/>
  <c r="R812" i="2"/>
  <c r="R813" i="2"/>
  <c r="R814" i="2"/>
  <c r="R815" i="2"/>
  <c r="R816" i="2"/>
  <c r="R817" i="2"/>
  <c r="R818" i="2"/>
  <c r="R819" i="2"/>
  <c r="R820" i="2"/>
  <c r="R821" i="2"/>
  <c r="R822" i="2"/>
  <c r="R823" i="2"/>
  <c r="R824" i="2"/>
  <c r="R825" i="2"/>
  <c r="R826" i="2"/>
  <c r="R827" i="2"/>
  <c r="R828" i="2"/>
  <c r="R829" i="2"/>
  <c r="R830" i="2"/>
  <c r="R831" i="2"/>
  <c r="R832" i="2"/>
  <c r="R833" i="2"/>
  <c r="R834" i="2"/>
  <c r="R835" i="2"/>
  <c r="R836" i="2"/>
  <c r="R837" i="2"/>
  <c r="R838" i="2"/>
  <c r="R839" i="2"/>
  <c r="R840" i="2"/>
  <c r="R841" i="2"/>
  <c r="R842" i="2"/>
  <c r="R843" i="2"/>
  <c r="R844" i="2"/>
  <c r="R845" i="2"/>
  <c r="R846" i="2"/>
  <c r="R847" i="2"/>
  <c r="R848" i="2"/>
  <c r="R849" i="2"/>
  <c r="R850" i="2"/>
  <c r="R851" i="2"/>
  <c r="R852" i="2"/>
  <c r="R853" i="2"/>
  <c r="R854" i="2"/>
  <c r="R855" i="2"/>
  <c r="R856" i="2"/>
  <c r="R857" i="2"/>
  <c r="R858" i="2"/>
  <c r="R859" i="2"/>
  <c r="R860" i="2"/>
  <c r="R861" i="2"/>
  <c r="R862" i="2"/>
  <c r="R863" i="2"/>
  <c r="R864" i="2"/>
  <c r="R865" i="2"/>
  <c r="R866" i="2"/>
  <c r="R867" i="2"/>
  <c r="R868" i="2"/>
  <c r="R869" i="2"/>
  <c r="R870" i="2"/>
  <c r="R871" i="2"/>
  <c r="R872" i="2"/>
  <c r="R873" i="2"/>
  <c r="R874" i="2"/>
  <c r="R875" i="2"/>
  <c r="R876" i="2"/>
  <c r="R877" i="2"/>
  <c r="R878" i="2"/>
  <c r="R879" i="2"/>
  <c r="R880" i="2"/>
  <c r="R881" i="2"/>
  <c r="R882" i="2"/>
  <c r="R883" i="2"/>
  <c r="R884" i="2"/>
  <c r="R885" i="2"/>
  <c r="R886" i="2"/>
  <c r="R887" i="2"/>
  <c r="R888" i="2"/>
  <c r="R889" i="2"/>
  <c r="R890" i="2"/>
  <c r="R891" i="2"/>
  <c r="R892" i="2"/>
  <c r="R893" i="2"/>
  <c r="R894" i="2"/>
  <c r="R895" i="2"/>
  <c r="R896" i="2"/>
  <c r="R897" i="2"/>
  <c r="R898" i="2"/>
  <c r="R899" i="2"/>
  <c r="R900" i="2"/>
  <c r="R901" i="2"/>
  <c r="R902" i="2"/>
  <c r="R903" i="2"/>
  <c r="R904" i="2"/>
  <c r="R905" i="2"/>
  <c r="R906" i="2"/>
  <c r="R907" i="2"/>
  <c r="R908" i="2"/>
  <c r="R909" i="2"/>
  <c r="R910" i="2"/>
  <c r="R911" i="2"/>
  <c r="R912" i="2"/>
  <c r="R913" i="2"/>
  <c r="R914" i="2"/>
  <c r="R915" i="2"/>
  <c r="R916" i="2"/>
  <c r="R917" i="2"/>
  <c r="R918" i="2"/>
  <c r="R919" i="2"/>
  <c r="R920" i="2"/>
  <c r="R921" i="2"/>
  <c r="R922" i="2"/>
  <c r="R923" i="2"/>
  <c r="R924" i="2"/>
  <c r="R925" i="2"/>
  <c r="R926" i="2"/>
  <c r="R927" i="2"/>
  <c r="R928" i="2"/>
  <c r="R929" i="2"/>
  <c r="R930" i="2"/>
  <c r="R931" i="2"/>
  <c r="R932" i="2"/>
  <c r="R933" i="2"/>
  <c r="R934" i="2"/>
  <c r="R935" i="2"/>
  <c r="R936" i="2"/>
  <c r="R937" i="2"/>
  <c r="R938" i="2"/>
  <c r="R939" i="2"/>
  <c r="R940" i="2"/>
  <c r="R941" i="2"/>
  <c r="R942" i="2"/>
  <c r="R943" i="2"/>
  <c r="R944" i="2"/>
  <c r="R945" i="2"/>
  <c r="R946" i="2"/>
  <c r="R947" i="2"/>
  <c r="R948" i="2"/>
  <c r="R949" i="2"/>
  <c r="R950" i="2"/>
  <c r="R951" i="2"/>
  <c r="R952" i="2"/>
  <c r="R953" i="2"/>
  <c r="R954" i="2"/>
  <c r="R955" i="2"/>
  <c r="R956" i="2"/>
  <c r="R957" i="2"/>
  <c r="R958" i="2"/>
  <c r="R959" i="2"/>
  <c r="R960" i="2"/>
  <c r="R961" i="2"/>
  <c r="R962" i="2"/>
  <c r="R963" i="2"/>
  <c r="R964" i="2"/>
  <c r="R965" i="2"/>
  <c r="R966" i="2"/>
  <c r="R967" i="2"/>
  <c r="R968" i="2"/>
  <c r="R969" i="2"/>
  <c r="R970" i="2"/>
  <c r="R971" i="2"/>
  <c r="R972" i="2"/>
  <c r="R973" i="2"/>
  <c r="R974" i="2"/>
  <c r="R975" i="2"/>
  <c r="R976" i="2"/>
  <c r="R977" i="2"/>
  <c r="R978" i="2"/>
  <c r="R979" i="2"/>
  <c r="R980" i="2"/>
  <c r="R981" i="2"/>
  <c r="R982" i="2"/>
  <c r="R983" i="2"/>
  <c r="R984" i="2"/>
  <c r="R985" i="2"/>
  <c r="R986" i="2"/>
  <c r="R987" i="2"/>
  <c r="R988" i="2"/>
  <c r="R989" i="2"/>
  <c r="R990" i="2"/>
  <c r="R991" i="2"/>
  <c r="R992" i="2"/>
  <c r="R993" i="2"/>
  <c r="R994" i="2"/>
  <c r="R995" i="2"/>
  <c r="R996" i="2"/>
  <c r="R997" i="2"/>
  <c r="R998" i="2"/>
  <c r="R999" i="2"/>
  <c r="R1000" i="2"/>
  <c r="R1001" i="2"/>
  <c r="R1002" i="2"/>
  <c r="R1003" i="2"/>
  <c r="R1004" i="2"/>
  <c r="R1005" i="2"/>
  <c r="R1006" i="2"/>
  <c r="R1007" i="2"/>
  <c r="R1008" i="2"/>
  <c r="R1009" i="2"/>
  <c r="R1010" i="2"/>
  <c r="R1011" i="2"/>
  <c r="R1012" i="2"/>
  <c r="R1013" i="2"/>
  <c r="R1014" i="2"/>
  <c r="R1015" i="2"/>
  <c r="R1016" i="2"/>
  <c r="R1017" i="2"/>
  <c r="R1018" i="2"/>
  <c r="R1019" i="2"/>
  <c r="R1020" i="2"/>
  <c r="R1021" i="2"/>
  <c r="R1022" i="2"/>
  <c r="R1023" i="2"/>
  <c r="R1024" i="2"/>
  <c r="R1025" i="2"/>
  <c r="R1026" i="2"/>
  <c r="R1027" i="2"/>
  <c r="R1028" i="2"/>
  <c r="R1029" i="2"/>
  <c r="R1030" i="2"/>
  <c r="R1031" i="2"/>
  <c r="R1032" i="2"/>
  <c r="R1033" i="2"/>
  <c r="R1034" i="2"/>
  <c r="R1035" i="2"/>
  <c r="R1036" i="2"/>
  <c r="R1037" i="2"/>
  <c r="R1038" i="2"/>
  <c r="R1039" i="2"/>
  <c r="R1040" i="2"/>
  <c r="R1041" i="2"/>
  <c r="R1042" i="2"/>
  <c r="R1043" i="2"/>
  <c r="R1044" i="2"/>
  <c r="R1045" i="2"/>
  <c r="R1046" i="2"/>
  <c r="R1047" i="2"/>
  <c r="R1048" i="2"/>
  <c r="R1049" i="2"/>
  <c r="R1050" i="2"/>
  <c r="R1051" i="2"/>
  <c r="R1052" i="2"/>
  <c r="R1053" i="2"/>
  <c r="R1054" i="2"/>
  <c r="R1055" i="2"/>
  <c r="R1056" i="2"/>
  <c r="R1057" i="2"/>
  <c r="R1058" i="2"/>
  <c r="R1059" i="2"/>
  <c r="R1060" i="2"/>
  <c r="R1061" i="2"/>
  <c r="R1062" i="2"/>
  <c r="R1063" i="2"/>
  <c r="R1064" i="2"/>
  <c r="R1065" i="2"/>
  <c r="R1066" i="2"/>
  <c r="R1067" i="2"/>
  <c r="R1068" i="2"/>
  <c r="R1069" i="2"/>
  <c r="R1070" i="2"/>
  <c r="R1071" i="2"/>
  <c r="R1072" i="2"/>
  <c r="R1073" i="2"/>
  <c r="R1074" i="2"/>
  <c r="R1075" i="2"/>
  <c r="R1076" i="2"/>
  <c r="R1077" i="2"/>
  <c r="R1078" i="2"/>
  <c r="R1079" i="2"/>
  <c r="R1080" i="2"/>
  <c r="R1081" i="2"/>
  <c r="R1082" i="2"/>
  <c r="R1083" i="2"/>
  <c r="R1084" i="2"/>
  <c r="R1085" i="2"/>
  <c r="R1086" i="2"/>
  <c r="R1087" i="2"/>
  <c r="R1088" i="2"/>
  <c r="R1089" i="2"/>
  <c r="R1090" i="2"/>
  <c r="R1091" i="2"/>
  <c r="R1092" i="2"/>
  <c r="R1093" i="2"/>
  <c r="R1094" i="2"/>
  <c r="R1095" i="2"/>
  <c r="R1096" i="2"/>
  <c r="R1097" i="2"/>
  <c r="R1098" i="2"/>
  <c r="R1099" i="2"/>
  <c r="R1100" i="2"/>
  <c r="R1101" i="2"/>
  <c r="R1102" i="2"/>
  <c r="R1103" i="2"/>
  <c r="R1104" i="2"/>
  <c r="R1105" i="2"/>
  <c r="R1106" i="2"/>
  <c r="R1107" i="2"/>
  <c r="R1108" i="2"/>
  <c r="R1109" i="2"/>
  <c r="R1110" i="2"/>
  <c r="R1111" i="2"/>
  <c r="R1112" i="2"/>
  <c r="R1113" i="2"/>
  <c r="R1114" i="2"/>
  <c r="R1115" i="2"/>
  <c r="R1116" i="2"/>
  <c r="R1117" i="2"/>
  <c r="R1118" i="2"/>
  <c r="R1119" i="2"/>
  <c r="R1120" i="2"/>
  <c r="R1121" i="2"/>
  <c r="R1122" i="2"/>
  <c r="R1123" i="2"/>
  <c r="R1124" i="2"/>
  <c r="R1125" i="2"/>
  <c r="R1126" i="2"/>
  <c r="R1127" i="2"/>
  <c r="R1128" i="2"/>
  <c r="R1129" i="2"/>
  <c r="R1130" i="2"/>
  <c r="R1131" i="2"/>
  <c r="R1132" i="2"/>
  <c r="R1133" i="2"/>
  <c r="R1134" i="2"/>
  <c r="R1135" i="2"/>
  <c r="R1136" i="2"/>
  <c r="R1137" i="2"/>
  <c r="R1138" i="2"/>
  <c r="R1139" i="2"/>
  <c r="R1140" i="2"/>
  <c r="R1141" i="2"/>
  <c r="R1142" i="2"/>
  <c r="R1143" i="2"/>
  <c r="R1144" i="2"/>
  <c r="R1145" i="2"/>
  <c r="R1146" i="2"/>
  <c r="R1147" i="2"/>
  <c r="R1148" i="2"/>
  <c r="R1149" i="2"/>
  <c r="R1150" i="2"/>
  <c r="R1151" i="2"/>
  <c r="R1152" i="2"/>
  <c r="R1153" i="2"/>
  <c r="R1154" i="2"/>
  <c r="R1155" i="2"/>
  <c r="R1156" i="2"/>
  <c r="R1157" i="2"/>
  <c r="R1158" i="2"/>
  <c r="R1159" i="2"/>
  <c r="R1160" i="2"/>
  <c r="R1161" i="2"/>
  <c r="R1162" i="2"/>
  <c r="R1163" i="2"/>
  <c r="R1164" i="2"/>
  <c r="R1165" i="2"/>
  <c r="R1166" i="2"/>
  <c r="R1167" i="2"/>
  <c r="R1168" i="2"/>
  <c r="R1169" i="2"/>
  <c r="R1170" i="2"/>
  <c r="R1171" i="2"/>
  <c r="R1172" i="2"/>
  <c r="R1173" i="2"/>
  <c r="R1174" i="2"/>
  <c r="R1175" i="2"/>
  <c r="R1176" i="2"/>
  <c r="R1177" i="2"/>
  <c r="R1178" i="2"/>
  <c r="R1179" i="2"/>
  <c r="R1180" i="2"/>
  <c r="R1181" i="2"/>
  <c r="R1182" i="2"/>
  <c r="R1183" i="2"/>
  <c r="R1184" i="2"/>
  <c r="R1185" i="2"/>
  <c r="R1186" i="2"/>
  <c r="R1187" i="2"/>
  <c r="R1188" i="2"/>
  <c r="R1189" i="2"/>
  <c r="R1190" i="2"/>
  <c r="R1191" i="2"/>
  <c r="R1192" i="2"/>
  <c r="R1193" i="2"/>
  <c r="R1194" i="2"/>
  <c r="R1195" i="2"/>
  <c r="R1196" i="2"/>
  <c r="R1197" i="2"/>
  <c r="R1198" i="2"/>
  <c r="R1199" i="2"/>
  <c r="R1200" i="2"/>
  <c r="R1201" i="2"/>
  <c r="R1202" i="2"/>
  <c r="R1203" i="2"/>
  <c r="R1204" i="2"/>
  <c r="R1205" i="2"/>
  <c r="R1206" i="2"/>
  <c r="R1207" i="2"/>
  <c r="R1208" i="2"/>
  <c r="R1209" i="2"/>
  <c r="R1210" i="2"/>
  <c r="R1211" i="2"/>
  <c r="R1212" i="2"/>
  <c r="R1213" i="2"/>
  <c r="R1214" i="2"/>
  <c r="R1215" i="2"/>
  <c r="R1216" i="2"/>
  <c r="R1217" i="2"/>
  <c r="R1218" i="2"/>
  <c r="R1219" i="2"/>
  <c r="R1220" i="2"/>
  <c r="R1221" i="2"/>
  <c r="R1222" i="2"/>
  <c r="R1223" i="2"/>
  <c r="R1224" i="2"/>
  <c r="R1225" i="2"/>
  <c r="R1226" i="2"/>
  <c r="R1227" i="2"/>
  <c r="R1228" i="2"/>
  <c r="R1229" i="2"/>
  <c r="R1230" i="2"/>
  <c r="R1231" i="2"/>
  <c r="R1232" i="2"/>
  <c r="R1233" i="2"/>
  <c r="R1234" i="2"/>
  <c r="R1235" i="2"/>
  <c r="R1236" i="2"/>
  <c r="R1237" i="2"/>
  <c r="R1238" i="2"/>
  <c r="R1239" i="2"/>
  <c r="R1240" i="2"/>
  <c r="R1241" i="2"/>
  <c r="R1242" i="2"/>
  <c r="R1243" i="2"/>
  <c r="R1244" i="2"/>
  <c r="R1245" i="2"/>
  <c r="R1246" i="2"/>
  <c r="R1247" i="2"/>
  <c r="R1248" i="2"/>
  <c r="R1249" i="2"/>
  <c r="R1250" i="2"/>
  <c r="R1251" i="2"/>
  <c r="R1252" i="2"/>
  <c r="R1253" i="2"/>
  <c r="R1254" i="2"/>
  <c r="R1255" i="2"/>
  <c r="R1256" i="2"/>
  <c r="R1257" i="2"/>
  <c r="R1258" i="2"/>
  <c r="R1259" i="2"/>
  <c r="R1260" i="2"/>
  <c r="R1261" i="2"/>
  <c r="R1262" i="2"/>
  <c r="R1263" i="2"/>
  <c r="R1264" i="2"/>
  <c r="R1265" i="2"/>
  <c r="R1266" i="2"/>
  <c r="R1267" i="2"/>
  <c r="R1268" i="2"/>
  <c r="R1269" i="2"/>
  <c r="R1270" i="2"/>
  <c r="R1271" i="2"/>
  <c r="R1272" i="2"/>
  <c r="R1273" i="2"/>
  <c r="R1274" i="2"/>
  <c r="R1275" i="2"/>
  <c r="R1276" i="2"/>
  <c r="R1277" i="2"/>
  <c r="R1278" i="2"/>
  <c r="R1279" i="2"/>
  <c r="R1280" i="2"/>
  <c r="R1281" i="2"/>
  <c r="R1282" i="2"/>
  <c r="R1283" i="2"/>
  <c r="R1284" i="2"/>
  <c r="R1285" i="2"/>
  <c r="R1286" i="2"/>
  <c r="R1287" i="2"/>
  <c r="R1288" i="2"/>
  <c r="R1289" i="2"/>
  <c r="R1290" i="2"/>
  <c r="R1291" i="2"/>
  <c r="R1292" i="2"/>
  <c r="R1293" i="2"/>
  <c r="R1294" i="2"/>
  <c r="R1295" i="2"/>
  <c r="R1296" i="2"/>
  <c r="R1297" i="2"/>
  <c r="R1298" i="2"/>
  <c r="R1299" i="2"/>
  <c r="R1300" i="2"/>
  <c r="R1301" i="2"/>
  <c r="R1302" i="2"/>
  <c r="R1303" i="2"/>
  <c r="R1304" i="2"/>
  <c r="R1305" i="2"/>
  <c r="R1306" i="2"/>
  <c r="R1307" i="2"/>
  <c r="R1308" i="2"/>
  <c r="R1309" i="2"/>
  <c r="R1310" i="2"/>
  <c r="R1311" i="2"/>
  <c r="R1312" i="2"/>
  <c r="R1313" i="2"/>
  <c r="R1314" i="2"/>
  <c r="R1315" i="2"/>
  <c r="R1316" i="2"/>
  <c r="R1317" i="2"/>
  <c r="R1318" i="2"/>
  <c r="R1319" i="2"/>
  <c r="R1320" i="2"/>
  <c r="R1321" i="2"/>
  <c r="R1322" i="2"/>
  <c r="R1323" i="2"/>
  <c r="R1324" i="2"/>
  <c r="R1325" i="2"/>
  <c r="R1326" i="2"/>
  <c r="R1327" i="2"/>
  <c r="R1328" i="2"/>
  <c r="R1329" i="2"/>
  <c r="R1330" i="2"/>
  <c r="R1331" i="2"/>
  <c r="R1332" i="2"/>
  <c r="R1333" i="2"/>
  <c r="R1334" i="2"/>
  <c r="R1335" i="2"/>
  <c r="R1336" i="2"/>
  <c r="R1337" i="2"/>
  <c r="R1338" i="2"/>
  <c r="R1339" i="2"/>
  <c r="R1340" i="2"/>
  <c r="R1341" i="2"/>
  <c r="R1342" i="2"/>
  <c r="R1343" i="2"/>
  <c r="R1344" i="2"/>
  <c r="R1345" i="2"/>
  <c r="R1346" i="2"/>
  <c r="R1347" i="2"/>
  <c r="R1348" i="2"/>
  <c r="R1349" i="2"/>
  <c r="R1350" i="2"/>
  <c r="R1351" i="2"/>
  <c r="R1352" i="2"/>
  <c r="R1353" i="2"/>
  <c r="R1354" i="2"/>
  <c r="R1355" i="2"/>
  <c r="R1356" i="2"/>
  <c r="R1357" i="2"/>
  <c r="R1358" i="2"/>
  <c r="R1359" i="2"/>
  <c r="R1360" i="2"/>
  <c r="R1361" i="2"/>
  <c r="R1362" i="2"/>
  <c r="R1363" i="2"/>
  <c r="R1364" i="2"/>
  <c r="R1365" i="2"/>
  <c r="R1366" i="2"/>
  <c r="R1368" i="2"/>
  <c r="R1370" i="2"/>
  <c r="R1372" i="2"/>
  <c r="R1374" i="2"/>
  <c r="R1376" i="2"/>
  <c r="R1378" i="2"/>
  <c r="R1380" i="2"/>
  <c r="R1367" i="2"/>
  <c r="R1369" i="2"/>
  <c r="R1371" i="2"/>
  <c r="R1373" i="2"/>
  <c r="R1375" i="2"/>
  <c r="R1377" i="2"/>
  <c r="R1379" i="2"/>
  <c r="R1381" i="2"/>
  <c r="R1382" i="2"/>
  <c r="R1383" i="2"/>
  <c r="R1384" i="2"/>
  <c r="R1385" i="2"/>
  <c r="R1386" i="2"/>
  <c r="R1387" i="2"/>
  <c r="R1388" i="2"/>
  <c r="R1389" i="2"/>
  <c r="R1390" i="2"/>
  <c r="R1391" i="2"/>
  <c r="R1392" i="2"/>
  <c r="R1393" i="2"/>
  <c r="R1394" i="2"/>
  <c r="R1395" i="2"/>
  <c r="R1396" i="2"/>
  <c r="R1397" i="2"/>
  <c r="R1398" i="2"/>
  <c r="R1399" i="2"/>
  <c r="R1400" i="2"/>
  <c r="R1401" i="2"/>
  <c r="R1402" i="2"/>
  <c r="R1403" i="2"/>
  <c r="R1404" i="2"/>
  <c r="R1405" i="2"/>
  <c r="R1406" i="2"/>
  <c r="R1407" i="2"/>
  <c r="R1408" i="2"/>
  <c r="R1409" i="2"/>
  <c r="R1410" i="2"/>
  <c r="R1411" i="2"/>
  <c r="R1412" i="2"/>
  <c r="R1413" i="2"/>
  <c r="R1414" i="2"/>
  <c r="R1415" i="2"/>
  <c r="R1416" i="2"/>
  <c r="R1417" i="2"/>
  <c r="R1418" i="2"/>
  <c r="R1419" i="2"/>
  <c r="R1420" i="2"/>
  <c r="R1421" i="2"/>
  <c r="R1422" i="2"/>
  <c r="R1423" i="2"/>
  <c r="R1424" i="2"/>
  <c r="R1425" i="2"/>
  <c r="R1426" i="2"/>
  <c r="R1427" i="2"/>
  <c r="R1428" i="2"/>
  <c r="R1429" i="2"/>
  <c r="R1430" i="2"/>
  <c r="R1431" i="2"/>
  <c r="R1432" i="2"/>
  <c r="R1433" i="2"/>
  <c r="R1434" i="2"/>
  <c r="R1435" i="2"/>
  <c r="R1436" i="2"/>
  <c r="R1437" i="2"/>
  <c r="R1438" i="2"/>
  <c r="R1439" i="2"/>
  <c r="R1440" i="2"/>
  <c r="R1441" i="2"/>
  <c r="R1442" i="2"/>
  <c r="R1443" i="2"/>
  <c r="R1444" i="2"/>
  <c r="R1445" i="2"/>
  <c r="R1446" i="2"/>
  <c r="R1447" i="2"/>
  <c r="R1448" i="2"/>
  <c r="R1449" i="2"/>
  <c r="R1450" i="2"/>
  <c r="R1451" i="2"/>
  <c r="R1452" i="2"/>
  <c r="R1453" i="2"/>
  <c r="R1454" i="2"/>
  <c r="R1455" i="2"/>
  <c r="R1456" i="2"/>
  <c r="R1457" i="2"/>
  <c r="R1458" i="2"/>
  <c r="R1459" i="2"/>
  <c r="R1460" i="2"/>
  <c r="R1461" i="2"/>
  <c r="R1462" i="2"/>
  <c r="R1463" i="2"/>
  <c r="R1464" i="2"/>
  <c r="R1465" i="2"/>
  <c r="R1466" i="2"/>
  <c r="R1467" i="2"/>
  <c r="R1468" i="2"/>
  <c r="R1469" i="2"/>
  <c r="R1470" i="2"/>
  <c r="R1471" i="2"/>
  <c r="R1472" i="2"/>
  <c r="R1473" i="2"/>
  <c r="R1474" i="2"/>
  <c r="R1475" i="2"/>
  <c r="R1476" i="2"/>
  <c r="R1477" i="2"/>
  <c r="R1478" i="2"/>
  <c r="R1479" i="2"/>
  <c r="R1480" i="2"/>
  <c r="R1481" i="2"/>
  <c r="R1482" i="2"/>
  <c r="R1483" i="2"/>
  <c r="R1484" i="2"/>
  <c r="R1485" i="2"/>
  <c r="R1486" i="2"/>
  <c r="R1487" i="2"/>
  <c r="R1488" i="2"/>
  <c r="R1489" i="2"/>
  <c r="R1490" i="2"/>
  <c r="R1491" i="2"/>
  <c r="R1492" i="2"/>
  <c r="R1493" i="2"/>
  <c r="R1494" i="2"/>
  <c r="R1495" i="2"/>
  <c r="R1496" i="2"/>
  <c r="R1497" i="2"/>
  <c r="R1498" i="2"/>
  <c r="R1499" i="2"/>
  <c r="R1500" i="2"/>
  <c r="R1501" i="2"/>
  <c r="R1502" i="2"/>
  <c r="R1503" i="2"/>
  <c r="R1504" i="2"/>
  <c r="R1505" i="2"/>
  <c r="R1506" i="2"/>
  <c r="R1507" i="2"/>
  <c r="R1508" i="2"/>
  <c r="R1509" i="2"/>
  <c r="R1510" i="2"/>
  <c r="R1511" i="2"/>
  <c r="R1512" i="2"/>
  <c r="R1513" i="2"/>
  <c r="R1514" i="2"/>
  <c r="R1515" i="2"/>
  <c r="R1516" i="2"/>
  <c r="R1517" i="2"/>
  <c r="R1518" i="2"/>
  <c r="R1519" i="2"/>
  <c r="R1520" i="2"/>
  <c r="R1521" i="2"/>
  <c r="R1522" i="2"/>
  <c r="R1523" i="2"/>
  <c r="R1524" i="2"/>
  <c r="R1525" i="2"/>
  <c r="R1526" i="2"/>
  <c r="R1527" i="2"/>
  <c r="R1528" i="2"/>
  <c r="R1529" i="2"/>
  <c r="R1530" i="2"/>
  <c r="R1531" i="2"/>
  <c r="R1532" i="2"/>
  <c r="R1533" i="2"/>
  <c r="R1534" i="2"/>
  <c r="R1535" i="2"/>
  <c r="R1536" i="2"/>
  <c r="R1537" i="2"/>
  <c r="R1538" i="2"/>
  <c r="R1539" i="2"/>
  <c r="R1540" i="2"/>
  <c r="R1541" i="2"/>
  <c r="R1542" i="2"/>
  <c r="R1543" i="2"/>
  <c r="R1544" i="2"/>
  <c r="R1545" i="2"/>
  <c r="R1546" i="2"/>
  <c r="R1547" i="2"/>
  <c r="R1548" i="2"/>
  <c r="R1549" i="2"/>
  <c r="R1550" i="2"/>
  <c r="R1551" i="2"/>
  <c r="R1552" i="2"/>
  <c r="R1553" i="2"/>
  <c r="R1554" i="2"/>
  <c r="R1555" i="2"/>
  <c r="R1556" i="2"/>
  <c r="R1557" i="2"/>
  <c r="R1558" i="2"/>
  <c r="R1559" i="2"/>
  <c r="R1560" i="2"/>
  <c r="R1561" i="2"/>
  <c r="R1562" i="2"/>
  <c r="R1563" i="2"/>
  <c r="R1564" i="2"/>
  <c r="R1565" i="2"/>
  <c r="R1566" i="2"/>
  <c r="R1567" i="2"/>
  <c r="R1568" i="2"/>
  <c r="R1569" i="2"/>
  <c r="R1570" i="2"/>
  <c r="R1571" i="2"/>
  <c r="R1572" i="2"/>
  <c r="R1573" i="2"/>
  <c r="R1574" i="2"/>
  <c r="R1575" i="2"/>
  <c r="R1576" i="2"/>
  <c r="R1577" i="2"/>
  <c r="R1578" i="2"/>
  <c r="R1579" i="2"/>
  <c r="R1580" i="2"/>
  <c r="R1581" i="2"/>
  <c r="R1582" i="2"/>
  <c r="R1583" i="2"/>
  <c r="R1584" i="2"/>
  <c r="R1585" i="2"/>
  <c r="R1586" i="2"/>
  <c r="R1587" i="2"/>
  <c r="R1588" i="2"/>
  <c r="R1589" i="2"/>
  <c r="R1590" i="2"/>
  <c r="R1591" i="2"/>
  <c r="R1592" i="2"/>
  <c r="R1593" i="2"/>
  <c r="R1594" i="2"/>
  <c r="R1595" i="2"/>
  <c r="R1596" i="2"/>
  <c r="R1597" i="2"/>
  <c r="R1598" i="2"/>
  <c r="R1599" i="2"/>
  <c r="R1600" i="2"/>
  <c r="R1601" i="2"/>
  <c r="R1602" i="2"/>
  <c r="R1603" i="2"/>
  <c r="R1604" i="2"/>
  <c r="R1605" i="2"/>
  <c r="R1606" i="2"/>
  <c r="R1607" i="2"/>
  <c r="R1608" i="2"/>
  <c r="R1609" i="2"/>
  <c r="R1610" i="2"/>
  <c r="R1611" i="2"/>
  <c r="R1612" i="2"/>
  <c r="R1613" i="2"/>
  <c r="R1614" i="2"/>
  <c r="R1615" i="2"/>
  <c r="R1616" i="2"/>
  <c r="R1617" i="2"/>
  <c r="R1618" i="2"/>
  <c r="R1619" i="2"/>
  <c r="R1620" i="2"/>
  <c r="R1621" i="2"/>
  <c r="R1622" i="2"/>
  <c r="R1623" i="2"/>
  <c r="R1624" i="2"/>
  <c r="R1625" i="2"/>
  <c r="R1626" i="2"/>
  <c r="R1627" i="2"/>
  <c r="R1628" i="2"/>
  <c r="R1629" i="2"/>
  <c r="R1630" i="2"/>
  <c r="R1631" i="2"/>
  <c r="R1632" i="2"/>
  <c r="R1633" i="2"/>
  <c r="R1634" i="2"/>
  <c r="R1635" i="2"/>
  <c r="R1636" i="2"/>
  <c r="R1637" i="2"/>
  <c r="R1638" i="2"/>
  <c r="R1639" i="2"/>
  <c r="R1640" i="2"/>
  <c r="R1641" i="2"/>
  <c r="R1642" i="2"/>
  <c r="R1643" i="2"/>
  <c r="R1644" i="2"/>
  <c r="R1645" i="2"/>
  <c r="R1646" i="2"/>
  <c r="R1647" i="2"/>
  <c r="R1648" i="2"/>
  <c r="R1649" i="2"/>
  <c r="R1650" i="2"/>
  <c r="R1651" i="2"/>
  <c r="R1652" i="2"/>
  <c r="R1653" i="2"/>
  <c r="R1654" i="2"/>
  <c r="R1655" i="2"/>
  <c r="R1656" i="2"/>
  <c r="R1657" i="2"/>
  <c r="R1658" i="2"/>
  <c r="R1659" i="2"/>
  <c r="R1660" i="2"/>
  <c r="R1661" i="2"/>
  <c r="R1662" i="2"/>
  <c r="R1663" i="2"/>
  <c r="R1664" i="2"/>
  <c r="R1665" i="2"/>
  <c r="R1666" i="2"/>
  <c r="R1667" i="2"/>
  <c r="R1668" i="2"/>
  <c r="R1669" i="2"/>
  <c r="R1670" i="2"/>
  <c r="R1671" i="2"/>
  <c r="R1672" i="2"/>
  <c r="R1673" i="2"/>
  <c r="R1674" i="2"/>
  <c r="R1675" i="2"/>
  <c r="R1676" i="2"/>
  <c r="R1677" i="2"/>
  <c r="R1678" i="2"/>
  <c r="R1679" i="2"/>
  <c r="R1680" i="2"/>
  <c r="R1681" i="2"/>
  <c r="R1682" i="2"/>
  <c r="R1683" i="2"/>
  <c r="R1684" i="2"/>
  <c r="R1685" i="2"/>
  <c r="R1686" i="2"/>
  <c r="R1687" i="2"/>
  <c r="R1688" i="2"/>
  <c r="R1689" i="2"/>
  <c r="R1690" i="2"/>
  <c r="R1691" i="2"/>
  <c r="R1692" i="2"/>
  <c r="R1693" i="2"/>
  <c r="R1694" i="2"/>
  <c r="R1695" i="2"/>
  <c r="R1696" i="2"/>
  <c r="R1697" i="2"/>
  <c r="R1698" i="2"/>
  <c r="R1699" i="2"/>
  <c r="R1700" i="2"/>
  <c r="R1701" i="2"/>
  <c r="R1702" i="2"/>
  <c r="R1703" i="2"/>
  <c r="R1704" i="2"/>
  <c r="R1705" i="2"/>
  <c r="R1706" i="2"/>
  <c r="R1707" i="2"/>
  <c r="R1708" i="2"/>
  <c r="R1709" i="2"/>
  <c r="R1710" i="2"/>
  <c r="R1711" i="2"/>
  <c r="R1712" i="2"/>
  <c r="R1713" i="2"/>
  <c r="R1714" i="2"/>
  <c r="R1715" i="2"/>
  <c r="R1716" i="2"/>
  <c r="R1717" i="2"/>
  <c r="R1718" i="2"/>
  <c r="R1719" i="2"/>
  <c r="R1720" i="2"/>
  <c r="R1721" i="2"/>
  <c r="R1722" i="2"/>
  <c r="R1723" i="2"/>
  <c r="R1724" i="2"/>
  <c r="R1725" i="2"/>
  <c r="R1726" i="2"/>
  <c r="R1727" i="2"/>
  <c r="R1728" i="2"/>
  <c r="R1729" i="2"/>
  <c r="R1730" i="2"/>
  <c r="R1731" i="2"/>
  <c r="R1732" i="2"/>
  <c r="R1733" i="2"/>
  <c r="R1734" i="2"/>
  <c r="R1735" i="2"/>
  <c r="R1736" i="2"/>
  <c r="R1737" i="2"/>
  <c r="R1738" i="2"/>
  <c r="R1739" i="2"/>
  <c r="R1740" i="2"/>
  <c r="R1741" i="2"/>
  <c r="R1742" i="2"/>
  <c r="R1743" i="2"/>
  <c r="R1744" i="2"/>
  <c r="R1745" i="2"/>
  <c r="R1746" i="2"/>
  <c r="R1747" i="2"/>
  <c r="R1748" i="2"/>
  <c r="R1749" i="2"/>
  <c r="R1750" i="2"/>
  <c r="R1751" i="2"/>
  <c r="R1752" i="2"/>
  <c r="R1753" i="2"/>
  <c r="R1754" i="2"/>
  <c r="R1755" i="2"/>
  <c r="R1756" i="2"/>
  <c r="R1757" i="2"/>
  <c r="R1758" i="2"/>
  <c r="R1759" i="2"/>
  <c r="R1760" i="2"/>
  <c r="R1761" i="2"/>
  <c r="R1762" i="2"/>
  <c r="R1763" i="2"/>
  <c r="R1764" i="2"/>
  <c r="R1765" i="2"/>
  <c r="R1766" i="2"/>
  <c r="R1767" i="2"/>
  <c r="R1768" i="2"/>
  <c r="R1769" i="2"/>
  <c r="R1770" i="2"/>
  <c r="R1771" i="2"/>
  <c r="R1772" i="2"/>
  <c r="R1773" i="2"/>
  <c r="R1774" i="2"/>
  <c r="R1775" i="2"/>
  <c r="R1776" i="2"/>
  <c r="R1777" i="2"/>
  <c r="R1778" i="2"/>
  <c r="R1779" i="2"/>
  <c r="R1780" i="2"/>
  <c r="R1781" i="2"/>
  <c r="R1782" i="2"/>
  <c r="R1783" i="2"/>
  <c r="R1784" i="2"/>
  <c r="R1785" i="2"/>
  <c r="R1786" i="2"/>
  <c r="R1787" i="2"/>
  <c r="R1788" i="2"/>
  <c r="R1789" i="2"/>
  <c r="R1790" i="2"/>
  <c r="R1791" i="2"/>
  <c r="R1792" i="2"/>
  <c r="R1793" i="2"/>
  <c r="R1794" i="2"/>
  <c r="R1795" i="2"/>
  <c r="R1796" i="2"/>
  <c r="R1797" i="2"/>
  <c r="R1798" i="2"/>
  <c r="R1799" i="2"/>
  <c r="R1800" i="2"/>
  <c r="R1801" i="2"/>
  <c r="R1802" i="2"/>
  <c r="R1803" i="2"/>
  <c r="R1804" i="2"/>
  <c r="R1805" i="2"/>
  <c r="R1806" i="2"/>
  <c r="R1807" i="2"/>
  <c r="R1808" i="2"/>
  <c r="R1809" i="2"/>
  <c r="R1810" i="2"/>
  <c r="R1811" i="2"/>
  <c r="R1812" i="2"/>
  <c r="R1813" i="2"/>
  <c r="R1814" i="2"/>
  <c r="R1815" i="2"/>
  <c r="R1816" i="2"/>
  <c r="R1817" i="2"/>
  <c r="R1818" i="2"/>
  <c r="R1819" i="2"/>
  <c r="R1820" i="2"/>
  <c r="R1821" i="2"/>
  <c r="R1822" i="2"/>
  <c r="R1823" i="2"/>
  <c r="R1824" i="2"/>
  <c r="R1825" i="2"/>
  <c r="R1826" i="2"/>
  <c r="R1827" i="2"/>
  <c r="R1828" i="2"/>
  <c r="R1829" i="2"/>
  <c r="R1830" i="2"/>
  <c r="R1831" i="2"/>
  <c r="R1832" i="2"/>
  <c r="R1833" i="2"/>
  <c r="R1834" i="2"/>
  <c r="R1835" i="2"/>
  <c r="R1836" i="2"/>
  <c r="R1837" i="2"/>
  <c r="R1838" i="2"/>
  <c r="R1839" i="2"/>
  <c r="R1840" i="2"/>
  <c r="R1841" i="2"/>
  <c r="R1842" i="2"/>
  <c r="R1843" i="2"/>
  <c r="R1844" i="2"/>
  <c r="R1845" i="2"/>
  <c r="R1846" i="2"/>
  <c r="R1847" i="2"/>
  <c r="R1848" i="2"/>
  <c r="R1849" i="2"/>
  <c r="R1850" i="2"/>
  <c r="R1851" i="2"/>
  <c r="R1852" i="2"/>
  <c r="R1853" i="2"/>
  <c r="R1854" i="2"/>
  <c r="R1855" i="2"/>
  <c r="R1856" i="2"/>
  <c r="R1857" i="2"/>
  <c r="R1858" i="2"/>
  <c r="R1859" i="2"/>
  <c r="R1860" i="2"/>
  <c r="R1861" i="2"/>
  <c r="R1862" i="2"/>
  <c r="R1863" i="2"/>
  <c r="R1864" i="2"/>
  <c r="R1865" i="2"/>
  <c r="R1866" i="2"/>
  <c r="R1867" i="2"/>
  <c r="R1868" i="2"/>
  <c r="R1869" i="2"/>
  <c r="R1870" i="2"/>
  <c r="R1871" i="2"/>
  <c r="R1872" i="2"/>
  <c r="R1873" i="2"/>
  <c r="R1874" i="2"/>
  <c r="R1875" i="2"/>
  <c r="R1876" i="2"/>
  <c r="R1877" i="2"/>
  <c r="R1878" i="2"/>
  <c r="R1879" i="2"/>
  <c r="R1880" i="2"/>
  <c r="R1881" i="2"/>
  <c r="R1882" i="2"/>
  <c r="R1883" i="2"/>
  <c r="R1884" i="2"/>
  <c r="R1885" i="2"/>
  <c r="R1886" i="2"/>
  <c r="R1887" i="2"/>
  <c r="R1888" i="2"/>
  <c r="R1889" i="2"/>
  <c r="R1890" i="2"/>
  <c r="R1891" i="2"/>
  <c r="R1892" i="2"/>
  <c r="R1893" i="2"/>
  <c r="R1894" i="2"/>
  <c r="R1895" i="2"/>
  <c r="R1896" i="2"/>
  <c r="R1897" i="2"/>
  <c r="R1898" i="2"/>
  <c r="R1899" i="2"/>
  <c r="R1900" i="2"/>
  <c r="R1901" i="2"/>
  <c r="R1902" i="2"/>
  <c r="R1903" i="2"/>
  <c r="R1904" i="2"/>
  <c r="R1905" i="2"/>
  <c r="R1906" i="2"/>
  <c r="R1907" i="2"/>
  <c r="R1908" i="2"/>
  <c r="R1909" i="2"/>
  <c r="R1910" i="2"/>
  <c r="R1911" i="2"/>
  <c r="R1912" i="2"/>
  <c r="E36" i="2"/>
  <c r="F36" i="2" l="1"/>
  <c r="I36" i="2" s="1"/>
  <c r="G36" i="2"/>
  <c r="F35" i="2"/>
  <c r="I35" i="2" s="1"/>
  <c r="G35" i="2"/>
  <c r="G40" i="1"/>
  <c r="I9" i="7" s="1"/>
  <c r="O9" i="7" s="1"/>
  <c r="K46" i="1" l="1"/>
  <c r="G45" i="1" s="1"/>
  <c r="A12" i="2" s="1"/>
  <c r="K47" i="1"/>
  <c r="K48" i="1"/>
  <c r="G43" i="1"/>
  <c r="G37" i="1"/>
  <c r="D9" i="7" l="1"/>
  <c r="M12" i="2"/>
  <c r="G41" i="1"/>
  <c r="K50" i="1"/>
  <c r="K49" i="1"/>
</calcChain>
</file>

<file path=xl/comments1.xml><?xml version="1.0" encoding="utf-8"?>
<comments xmlns="http://schemas.openxmlformats.org/spreadsheetml/2006/main">
  <authors>
    <author>eric.soupir</author>
    <author>joel.lindley</author>
    <author>sandy.casey</author>
  </authors>
  <commentList>
    <comment ref="H15" authorId="0">
      <text>
        <r>
          <rPr>
            <b/>
            <sz val="8"/>
            <color indexed="81"/>
            <rFont val="Tahoma"/>
            <family val="2"/>
          </rPr>
          <t>This should be "Yes" on all WASCOB designs</t>
        </r>
      </text>
    </comment>
    <comment ref="G18" authorId="0">
      <text>
        <r>
          <rPr>
            <b/>
            <sz val="8"/>
            <color indexed="81"/>
            <rFont val="Tahoma"/>
            <family val="2"/>
          </rPr>
          <t>Amount of runoff that needs to be stored</t>
        </r>
      </text>
    </comment>
    <comment ref="G20" authorId="1">
      <text>
        <r>
          <rPr>
            <b/>
            <sz val="8"/>
            <color indexed="81"/>
            <rFont val="Tahoma"/>
            <family val="2"/>
          </rPr>
          <t>The storage required for both sediment and runoff water</t>
        </r>
        <r>
          <rPr>
            <sz val="8"/>
            <color indexed="81"/>
            <rFont val="Tahoma"/>
            <family val="2"/>
          </rPr>
          <t xml:space="preserve">
</t>
        </r>
      </text>
    </comment>
    <comment ref="G26" authorId="0">
      <text>
        <r>
          <rPr>
            <b/>
            <sz val="8"/>
            <color indexed="81"/>
            <rFont val="Tahoma"/>
            <family val="2"/>
          </rPr>
          <t>Lowest elevation along the centerline of the embankment</t>
        </r>
      </text>
    </comment>
    <comment ref="G31" authorId="2">
      <text>
        <r>
          <rPr>
            <b/>
            <sz val="8"/>
            <color indexed="81"/>
            <rFont val="Tahoma"/>
            <family val="2"/>
          </rPr>
          <t>Height from ground at riser to settled top of fill</t>
        </r>
        <r>
          <rPr>
            <sz val="8"/>
            <color indexed="81"/>
            <rFont val="Tahoma"/>
            <family val="2"/>
          </rPr>
          <t xml:space="preserve">
</t>
        </r>
      </text>
    </comment>
    <comment ref="G32" authorId="1">
      <text>
        <r>
          <rPr>
            <b/>
            <sz val="8"/>
            <color indexed="81"/>
            <rFont val="Tahoma"/>
            <family val="2"/>
          </rPr>
          <t>Height from low point on centerline to settled top of fill</t>
        </r>
      </text>
    </comment>
    <comment ref="G33" authorId="0">
      <text>
        <r>
          <rPr>
            <b/>
            <sz val="8"/>
            <color indexed="81"/>
            <rFont val="Tahoma"/>
            <family val="2"/>
          </rPr>
          <t>Top width is based on WASCOB height, according to MN Standard 638</t>
        </r>
        <r>
          <rPr>
            <sz val="8"/>
            <color indexed="81"/>
            <rFont val="Tahoma"/>
            <family val="2"/>
          </rPr>
          <t xml:space="preserve">
</t>
        </r>
      </text>
    </comment>
    <comment ref="G43" authorId="0">
      <text>
        <r>
          <rPr>
            <b/>
            <sz val="8"/>
            <color indexed="81"/>
            <rFont val="Tahoma"/>
            <family val="2"/>
          </rPr>
          <t>Actual discharge time</t>
        </r>
        <r>
          <rPr>
            <sz val="8"/>
            <color indexed="81"/>
            <rFont val="Tahoma"/>
            <family val="2"/>
          </rPr>
          <t xml:space="preserve">
</t>
        </r>
      </text>
    </comment>
    <comment ref="G45" authorId="0">
      <text>
        <r>
          <rPr>
            <b/>
            <sz val="8"/>
            <color indexed="81"/>
            <rFont val="Tahoma"/>
            <family val="2"/>
          </rPr>
          <t>Minimum intake diameter is based on orifice size AND intake capacity</t>
        </r>
        <r>
          <rPr>
            <sz val="8"/>
            <color indexed="81"/>
            <rFont val="Tahoma"/>
            <family val="2"/>
          </rPr>
          <t xml:space="preserve">
</t>
        </r>
      </text>
    </comment>
  </commentList>
</comments>
</file>

<file path=xl/comments2.xml><?xml version="1.0" encoding="utf-8"?>
<comments xmlns="http://schemas.openxmlformats.org/spreadsheetml/2006/main">
  <authors>
    <author>eric.soupir</author>
    <author>joel.lindley</author>
    <author>sandy.casey</author>
  </authors>
  <commentList>
    <comment ref="H15" authorId="0">
      <text>
        <r>
          <rPr>
            <b/>
            <sz val="8"/>
            <color indexed="81"/>
            <rFont val="Tahoma"/>
            <family val="2"/>
          </rPr>
          <t>This should be "Yes" on all WASCOB designs</t>
        </r>
      </text>
    </comment>
    <comment ref="G18" authorId="0">
      <text>
        <r>
          <rPr>
            <b/>
            <sz val="8"/>
            <color indexed="81"/>
            <rFont val="Tahoma"/>
            <family val="2"/>
          </rPr>
          <t>Amount of runoff that needs to be stored</t>
        </r>
      </text>
    </comment>
    <comment ref="G20" authorId="1">
      <text>
        <r>
          <rPr>
            <b/>
            <sz val="8"/>
            <color indexed="81"/>
            <rFont val="Tahoma"/>
            <family val="2"/>
          </rPr>
          <t>The storage required for both sediment and runoff water</t>
        </r>
        <r>
          <rPr>
            <sz val="8"/>
            <color indexed="81"/>
            <rFont val="Tahoma"/>
            <family val="2"/>
          </rPr>
          <t xml:space="preserve">
</t>
        </r>
      </text>
    </comment>
    <comment ref="G26" authorId="0">
      <text>
        <r>
          <rPr>
            <b/>
            <sz val="8"/>
            <color indexed="81"/>
            <rFont val="Tahoma"/>
            <family val="2"/>
          </rPr>
          <t>Lowest elevation along the centerline of the embankment</t>
        </r>
      </text>
    </comment>
    <comment ref="G31" authorId="2">
      <text>
        <r>
          <rPr>
            <b/>
            <sz val="8"/>
            <color indexed="81"/>
            <rFont val="Tahoma"/>
            <family val="2"/>
          </rPr>
          <t>Height from ground at riser to settled top of fill</t>
        </r>
        <r>
          <rPr>
            <sz val="8"/>
            <color indexed="81"/>
            <rFont val="Tahoma"/>
            <family val="2"/>
          </rPr>
          <t xml:space="preserve">
</t>
        </r>
      </text>
    </comment>
    <comment ref="G32" authorId="1">
      <text>
        <r>
          <rPr>
            <b/>
            <sz val="8"/>
            <color indexed="81"/>
            <rFont val="Tahoma"/>
            <family val="2"/>
          </rPr>
          <t>Height from low point on centerline to settled top of fill</t>
        </r>
      </text>
    </comment>
    <comment ref="G33" authorId="0">
      <text>
        <r>
          <rPr>
            <b/>
            <sz val="8"/>
            <color indexed="81"/>
            <rFont val="Tahoma"/>
            <family val="2"/>
          </rPr>
          <t>Top width is based on WASCOB height, according to MN Standard 638</t>
        </r>
        <r>
          <rPr>
            <sz val="8"/>
            <color indexed="81"/>
            <rFont val="Tahoma"/>
            <family val="2"/>
          </rPr>
          <t xml:space="preserve">
</t>
        </r>
      </text>
    </comment>
    <comment ref="G43" authorId="0">
      <text>
        <r>
          <rPr>
            <b/>
            <sz val="8"/>
            <color indexed="81"/>
            <rFont val="Tahoma"/>
            <family val="2"/>
          </rPr>
          <t>Actual discharge time</t>
        </r>
        <r>
          <rPr>
            <sz val="8"/>
            <color indexed="81"/>
            <rFont val="Tahoma"/>
            <family val="2"/>
          </rPr>
          <t xml:space="preserve">
</t>
        </r>
      </text>
    </comment>
    <comment ref="G45" authorId="0">
      <text>
        <r>
          <rPr>
            <b/>
            <sz val="8"/>
            <color indexed="81"/>
            <rFont val="Tahoma"/>
            <family val="2"/>
          </rPr>
          <t>Minimum intake diameter is based on orifice size AND intake capacity</t>
        </r>
        <r>
          <rPr>
            <sz val="8"/>
            <color indexed="81"/>
            <rFont val="Tahoma"/>
            <family val="2"/>
          </rPr>
          <t xml:space="preserve">
</t>
        </r>
      </text>
    </comment>
  </commentList>
</comments>
</file>

<file path=xl/comments3.xml><?xml version="1.0" encoding="utf-8"?>
<comments xmlns="http://schemas.openxmlformats.org/spreadsheetml/2006/main">
  <authors>
    <author>eric.soupir</author>
    <author>joel.lindley</author>
    <author>sandy.casey</author>
  </authors>
  <commentList>
    <comment ref="H15" authorId="0">
      <text>
        <r>
          <rPr>
            <b/>
            <sz val="8"/>
            <color indexed="81"/>
            <rFont val="Tahoma"/>
            <family val="2"/>
          </rPr>
          <t>This should be "Yes" on all WASCOB designs</t>
        </r>
      </text>
    </comment>
    <comment ref="G18" authorId="0">
      <text>
        <r>
          <rPr>
            <b/>
            <sz val="8"/>
            <color indexed="81"/>
            <rFont val="Tahoma"/>
            <family val="2"/>
          </rPr>
          <t>Amount of runoff that needs to be stored</t>
        </r>
      </text>
    </comment>
    <comment ref="G20" authorId="1">
      <text>
        <r>
          <rPr>
            <b/>
            <sz val="8"/>
            <color indexed="81"/>
            <rFont val="Tahoma"/>
            <family val="2"/>
          </rPr>
          <t>The storage required for both sediment and runoff water</t>
        </r>
        <r>
          <rPr>
            <sz val="8"/>
            <color indexed="81"/>
            <rFont val="Tahoma"/>
            <family val="2"/>
          </rPr>
          <t xml:space="preserve">
</t>
        </r>
      </text>
    </comment>
    <comment ref="G26" authorId="0">
      <text>
        <r>
          <rPr>
            <b/>
            <sz val="8"/>
            <color indexed="81"/>
            <rFont val="Tahoma"/>
            <family val="2"/>
          </rPr>
          <t>Lowest elevation along the centerline of the embankment</t>
        </r>
      </text>
    </comment>
    <comment ref="G31" authorId="2">
      <text>
        <r>
          <rPr>
            <b/>
            <sz val="8"/>
            <color indexed="81"/>
            <rFont val="Tahoma"/>
            <family val="2"/>
          </rPr>
          <t>Height from ground at riser to settled top of fill</t>
        </r>
        <r>
          <rPr>
            <sz val="8"/>
            <color indexed="81"/>
            <rFont val="Tahoma"/>
            <family val="2"/>
          </rPr>
          <t xml:space="preserve">
</t>
        </r>
      </text>
    </comment>
    <comment ref="G32" authorId="1">
      <text>
        <r>
          <rPr>
            <b/>
            <sz val="8"/>
            <color indexed="81"/>
            <rFont val="Tahoma"/>
            <family val="2"/>
          </rPr>
          <t>Height from low point on centerline to settled top of fill</t>
        </r>
      </text>
    </comment>
    <comment ref="G33" authorId="0">
      <text>
        <r>
          <rPr>
            <b/>
            <sz val="8"/>
            <color indexed="81"/>
            <rFont val="Tahoma"/>
            <family val="2"/>
          </rPr>
          <t>Top width is based on WASCOB height, according to MN Standard 638</t>
        </r>
        <r>
          <rPr>
            <sz val="8"/>
            <color indexed="81"/>
            <rFont val="Tahoma"/>
            <family val="2"/>
          </rPr>
          <t xml:space="preserve">
</t>
        </r>
      </text>
    </comment>
    <comment ref="G43" authorId="0">
      <text>
        <r>
          <rPr>
            <b/>
            <sz val="8"/>
            <color indexed="81"/>
            <rFont val="Tahoma"/>
            <family val="2"/>
          </rPr>
          <t>Actual discharge time</t>
        </r>
        <r>
          <rPr>
            <sz val="8"/>
            <color indexed="81"/>
            <rFont val="Tahoma"/>
            <family val="2"/>
          </rPr>
          <t xml:space="preserve">
</t>
        </r>
      </text>
    </comment>
    <comment ref="G45" authorId="0">
      <text>
        <r>
          <rPr>
            <b/>
            <sz val="8"/>
            <color indexed="81"/>
            <rFont val="Tahoma"/>
            <family val="2"/>
          </rPr>
          <t>Minimum intake diameter is based on orifice size AND intake capacity</t>
        </r>
        <r>
          <rPr>
            <sz val="8"/>
            <color indexed="81"/>
            <rFont val="Tahoma"/>
            <family val="2"/>
          </rPr>
          <t xml:space="preserve">
</t>
        </r>
      </text>
    </comment>
  </commentList>
</comments>
</file>

<file path=xl/comments4.xml><?xml version="1.0" encoding="utf-8"?>
<comments xmlns="http://schemas.openxmlformats.org/spreadsheetml/2006/main">
  <authors>
    <author>eric.soupir</author>
  </authors>
  <commentList>
    <comment ref="G16" authorId="0">
      <text>
        <r>
          <rPr>
            <b/>
            <sz val="8"/>
            <color indexed="81"/>
            <rFont val="Tahoma"/>
            <family val="2"/>
          </rPr>
          <t>Type in TOTAL additional Q for each reach</t>
        </r>
        <r>
          <rPr>
            <sz val="8"/>
            <color indexed="81"/>
            <rFont val="Tahoma"/>
            <family val="2"/>
          </rPr>
          <t xml:space="preserve">
</t>
        </r>
      </text>
    </comment>
    <comment ref="D17" authorId="0">
      <text>
        <r>
          <rPr>
            <b/>
            <sz val="8"/>
            <color indexed="81"/>
            <rFont val="Tahoma"/>
            <family val="2"/>
          </rPr>
          <t>This should be the stationing at the highest elevation</t>
        </r>
      </text>
    </comment>
  </commentList>
</comments>
</file>

<file path=xl/sharedStrings.xml><?xml version="1.0" encoding="utf-8"?>
<sst xmlns="http://schemas.openxmlformats.org/spreadsheetml/2006/main" count="485" uniqueCount="298">
  <si>
    <t>Date:</t>
  </si>
  <si>
    <t>Landuser:</t>
  </si>
  <si>
    <t>Designed by:</t>
  </si>
  <si>
    <t>County:</t>
  </si>
  <si>
    <t>Section:</t>
  </si>
  <si>
    <t>T</t>
  </si>
  <si>
    <t>Basin No.</t>
  </si>
  <si>
    <t>Design Storm:</t>
  </si>
  <si>
    <t>Design Rainfall (in.)</t>
  </si>
  <si>
    <t>Direct Runoff (in.)</t>
  </si>
  <si>
    <t>Soil Loss (T/ac/yr)</t>
  </si>
  <si>
    <t>Tile Material</t>
  </si>
  <si>
    <t>Clay</t>
  </si>
  <si>
    <t>Index</t>
  </si>
  <si>
    <t>County Rainfall Tables</t>
  </si>
  <si>
    <t>for 24-hr storm events</t>
  </si>
  <si>
    <t>at varying return intervals</t>
  </si>
  <si>
    <t>Benton</t>
  </si>
  <si>
    <t>Brown</t>
  </si>
  <si>
    <t>Cass</t>
  </si>
  <si>
    <t>Design Storm</t>
  </si>
  <si>
    <t>10-year</t>
  </si>
  <si>
    <t>25-year</t>
  </si>
  <si>
    <t>Grant</t>
  </si>
  <si>
    <t>Jackson</t>
  </si>
  <si>
    <t>Lake</t>
  </si>
  <si>
    <t>Marshall</t>
  </si>
  <si>
    <t>Martin</t>
  </si>
  <si>
    <t>Scott</t>
  </si>
  <si>
    <t>Washington</t>
  </si>
  <si>
    <t>Aitkin</t>
  </si>
  <si>
    <t>Anoka</t>
  </si>
  <si>
    <t>Becker</t>
  </si>
  <si>
    <t>Beltrami</t>
  </si>
  <si>
    <t>Big Stone</t>
  </si>
  <si>
    <t>Blue Earth</t>
  </si>
  <si>
    <t>Carlton</t>
  </si>
  <si>
    <t>Carver</t>
  </si>
  <si>
    <t>Chippewa</t>
  </si>
  <si>
    <t>Chisago</t>
  </si>
  <si>
    <t>Clearwater</t>
  </si>
  <si>
    <t>Cook</t>
  </si>
  <si>
    <t>Cottonwood</t>
  </si>
  <si>
    <t>Crow Wing</t>
  </si>
  <si>
    <t>Dakota</t>
  </si>
  <si>
    <t>Dodge</t>
  </si>
  <si>
    <t>Douglas</t>
  </si>
  <si>
    <t>Duluth</t>
  </si>
  <si>
    <t>Faribault</t>
  </si>
  <si>
    <t>Fillmore</t>
  </si>
  <si>
    <t>Freeborn</t>
  </si>
  <si>
    <t>Goodhue</t>
  </si>
  <si>
    <t>Hennepin</t>
  </si>
  <si>
    <t>Houston</t>
  </si>
  <si>
    <t>Hubbard</t>
  </si>
  <si>
    <t>Isanti</t>
  </si>
  <si>
    <t>Itasca</t>
  </si>
  <si>
    <t>Kanabec</t>
  </si>
  <si>
    <t>Kandiyohi</t>
  </si>
  <si>
    <t>Kittson</t>
  </si>
  <si>
    <t>Koochiching</t>
  </si>
  <si>
    <t>Lac Qui Parle</t>
  </si>
  <si>
    <t>Lake Of The Woods</t>
  </si>
  <si>
    <t>LeSueur</t>
  </si>
  <si>
    <t>Lincoln</t>
  </si>
  <si>
    <t>Lyon</t>
  </si>
  <si>
    <t>Mahnomen</t>
  </si>
  <si>
    <t>Mankato</t>
  </si>
  <si>
    <t>McLeod</t>
  </si>
  <si>
    <t>Meeker</t>
  </si>
  <si>
    <t>Mille Lacs</t>
  </si>
  <si>
    <t>Moorhead</t>
  </si>
  <si>
    <t>Morrison</t>
  </si>
  <si>
    <t>Mower</t>
  </si>
  <si>
    <t>Murray</t>
  </si>
  <si>
    <t>Nicollet</t>
  </si>
  <si>
    <t>Nobles</t>
  </si>
  <si>
    <t>Norman</t>
  </si>
  <si>
    <t>Olmsted</t>
  </si>
  <si>
    <t>Otter Tail</t>
  </si>
  <si>
    <t>Pennington</t>
  </si>
  <si>
    <t>Pine</t>
  </si>
  <si>
    <t>Pipestone</t>
  </si>
  <si>
    <t>Polk</t>
  </si>
  <si>
    <t>Pope</t>
  </si>
  <si>
    <t>Ramsey</t>
  </si>
  <si>
    <t>Red Lake</t>
  </si>
  <si>
    <t>Redwood</t>
  </si>
  <si>
    <t>Renville</t>
  </si>
  <si>
    <t>Rice</t>
  </si>
  <si>
    <t>Rock</t>
  </si>
  <si>
    <t>Rochester</t>
  </si>
  <si>
    <t>Roseau</t>
  </si>
  <si>
    <t>St. Cloud</t>
  </si>
  <si>
    <t>St. Louis</t>
  </si>
  <si>
    <t>Sherburne</t>
  </si>
  <si>
    <t>Sibley</t>
  </si>
  <si>
    <t>Stearns</t>
  </si>
  <si>
    <t>Steele</t>
  </si>
  <si>
    <t>Stevens</t>
  </si>
  <si>
    <t>Swift</t>
  </si>
  <si>
    <t>Todd</t>
  </si>
  <si>
    <t>Traverse</t>
  </si>
  <si>
    <t>Wabasha</t>
  </si>
  <si>
    <t>Wadena</t>
  </si>
  <si>
    <t>Waseca</t>
  </si>
  <si>
    <t>Watonwan</t>
  </si>
  <si>
    <t>Wilkin</t>
  </si>
  <si>
    <t>Winona</t>
  </si>
  <si>
    <t>Wright</t>
  </si>
  <si>
    <t>Yellow Medicine</t>
  </si>
  <si>
    <t>Selected County</t>
  </si>
  <si>
    <t>WASCOB Design</t>
  </si>
  <si>
    <t>Watershed Area (acres)</t>
  </si>
  <si>
    <t>W</t>
  </si>
  <si>
    <t>Township:</t>
  </si>
  <si>
    <t>Checked By:</t>
  </si>
  <si>
    <r>
      <t>Sediment Volume (ft</t>
    </r>
    <r>
      <rPr>
        <b/>
        <vertAlign val="superscript"/>
        <sz val="10"/>
        <rFont val="Arial"/>
        <family val="2"/>
      </rPr>
      <t>3</t>
    </r>
    <r>
      <rPr>
        <b/>
        <sz val="10"/>
        <rFont val="Arial"/>
        <family val="2"/>
      </rPr>
      <t>)</t>
    </r>
  </si>
  <si>
    <r>
      <t>Runoff Volume (ft</t>
    </r>
    <r>
      <rPr>
        <b/>
        <vertAlign val="superscript"/>
        <sz val="10"/>
        <rFont val="Arial"/>
        <family val="2"/>
      </rPr>
      <t>3</t>
    </r>
    <r>
      <rPr>
        <b/>
        <sz val="10"/>
        <rFont val="Arial"/>
        <family val="2"/>
      </rPr>
      <t>)</t>
    </r>
  </si>
  <si>
    <r>
      <t>Area (ft</t>
    </r>
    <r>
      <rPr>
        <b/>
        <vertAlign val="superscript"/>
        <sz val="10"/>
        <rFont val="Arial"/>
        <family val="2"/>
      </rPr>
      <t>2</t>
    </r>
    <r>
      <rPr>
        <b/>
        <sz val="10"/>
        <rFont val="Arial"/>
        <family val="2"/>
      </rPr>
      <t>)</t>
    </r>
  </si>
  <si>
    <t>N             R</t>
  </si>
  <si>
    <r>
      <t>1" Min. Volume (ft</t>
    </r>
    <r>
      <rPr>
        <b/>
        <vertAlign val="superscript"/>
        <sz val="10"/>
        <rFont val="Arial"/>
        <family val="2"/>
      </rPr>
      <t>3</t>
    </r>
    <r>
      <rPr>
        <b/>
        <sz val="10"/>
        <rFont val="Arial"/>
        <family val="2"/>
      </rPr>
      <t>)</t>
    </r>
  </si>
  <si>
    <t>Elevation (ft)</t>
  </si>
  <si>
    <r>
      <t>Required Storage (ft</t>
    </r>
    <r>
      <rPr>
        <b/>
        <vertAlign val="superscript"/>
        <sz val="10"/>
        <rFont val="Arial"/>
        <family val="2"/>
      </rPr>
      <t>3</t>
    </r>
    <r>
      <rPr>
        <b/>
        <sz val="10"/>
        <rFont val="Arial"/>
        <family val="2"/>
      </rPr>
      <t>)</t>
    </r>
  </si>
  <si>
    <r>
      <t>Water Volume (ft</t>
    </r>
    <r>
      <rPr>
        <b/>
        <vertAlign val="superscript"/>
        <sz val="10"/>
        <rFont val="Arial"/>
        <family val="2"/>
      </rPr>
      <t>3</t>
    </r>
    <r>
      <rPr>
        <b/>
        <sz val="10"/>
        <rFont val="Arial"/>
        <family val="2"/>
      </rPr>
      <t>)</t>
    </r>
  </si>
  <si>
    <t>Ridge Height (ft)</t>
  </si>
  <si>
    <t>Required Elevation (ft)</t>
  </si>
  <si>
    <t>Design Elevation (ft)</t>
  </si>
  <si>
    <t>Upper</t>
  </si>
  <si>
    <t>Lower</t>
  </si>
  <si>
    <t>Ground Elev. @ Riser</t>
  </si>
  <si>
    <t>Low Pt. on Centerline</t>
  </si>
  <si>
    <t>Orifice Position:</t>
  </si>
  <si>
    <t>Top Width (ft)</t>
  </si>
  <si>
    <t>Orifice Depth (ft)</t>
  </si>
  <si>
    <t>Min. Orifice Dia. (in.)</t>
  </si>
  <si>
    <t>Average Orifice Q (cfs)</t>
  </si>
  <si>
    <t>Max. Orifice Q (cfs)</t>
  </si>
  <si>
    <t>Discharge Time (hr)</t>
  </si>
  <si>
    <t>Min. Intake Dia. (in.)</t>
  </si>
  <si>
    <t>WASCOB Height (ft)</t>
  </si>
  <si>
    <t>Orifice Q</t>
  </si>
  <si>
    <t>Average</t>
  </si>
  <si>
    <t>Maximum</t>
  </si>
  <si>
    <t>Dual-Wall CPT</t>
  </si>
  <si>
    <t>CMP-Annular</t>
  </si>
  <si>
    <t>CMP-Helical</t>
  </si>
  <si>
    <t>PVC</t>
  </si>
  <si>
    <t>Concrete</t>
  </si>
  <si>
    <t>n-value</t>
  </si>
  <si>
    <t>Reach</t>
  </si>
  <si>
    <t>CPT (Tile)</t>
  </si>
  <si>
    <t>Tile Design</t>
  </si>
  <si>
    <t>Most Restrictive Soil</t>
  </si>
  <si>
    <t>Slope (ft/ft)</t>
  </si>
  <si>
    <t>From
Station (ft)</t>
  </si>
  <si>
    <t>To
Station (ft)</t>
  </si>
  <si>
    <t>Additional
Q (cfs)</t>
  </si>
  <si>
    <t>WASCOB
Q (cfs)</t>
  </si>
  <si>
    <t>Soils</t>
  </si>
  <si>
    <t>Sand</t>
  </si>
  <si>
    <t>Loamy Sand</t>
  </si>
  <si>
    <t>Fine Sandy Loam</t>
  </si>
  <si>
    <t>Loamy Very Fine Sand</t>
  </si>
  <si>
    <t>Fine Sand</t>
  </si>
  <si>
    <t>Very Fine Sand</t>
  </si>
  <si>
    <t>Course Loam</t>
  </si>
  <si>
    <t>Muck (Sapric)</t>
  </si>
  <si>
    <t>Sandy Loam</t>
  </si>
  <si>
    <t>Silt</t>
  </si>
  <si>
    <t>Silt Loam</t>
  </si>
  <si>
    <t>Mucky Peat (Hemic)</t>
  </si>
  <si>
    <t>Very Fine Sandy Loam</t>
  </si>
  <si>
    <t>Loam</t>
  </si>
  <si>
    <t>Silty Clay</t>
  </si>
  <si>
    <t>Silty Clay Loam</t>
  </si>
  <si>
    <t>Sandy Clay</t>
  </si>
  <si>
    <t>Sandy Clay Loam</t>
  </si>
  <si>
    <t>Clay Loam</t>
  </si>
  <si>
    <t>Peat (Fibric)</t>
  </si>
  <si>
    <t>Coarse Sand</t>
  </si>
  <si>
    <t>Gravel</t>
  </si>
  <si>
    <t>Loamy Coarse Sand</t>
  </si>
  <si>
    <t>Runoff Curve Number</t>
  </si>
  <si>
    <t>Depth (ft)</t>
  </si>
  <si>
    <t>Velocity</t>
  </si>
  <si>
    <t>min</t>
  </si>
  <si>
    <t>Velocity Check</t>
  </si>
  <si>
    <t>#1 Orifice Position</t>
  </si>
  <si>
    <t>#2 Orifice Position</t>
  </si>
  <si>
    <t>#3 Orifice Position</t>
  </si>
  <si>
    <t>No Orifice</t>
  </si>
  <si>
    <t>Tile Diameter (in.)</t>
  </si>
  <si>
    <t>Design</t>
  </si>
  <si>
    <t>Length of</t>
  </si>
  <si>
    <t>Tile (ft)</t>
  </si>
  <si>
    <t>Capacity</t>
  </si>
  <si>
    <t>(cfs)</t>
  </si>
  <si>
    <t>(fps)</t>
  </si>
  <si>
    <t xml:space="preserve">Depth of </t>
  </si>
  <si>
    <t>Flow (in.)</t>
  </si>
  <si>
    <t>Min.</t>
  </si>
  <si>
    <t>N           R</t>
  </si>
  <si>
    <t>Type of Intake</t>
  </si>
  <si>
    <t>Direct</t>
  </si>
  <si>
    <t>Offset</t>
  </si>
  <si>
    <t>Capacity (cfs)</t>
  </si>
  <si>
    <t>Intake</t>
  </si>
  <si>
    <t>Dia. (in.)</t>
  </si>
  <si>
    <t>Length (ft)</t>
  </si>
  <si>
    <t>Elevation</t>
  </si>
  <si>
    <t>Change (ft)</t>
  </si>
  <si>
    <t>Required</t>
  </si>
  <si>
    <t>Available</t>
  </si>
  <si>
    <t>Offset Capacity</t>
  </si>
  <si>
    <t>General</t>
  </si>
  <si>
    <t>Step 1</t>
  </si>
  <si>
    <t>Program Overview</t>
  </si>
  <si>
    <t>Limitations</t>
  </si>
  <si>
    <t>Enter Landuser and Location information into "WASCOB Design 1".</t>
  </si>
  <si>
    <t xml:space="preserve">Either type in or select a County from the drop down list.  </t>
  </si>
  <si>
    <t>Step 2</t>
  </si>
  <si>
    <t>Enter the "Ground Elev. @ Riser" and "Low Pt. on Centerline"</t>
  </si>
  <si>
    <t>Step 3</t>
  </si>
  <si>
    <t>Step 4</t>
  </si>
  <si>
    <t>Type in the inlet stationing for each basin.</t>
  </si>
  <si>
    <t>Select either "Use Average Orifice Q" or "Use Maximum Orifice Q".</t>
  </si>
  <si>
    <t>Select a "Tile Material" from the drop-down list for each reach.  Tile material names and
n-values can be edited on the "Defaults" sheet.</t>
  </si>
  <si>
    <t>Reach 1 must always be at the top of the project (highest elevation), regardless of whether the
stationing increases or decreases as you proceed downhill.  Your last reach will be the lowest elevation.</t>
  </si>
  <si>
    <t>"WASCOB Q" is calculated automatically from the design sheets.</t>
  </si>
  <si>
    <t>If you have additional Q, type that in.  Adding additional Q to one reach will not add it to the rest.</t>
  </si>
  <si>
    <t>Type in the slope for each reach.</t>
  </si>
  <si>
    <t>If desired, you may select a soil type.  This is used to do a velocity check on perforated tubing.</t>
  </si>
  <si>
    <t>Step 5</t>
  </si>
  <si>
    <t>If desired, enter a "Design Tile Diameter".  If nothing is entered, the program will use the
"Minimum Tile Diameter".</t>
  </si>
  <si>
    <t>Offsets</t>
  </si>
  <si>
    <t>Use this sheet to do a quick check on offset capacity.</t>
  </si>
  <si>
    <t>Defaults</t>
  </si>
  <si>
    <t>The following values can be edited on the "Defaults" sheet.</t>
  </si>
  <si>
    <t xml:space="preserve">     -Rainfall values
     -Tile material names
     -n-values
     -Orifice position names
     -Orifice position depths</t>
  </si>
  <si>
    <t>Use 1" Minimum?</t>
  </si>
  <si>
    <t>Yes</t>
  </si>
  <si>
    <t>No</t>
  </si>
  <si>
    <t xml:space="preserve">Yes </t>
  </si>
  <si>
    <t/>
  </si>
  <si>
    <t>Subbasin</t>
  </si>
  <si>
    <t>RCN</t>
  </si>
  <si>
    <t>Soils and Landuse</t>
  </si>
  <si>
    <t>Acres</t>
  </si>
  <si>
    <t>Hyd Group</t>
  </si>
  <si>
    <t>Drain Area (ac)</t>
  </si>
  <si>
    <t>Avg % Slope</t>
  </si>
  <si>
    <t>Watershed Report</t>
  </si>
  <si>
    <t>Station</t>
  </si>
  <si>
    <t>Northing</t>
  </si>
  <si>
    <t>Easting</t>
  </si>
  <si>
    <t xml:space="preserve">Elevation </t>
  </si>
  <si>
    <t>Tile Alignment - Natural Ground Profile</t>
  </si>
  <si>
    <t>Description</t>
  </si>
  <si>
    <t>Intake and Design Heights</t>
  </si>
  <si>
    <t>(LiDAR version 1.0  (8/2012)</t>
  </si>
  <si>
    <t>LiDAR Wascob Design</t>
  </si>
  <si>
    <t xml:space="preserve">NRCS Wascob Tools toolbox in ArcGIS. It includes sheets for basin and tile design, checking offset capacity, tile and design elevations, </t>
  </si>
  <si>
    <t>and report tabs for Watershed attributes, tile alignment, and intake and design heights.</t>
  </si>
  <si>
    <t>Tile Line</t>
  </si>
  <si>
    <t>Basin</t>
  </si>
  <si>
    <t>green shaded cells.</t>
  </si>
  <si>
    <t xml:space="preserve"> Unshaded cells will calculate automatically.</t>
  </si>
  <si>
    <t>button and select your project workspace folder.</t>
  </si>
  <si>
    <t xml:space="preserve">          Max number of basins in series</t>
  </si>
  <si>
    <t xml:space="preserve">          Max intake diameter (in.)</t>
  </si>
  <si>
    <t xml:space="preserve">          Max number of reaches for tile design</t>
  </si>
  <si>
    <t xml:space="preserve">          Min tile diameter (in.)</t>
  </si>
  <si>
    <t xml:space="preserve">          Max tile diameter (in.)</t>
  </si>
  <si>
    <t xml:space="preserve">          **Use the                                Buttons to add your GIS Data to the spreadsheet</t>
  </si>
  <si>
    <t xml:space="preserve">             Enter data into the </t>
  </si>
  <si>
    <t xml:space="preserve">          **Clicking                               will clear all user-entered cells on the active sheet.</t>
  </si>
  <si>
    <t xml:space="preserve">          Use Design Sheets 2 and 3 if you have multiple basins in series.</t>
  </si>
  <si>
    <t xml:space="preserve">          Watershed information will be autopopulated on Design sheets 2 &amp;3 After Importing data on Sheet 1.</t>
  </si>
  <si>
    <t>If you have selected either "Upper" or "Lower" for Orifice Position, then you will need to enter a
"Design Orifice Diameter".  If you selected "No Orifice", then you need to enter either "Yes" or "No" for "Use Riser?"</t>
  </si>
  <si>
    <t>Select an "Orifice Position" from the drop-down list.  The choices and their associated depths</t>
  </si>
  <si>
    <t>Select a Storm Event Type</t>
  </si>
  <si>
    <t>Enter Soil Loss and Discharge Time</t>
  </si>
  <si>
    <r>
      <rPr>
        <sz val="9"/>
        <rFont val="Arial"/>
        <family val="2"/>
      </rPr>
      <t xml:space="preserve"> On Sheet </t>
    </r>
    <r>
      <rPr>
        <i/>
        <sz val="9"/>
        <rFont val="Arial"/>
        <family val="2"/>
      </rPr>
      <t xml:space="preserve">"WASCOB Design 1", Click the </t>
    </r>
  </si>
  <si>
    <t xml:space="preserve">          When working on multiple basins, use the </t>
  </si>
  <si>
    <t xml:space="preserve">     button to import Landowner info from Design 1.</t>
  </si>
  <si>
    <r>
      <t>This program is for design of Water and Sediment Control Basins (</t>
    </r>
    <r>
      <rPr>
        <b/>
        <sz val="8"/>
        <rFont val="Arial"/>
        <family val="2"/>
      </rPr>
      <t>WASCOB</t>
    </r>
    <r>
      <rPr>
        <sz val="8"/>
        <rFont val="Arial"/>
        <family val="2"/>
      </rPr>
      <t xml:space="preserve">'s), and intended to be used in conjuction with the </t>
    </r>
  </si>
  <si>
    <t>Condition</t>
  </si>
  <si>
    <t>Landuse</t>
  </si>
  <si>
    <t>N            R</t>
  </si>
  <si>
    <t>Watershed Properties</t>
  </si>
  <si>
    <t>Embankment Properties</t>
  </si>
  <si>
    <t>Max Elev</t>
  </si>
  <si>
    <t>Min Elev</t>
  </si>
  <si>
    <t>Mean Elev</t>
  </si>
  <si>
    <t>Max Height</t>
  </si>
  <si>
    <t>(LiDAR version 2.0  (12/2012)</t>
  </si>
  <si>
    <t>C:\Projects\final</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</si>
</sst>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0.0"/>
    <numFmt numFmtId="165" formatCode="mm/dd/yy"/>
    <numFmt numFmtId="166" formatCode="0.000"/>
    <numFmt numFmtId="167" formatCode="0\+00"/>
    <numFmt numFmtId="168" formatCode="0.0000"/>
    <numFmt numFmtId="169" formatCode="0.00000000000"/>
    <numFmt numFmtId="170" formatCode="#,##0.0"/>
    <numFmt numFmtId="171" formatCode="0.0000000"/>
  </numFmts>
  <fonts count="27" x14ac:knownFonts="1">
    <font>
      <sz val="10"/>
      <name val="Arial"/>
    </font>
    <font>
      <sz val="10"/>
      <name val="Arial"/>
      <family val="2"/>
    </font>
    <font>
      <sz val="8"/>
      <name val="Arial"/>
      <family val="2"/>
    </font>
    <font>
      <b/>
      <sz val="18"/>
      <name val="Arial"/>
      <family val="2"/>
    </font>
    <font>
      <b/>
      <sz val="10"/>
      <name val="Arial"/>
      <family val="2"/>
    </font>
    <font>
      <i/>
      <sz val="8"/>
      <name val="Arial"/>
      <family val="2"/>
    </font>
    <font>
      <sz val="10"/>
      <name val="Arial"/>
      <family val="2"/>
    </font>
    <font>
      <b/>
      <sz val="10"/>
      <name val="Arial"/>
      <family val="2"/>
    </font>
    <font>
      <b/>
      <u/>
      <sz val="10"/>
      <name val="Arial"/>
      <family val="2"/>
    </font>
    <font>
      <i/>
      <sz val="10"/>
      <name val="Arial"/>
      <family val="2"/>
    </font>
    <font>
      <b/>
      <sz val="8"/>
      <color indexed="81"/>
      <name val="Tahoma"/>
      <family val="2"/>
    </font>
    <font>
      <sz val="8"/>
      <color indexed="81"/>
      <name val="Tahoma"/>
      <family val="2"/>
    </font>
    <font>
      <sz val="6"/>
      <name val="Arial"/>
      <family val="2"/>
    </font>
    <font>
      <b/>
      <sz val="12"/>
      <name val="Arial"/>
      <family val="2"/>
    </font>
    <font>
      <sz val="7"/>
      <name val="Arial"/>
      <family val="2"/>
    </font>
    <font>
      <b/>
      <vertAlign val="superscript"/>
      <sz val="10"/>
      <name val="Arial"/>
      <family val="2"/>
    </font>
    <font>
      <sz val="6"/>
      <name val="Arial"/>
      <family val="2"/>
    </font>
    <font>
      <b/>
      <sz val="10"/>
      <color indexed="10"/>
      <name val="Arial"/>
      <family val="2"/>
    </font>
    <font>
      <b/>
      <sz val="8"/>
      <name val="Arial"/>
      <family val="2"/>
    </font>
    <font>
      <sz val="1"/>
      <name val="Arial"/>
      <family val="2"/>
    </font>
    <font>
      <sz val="12"/>
      <color indexed="10"/>
      <name val="Arial"/>
      <family val="2"/>
    </font>
    <font>
      <sz val="10"/>
      <color rgb="FF000000"/>
      <name val="Arial"/>
      <family val="2"/>
    </font>
    <font>
      <sz val="10"/>
      <color theme="0"/>
      <name val="Arial"/>
      <family val="2"/>
    </font>
    <font>
      <sz val="9"/>
      <name val="Arial"/>
      <family val="2"/>
    </font>
    <font>
      <b/>
      <sz val="9"/>
      <name val="Arial"/>
      <family val="2"/>
    </font>
    <font>
      <i/>
      <sz val="9"/>
      <name val="Arial"/>
      <family val="2"/>
    </font>
    <font>
      <sz val="8"/>
      <color theme="1"/>
      <name val="Arial"/>
      <family val="2"/>
    </font>
  </fonts>
  <fills count="18">
    <fill>
      <patternFill patternType="none"/>
    </fill>
    <fill>
      <patternFill patternType="gray125"/>
    </fill>
    <fill>
      <patternFill patternType="solid">
        <fgColor indexed="42"/>
        <bgColor indexed="64"/>
      </patternFill>
    </fill>
    <fill>
      <patternFill patternType="solid">
        <fgColor indexed="44"/>
        <bgColor indexed="64"/>
      </patternFill>
    </fill>
    <fill>
      <patternFill patternType="solid">
        <fgColor indexed="57"/>
        <bgColor indexed="64"/>
      </patternFill>
    </fill>
    <fill>
      <patternFill patternType="solid">
        <fgColor indexed="13"/>
        <bgColor indexed="64"/>
      </patternFill>
    </fill>
    <fill>
      <patternFill patternType="solid">
        <fgColor indexed="51"/>
        <bgColor indexed="64"/>
      </patternFill>
    </fill>
    <fill>
      <patternFill patternType="solid">
        <fgColor indexed="4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6"/>
        <bgColor theme="6"/>
      </patternFill>
    </fill>
    <fill>
      <patternFill patternType="solid">
        <fgColor theme="6" tint="0.79998168889431442"/>
        <bgColor theme="6" tint="0.79998168889431442"/>
      </patternFill>
    </fill>
    <fill>
      <patternFill patternType="solid">
        <fgColor theme="6" tint="0.59999389629810485"/>
        <bgColor theme="6" tint="0.59999389629810485"/>
      </patternFill>
    </fill>
    <fill>
      <patternFill patternType="solid">
        <fgColor theme="6"/>
        <bgColor indexed="64"/>
      </patternFill>
    </fill>
    <fill>
      <patternFill patternType="solid">
        <fgColor theme="6" tint="0.39994506668294322"/>
        <bgColor indexed="64"/>
      </patternFill>
    </fill>
    <fill>
      <patternFill patternType="solid">
        <fgColor theme="6" tint="0.59996337778862885"/>
        <bgColor indexed="64"/>
      </patternFill>
    </fill>
    <fill>
      <patternFill patternType="solid">
        <fgColor theme="6" tint="0.79998168889431442"/>
        <bgColor indexed="64"/>
      </patternFill>
    </fill>
  </fills>
  <borders count="31">
    <border>
      <left/>
      <right/>
      <top/>
      <bottom/>
      <diagonal/>
    </border>
    <border>
      <left/>
      <right/>
      <top style="thick">
        <color indexed="64"/>
      </top>
      <bottom style="thick">
        <color indexed="64"/>
      </bottom>
      <diagonal/>
    </border>
    <border>
      <left/>
      <right/>
      <top style="thick">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style="thin">
        <color indexed="64"/>
      </bottom>
      <diagonal/>
    </border>
    <border>
      <left style="thick">
        <color indexed="64"/>
      </left>
      <right/>
      <top style="thick">
        <color indexed="64"/>
      </top>
      <bottom style="thick">
        <color indexed="64"/>
      </bottom>
      <diagonal/>
    </border>
    <border>
      <left style="thin">
        <color indexed="64"/>
      </left>
      <right style="thin">
        <color indexed="64"/>
      </right>
      <top/>
      <bottom style="thin">
        <color indexed="64"/>
      </bottom>
      <diagonal/>
    </border>
    <border>
      <left/>
      <right style="thick">
        <color indexed="64"/>
      </right>
      <top style="thick">
        <color indexed="64"/>
      </top>
      <bottom style="thick">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0"/>
      </left>
      <right/>
      <top style="thin">
        <color theme="0"/>
      </top>
      <bottom/>
      <diagonal/>
    </border>
    <border>
      <left/>
      <right style="thin">
        <color theme="0"/>
      </right>
      <top/>
      <bottom style="thick">
        <color theme="0"/>
      </bottom>
      <diagonal/>
    </border>
    <border>
      <left style="thin">
        <color theme="0"/>
      </left>
      <right/>
      <top/>
      <bottom style="thick">
        <color theme="0"/>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right/>
      <top/>
      <bottom style="thick">
        <color theme="0"/>
      </bottom>
      <diagonal/>
    </border>
  </borders>
  <cellStyleXfs count="1">
    <xf numFmtId="0" fontId="0" fillId="0" borderId="0"/>
  </cellStyleXfs>
  <cellXfs count="431">
    <xf numFmtId="0" fontId="0" fillId="0" borderId="0" xfId="0"/>
    <xf numFmtId="0" fontId="0" fillId="0" borderId="0" xfId="0" applyFill="1"/>
    <xf numFmtId="0" fontId="4" fillId="0" borderId="0" xfId="0" applyFont="1" applyFill="1"/>
    <xf numFmtId="14" fontId="4" fillId="0" borderId="2" xfId="0" applyNumberFormat="1" applyFont="1" applyFill="1" applyBorder="1" applyAlignment="1">
      <alignment vertical="center"/>
    </xf>
    <xf numFmtId="0" fontId="0" fillId="0" borderId="0" xfId="0" applyFill="1" applyProtection="1"/>
    <xf numFmtId="0" fontId="0" fillId="0" borderId="0" xfId="0" applyFill="1" applyBorder="1" applyProtection="1"/>
    <xf numFmtId="0" fontId="4" fillId="0" borderId="0" xfId="0" applyFont="1" applyFill="1" applyAlignment="1">
      <alignment horizontal="center"/>
    </xf>
    <xf numFmtId="0" fontId="6" fillId="2" borderId="3" xfId="0" applyFont="1" applyFill="1" applyBorder="1" applyAlignment="1" applyProtection="1">
      <alignment horizontal="center"/>
      <protection locked="0"/>
    </xf>
    <xf numFmtId="0" fontId="4" fillId="0" borderId="0" xfId="0" applyFont="1" applyFill="1" applyAlignment="1">
      <alignment horizontal="right"/>
    </xf>
    <xf numFmtId="0" fontId="0" fillId="2" borderId="3" xfId="0" applyFill="1" applyBorder="1" applyAlignment="1" applyProtection="1">
      <alignment horizontal="center"/>
      <protection locked="0"/>
    </xf>
    <xf numFmtId="165" fontId="0" fillId="0" borderId="0" xfId="0" applyNumberFormat="1" applyFill="1" applyBorder="1" applyAlignment="1" applyProtection="1">
      <alignment horizontal="center"/>
    </xf>
    <xf numFmtId="14" fontId="4" fillId="0" borderId="0" xfId="0" applyNumberFormat="1" applyFont="1" applyFill="1"/>
    <xf numFmtId="0" fontId="4" fillId="0" borderId="4" xfId="0" applyFont="1" applyFill="1" applyBorder="1"/>
    <xf numFmtId="2" fontId="0" fillId="0" borderId="4" xfId="0" applyNumberFormat="1" applyFill="1" applyBorder="1"/>
    <xf numFmtId="1" fontId="0" fillId="2" borderId="4" xfId="0" applyNumberFormat="1" applyFill="1" applyBorder="1" applyAlignment="1" applyProtection="1">
      <alignment horizontal="center"/>
      <protection locked="0"/>
    </xf>
    <xf numFmtId="164" fontId="0" fillId="2" borderId="4" xfId="0" applyNumberFormat="1" applyFill="1" applyBorder="1" applyAlignment="1" applyProtection="1">
      <alignment horizontal="center"/>
      <protection locked="0"/>
    </xf>
    <xf numFmtId="0" fontId="4" fillId="0" borderId="5" xfId="0" applyFont="1" applyFill="1" applyBorder="1"/>
    <xf numFmtId="0" fontId="4" fillId="0" borderId="6" xfId="0" applyFont="1" applyFill="1" applyBorder="1"/>
    <xf numFmtId="0" fontId="4" fillId="0" borderId="7" xfId="0" applyFont="1" applyFill="1" applyBorder="1"/>
    <xf numFmtId="0" fontId="4" fillId="0" borderId="0" xfId="0" applyFont="1" applyFill="1" applyBorder="1"/>
    <xf numFmtId="2" fontId="0" fillId="2" borderId="4" xfId="0" applyNumberFormat="1" applyFill="1" applyBorder="1" applyAlignment="1" applyProtection="1">
      <alignment horizontal="center"/>
      <protection locked="0"/>
    </xf>
    <xf numFmtId="0" fontId="0" fillId="2" borderId="4" xfId="0" applyFill="1" applyBorder="1" applyAlignment="1" applyProtection="1">
      <alignment horizontal="center"/>
      <protection locked="0"/>
    </xf>
    <xf numFmtId="164" fontId="0" fillId="0" borderId="4" xfId="0" applyNumberFormat="1" applyFill="1" applyBorder="1"/>
    <xf numFmtId="0" fontId="0" fillId="0" borderId="0" xfId="0" applyFill="1" applyBorder="1"/>
    <xf numFmtId="0" fontId="0" fillId="0" borderId="3" xfId="0" applyFill="1" applyBorder="1"/>
    <xf numFmtId="0" fontId="8" fillId="0" borderId="0" xfId="0" applyFont="1" applyFill="1" applyBorder="1"/>
    <xf numFmtId="0" fontId="0" fillId="0" borderId="8" xfId="0" applyFill="1" applyBorder="1" applyProtection="1"/>
    <xf numFmtId="0" fontId="0" fillId="0" borderId="4" xfId="0" applyFill="1" applyBorder="1" applyProtection="1"/>
    <xf numFmtId="0" fontId="4" fillId="0" borderId="9" xfId="0" applyFont="1" applyFill="1" applyBorder="1" applyAlignment="1">
      <alignment horizontal="right"/>
    </xf>
    <xf numFmtId="0" fontId="4" fillId="0" borderId="4" xfId="0" applyFont="1" applyBorder="1"/>
    <xf numFmtId="0" fontId="4" fillId="0" borderId="0" xfId="0" applyFont="1"/>
    <xf numFmtId="0" fontId="8" fillId="3" borderId="10" xfId="0" applyFont="1" applyFill="1" applyBorder="1" applyAlignment="1">
      <alignment horizontal="center"/>
    </xf>
    <xf numFmtId="0" fontId="8" fillId="3" borderId="11" xfId="0" applyFont="1" applyFill="1" applyBorder="1"/>
    <xf numFmtId="0" fontId="6" fillId="0" borderId="12" xfId="0" applyFont="1" applyFill="1" applyBorder="1" applyAlignment="1">
      <alignment horizontal="right"/>
    </xf>
    <xf numFmtId="0" fontId="0" fillId="0" borderId="0" xfId="0" applyBorder="1"/>
    <xf numFmtId="0" fontId="6" fillId="3" borderId="8" xfId="0" applyFont="1" applyFill="1" applyBorder="1" applyAlignment="1">
      <alignment horizontal="center"/>
    </xf>
    <xf numFmtId="0" fontId="0" fillId="3" borderId="13" xfId="0" applyFill="1" applyBorder="1" applyAlignment="1">
      <alignment horizontal="center"/>
    </xf>
    <xf numFmtId="0" fontId="0" fillId="3" borderId="3" xfId="0" applyFill="1" applyBorder="1"/>
    <xf numFmtId="0" fontId="8" fillId="4" borderId="10" xfId="0" applyFont="1" applyFill="1" applyBorder="1" applyAlignment="1">
      <alignment horizontal="center"/>
    </xf>
    <xf numFmtId="0" fontId="8" fillId="4" borderId="11" xfId="0" applyFont="1" applyFill="1" applyBorder="1"/>
    <xf numFmtId="0" fontId="0" fillId="4" borderId="8" xfId="0" applyFill="1" applyBorder="1" applyAlignment="1">
      <alignment horizontal="center"/>
    </xf>
    <xf numFmtId="0" fontId="0" fillId="4" borderId="13" xfId="0" applyFill="1" applyBorder="1" applyAlignment="1">
      <alignment horizontal="center"/>
    </xf>
    <xf numFmtId="0" fontId="8" fillId="5" borderId="10" xfId="0" applyFont="1" applyFill="1" applyBorder="1" applyAlignment="1">
      <alignment horizontal="center"/>
    </xf>
    <xf numFmtId="0" fontId="8" fillId="5" borderId="11" xfId="0" applyFont="1" applyFill="1" applyBorder="1"/>
    <xf numFmtId="0" fontId="0" fillId="5" borderId="14" xfId="0" applyFill="1" applyBorder="1"/>
    <xf numFmtId="0" fontId="0" fillId="5" borderId="8" xfId="0" applyFill="1" applyBorder="1" applyAlignment="1">
      <alignment horizontal="center"/>
    </xf>
    <xf numFmtId="0" fontId="0" fillId="5" borderId="0" xfId="0" applyFill="1" applyBorder="1"/>
    <xf numFmtId="0" fontId="0" fillId="5" borderId="7" xfId="0" applyFill="1" applyBorder="1"/>
    <xf numFmtId="0" fontId="0" fillId="5" borderId="13" xfId="0" applyFill="1" applyBorder="1" applyAlignment="1">
      <alignment horizontal="center"/>
    </xf>
    <xf numFmtId="0" fontId="0" fillId="5" borderId="3" xfId="0" applyFill="1" applyBorder="1"/>
    <xf numFmtId="0" fontId="0" fillId="5" borderId="15" xfId="0" applyFill="1" applyBorder="1"/>
    <xf numFmtId="0" fontId="8" fillId="6" borderId="10" xfId="0" applyFont="1" applyFill="1" applyBorder="1" applyAlignment="1">
      <alignment horizontal="center"/>
    </xf>
    <xf numFmtId="0" fontId="8" fillId="6" borderId="11" xfId="0" applyFont="1" applyFill="1" applyBorder="1"/>
    <xf numFmtId="0" fontId="0" fillId="6" borderId="14" xfId="0" applyFill="1" applyBorder="1"/>
    <xf numFmtId="0" fontId="0" fillId="6" borderId="8" xfId="0" applyFill="1" applyBorder="1" applyAlignment="1">
      <alignment horizontal="center"/>
    </xf>
    <xf numFmtId="0" fontId="0" fillId="6" borderId="0" xfId="0" applyFill="1" applyBorder="1"/>
    <xf numFmtId="0" fontId="0" fillId="6" borderId="13" xfId="0" applyFill="1" applyBorder="1" applyAlignment="1">
      <alignment horizontal="center"/>
    </xf>
    <xf numFmtId="0" fontId="0" fillId="6" borderId="3" xfId="0" applyFill="1" applyBorder="1"/>
    <xf numFmtId="0" fontId="8" fillId="7" borderId="10" xfId="0" applyFont="1" applyFill="1" applyBorder="1" applyAlignment="1">
      <alignment horizontal="center"/>
    </xf>
    <xf numFmtId="0" fontId="8" fillId="7" borderId="11" xfId="0" applyFont="1" applyFill="1" applyBorder="1"/>
    <xf numFmtId="0" fontId="0" fillId="7" borderId="8" xfId="0" applyFill="1" applyBorder="1" applyAlignment="1">
      <alignment horizontal="center"/>
    </xf>
    <xf numFmtId="0" fontId="0" fillId="7" borderId="0" xfId="0" applyFill="1" applyBorder="1"/>
    <xf numFmtId="0" fontId="0" fillId="7" borderId="13" xfId="0" applyFill="1" applyBorder="1" applyAlignment="1">
      <alignment horizontal="center"/>
    </xf>
    <xf numFmtId="0" fontId="0" fillId="7" borderId="3" xfId="0" applyFill="1" applyBorder="1"/>
    <xf numFmtId="2" fontId="0" fillId="0" borderId="0" xfId="0" applyNumberFormat="1"/>
    <xf numFmtId="14" fontId="0" fillId="0" borderId="0" xfId="0" applyNumberFormat="1" applyFill="1" applyBorder="1" applyAlignment="1">
      <alignment horizontal="center"/>
    </xf>
    <xf numFmtId="0" fontId="4" fillId="0" borderId="0" xfId="0" applyFont="1" applyFill="1" applyAlignment="1"/>
    <xf numFmtId="0" fontId="4" fillId="0" borderId="0" xfId="0" applyFont="1" applyAlignment="1">
      <alignment horizontal="right"/>
    </xf>
    <xf numFmtId="0" fontId="0" fillId="0" borderId="3" xfId="0" applyBorder="1"/>
    <xf numFmtId="0" fontId="0" fillId="0" borderId="16" xfId="0" applyBorder="1"/>
    <xf numFmtId="0" fontId="4" fillId="0" borderId="0" xfId="0" applyFont="1" applyFill="1" applyBorder="1" applyAlignment="1">
      <alignment horizontal="right"/>
    </xf>
    <xf numFmtId="0" fontId="4" fillId="0" borderId="0" xfId="0" applyFont="1" applyFill="1" applyBorder="1" applyAlignment="1">
      <alignment horizontal="center"/>
    </xf>
    <xf numFmtId="0" fontId="4" fillId="0" borderId="0" xfId="0" applyFont="1" applyFill="1" applyBorder="1" applyAlignment="1">
      <alignment horizontal="left"/>
    </xf>
    <xf numFmtId="0" fontId="4" fillId="0" borderId="3" xfId="0" applyFont="1" applyFill="1" applyBorder="1"/>
    <xf numFmtId="3" fontId="0" fillId="0" borderId="4" xfId="0" applyNumberFormat="1" applyFill="1" applyBorder="1"/>
    <xf numFmtId="0" fontId="0" fillId="0" borderId="0" xfId="0" applyFill="1" applyBorder="1" applyAlignment="1">
      <alignment horizontal="center"/>
    </xf>
    <xf numFmtId="0" fontId="4" fillId="0" borderId="4" xfId="0" applyFont="1" applyFill="1" applyBorder="1" applyAlignment="1">
      <alignment horizontal="center"/>
    </xf>
    <xf numFmtId="0" fontId="7" fillId="0" borderId="3" xfId="0" applyFont="1" applyFill="1" applyBorder="1"/>
    <xf numFmtId="0" fontId="7" fillId="0" borderId="0" xfId="0" applyFont="1" applyFill="1" applyBorder="1"/>
    <xf numFmtId="3" fontId="6" fillId="0" borderId="4" xfId="0" applyNumberFormat="1" applyFont="1" applyFill="1" applyBorder="1"/>
    <xf numFmtId="0" fontId="7" fillId="0" borderId="4" xfId="0" applyFont="1" applyFill="1" applyBorder="1"/>
    <xf numFmtId="0" fontId="0" fillId="0" borderId="4" xfId="0" applyBorder="1"/>
    <xf numFmtId="2" fontId="0" fillId="0" borderId="4" xfId="0" applyNumberFormat="1" applyBorder="1"/>
    <xf numFmtId="0" fontId="4" fillId="0" borderId="4" xfId="0" applyFont="1" applyFill="1" applyBorder="1" applyAlignment="1"/>
    <xf numFmtId="0" fontId="0" fillId="0" borderId="4" xfId="0" applyFill="1" applyBorder="1"/>
    <xf numFmtId="164" fontId="6" fillId="0" borderId="4" xfId="0" applyNumberFormat="1" applyFont="1" applyFill="1" applyBorder="1"/>
    <xf numFmtId="166" fontId="0" fillId="0" borderId="4" xfId="0" applyNumberFormat="1" applyFill="1" applyBorder="1"/>
    <xf numFmtId="166" fontId="6" fillId="0" borderId="4" xfId="0" applyNumberFormat="1" applyFont="1" applyFill="1" applyBorder="1"/>
    <xf numFmtId="0" fontId="0" fillId="0" borderId="4" xfId="0" applyFill="1" applyBorder="1" applyAlignment="1" applyProtection="1">
      <alignment horizontal="right"/>
    </xf>
    <xf numFmtId="167" fontId="0" fillId="2" borderId="4" xfId="0" applyNumberFormat="1" applyFill="1" applyBorder="1" applyAlignment="1" applyProtection="1">
      <alignment horizontal="center"/>
      <protection locked="0"/>
    </xf>
    <xf numFmtId="0" fontId="0" fillId="3" borderId="8" xfId="0" applyFill="1" applyBorder="1" applyAlignment="1">
      <alignment horizontal="center"/>
    </xf>
    <xf numFmtId="0" fontId="0" fillId="0" borderId="0" xfId="0" applyFont="1" applyFill="1" applyBorder="1" applyProtection="1"/>
    <xf numFmtId="0" fontId="0" fillId="0" borderId="0" xfId="0" applyAlignment="1">
      <alignment horizontal="center" vertical="center"/>
    </xf>
    <xf numFmtId="0" fontId="6" fillId="0" borderId="0" xfId="0" applyFont="1" applyAlignment="1"/>
    <xf numFmtId="0" fontId="4" fillId="0" borderId="4" xfId="0" applyFont="1" applyBorder="1" applyAlignment="1">
      <alignment horizontal="center" vertical="center"/>
    </xf>
    <xf numFmtId="0" fontId="4" fillId="0" borderId="4" xfId="0" applyFont="1" applyBorder="1" applyAlignment="1">
      <alignment horizontal="center" vertical="center" wrapText="1"/>
    </xf>
    <xf numFmtId="166" fontId="6" fillId="0" borderId="4" xfId="0" applyNumberFormat="1" applyFont="1" applyBorder="1" applyAlignment="1">
      <alignment horizontal="center"/>
    </xf>
    <xf numFmtId="0" fontId="0" fillId="0" borderId="5" xfId="0" applyBorder="1" applyAlignment="1">
      <alignment horizontal="center"/>
    </xf>
    <xf numFmtId="167" fontId="0" fillId="0" borderId="6" xfId="0" applyNumberFormat="1" applyBorder="1" applyAlignment="1">
      <alignment horizontal="center"/>
    </xf>
    <xf numFmtId="166" fontId="0" fillId="0" borderId="0" xfId="0" applyNumberFormat="1" applyFill="1" applyBorder="1" applyAlignment="1" applyProtection="1">
      <alignment horizontal="center"/>
    </xf>
    <xf numFmtId="166" fontId="6" fillId="0" borderId="0" xfId="0" applyNumberFormat="1" applyFont="1" applyBorder="1" applyAlignment="1">
      <alignment horizontal="center"/>
    </xf>
    <xf numFmtId="0" fontId="0" fillId="0" borderId="15" xfId="0" applyFill="1" applyBorder="1" applyProtection="1"/>
    <xf numFmtId="0" fontId="6" fillId="0" borderId="0" xfId="0" applyFont="1" applyBorder="1" applyAlignment="1"/>
    <xf numFmtId="0" fontId="0" fillId="0" borderId="7" xfId="0" applyFill="1" applyBorder="1" applyProtection="1"/>
    <xf numFmtId="0" fontId="0" fillId="0" borderId="5" xfId="0" applyFill="1" applyBorder="1" applyAlignment="1">
      <alignment horizontal="center"/>
    </xf>
    <xf numFmtId="0" fontId="0" fillId="0" borderId="9" xfId="0" applyBorder="1"/>
    <xf numFmtId="0" fontId="0" fillId="0" borderId="12" xfId="0" applyBorder="1"/>
    <xf numFmtId="0" fontId="18" fillId="0" borderId="12" xfId="0" applyFont="1" applyFill="1" applyBorder="1" applyAlignment="1">
      <alignment horizontal="right"/>
    </xf>
    <xf numFmtId="0" fontId="0" fillId="0" borderId="18" xfId="0" applyBorder="1"/>
    <xf numFmtId="0" fontId="19" fillId="0" borderId="13" xfId="0" applyFont="1" applyFill="1" applyBorder="1" applyProtection="1"/>
    <xf numFmtId="2" fontId="0" fillId="0" borderId="0" xfId="0" applyNumberFormat="1" applyFill="1" applyBorder="1" applyAlignment="1" applyProtection="1">
      <alignment horizontal="center"/>
    </xf>
    <xf numFmtId="0" fontId="4" fillId="0" borderId="0" xfId="0" applyFont="1" applyFill="1" applyBorder="1" applyAlignment="1" applyProtection="1">
      <alignment horizontal="left"/>
    </xf>
    <xf numFmtId="0" fontId="4" fillId="0" borderId="0" xfId="0" applyFont="1" applyFill="1" applyBorder="1" applyProtection="1"/>
    <xf numFmtId="0" fontId="0" fillId="0" borderId="0" xfId="0" applyFill="1" applyBorder="1" applyAlignment="1" applyProtection="1">
      <alignment horizontal="right"/>
    </xf>
    <xf numFmtId="0" fontId="4" fillId="0" borderId="0" xfId="0" quotePrefix="1" applyFont="1" applyFill="1" applyBorder="1" applyProtection="1"/>
    <xf numFmtId="166" fontId="6" fillId="0" borderId="0" xfId="0" applyNumberFormat="1" applyFont="1" applyFill="1" applyBorder="1" applyAlignment="1" applyProtection="1">
      <alignment horizontal="center"/>
    </xf>
    <xf numFmtId="1" fontId="0" fillId="0" borderId="0" xfId="0" applyNumberFormat="1" applyFill="1" applyBorder="1" applyAlignment="1" applyProtection="1">
      <alignment horizontal="center"/>
    </xf>
    <xf numFmtId="0" fontId="7" fillId="0" borderId="0" xfId="0" applyFont="1" applyFill="1" applyBorder="1" applyProtection="1"/>
    <xf numFmtId="164" fontId="0" fillId="0" borderId="0" xfId="0" applyNumberFormat="1" applyFill="1" applyBorder="1" applyAlignment="1" applyProtection="1">
      <alignment horizontal="center"/>
    </xf>
    <xf numFmtId="164" fontId="0" fillId="0" borderId="3" xfId="0" applyNumberFormat="1" applyFill="1" applyBorder="1" applyAlignment="1" applyProtection="1">
      <alignment horizontal="center"/>
    </xf>
    <xf numFmtId="2" fontId="0" fillId="0" borderId="3" xfId="0" applyNumberFormat="1" applyFill="1" applyBorder="1" applyAlignment="1" applyProtection="1">
      <alignment horizontal="center"/>
    </xf>
    <xf numFmtId="0" fontId="4" fillId="0" borderId="0" xfId="0" applyFont="1" applyFill="1" applyAlignment="1" applyProtection="1">
      <alignment horizontal="left"/>
    </xf>
    <xf numFmtId="0" fontId="0" fillId="0" borderId="0" xfId="0" applyProtection="1"/>
    <xf numFmtId="3" fontId="0" fillId="0" borderId="0" xfId="0" applyNumberFormat="1" applyFill="1" applyBorder="1" applyProtection="1"/>
    <xf numFmtId="1" fontId="0" fillId="0" borderId="0" xfId="0" applyNumberFormat="1" applyProtection="1"/>
    <xf numFmtId="0" fontId="0" fillId="0" borderId="0" xfId="0" applyBorder="1" applyProtection="1"/>
    <xf numFmtId="9" fontId="9" fillId="0" borderId="0" xfId="0" applyNumberFormat="1" applyFont="1" applyFill="1" applyBorder="1" applyAlignment="1" applyProtection="1">
      <alignment horizontal="center"/>
    </xf>
    <xf numFmtId="0" fontId="8" fillId="0" borderId="0" xfId="0" applyFont="1" applyFill="1" applyBorder="1" applyProtection="1"/>
    <xf numFmtId="0" fontId="1" fillId="0" borderId="0" xfId="0" applyFont="1" applyFill="1" applyBorder="1" applyProtection="1"/>
    <xf numFmtId="0" fontId="0" fillId="0" borderId="0" xfId="0" applyFill="1" applyBorder="1" applyAlignment="1" applyProtection="1">
      <alignment horizontal="center"/>
    </xf>
    <xf numFmtId="0" fontId="4" fillId="0" borderId="0" xfId="0" applyFont="1" applyFill="1" applyAlignment="1" applyProtection="1">
      <alignment horizontal="right"/>
    </xf>
    <xf numFmtId="0" fontId="16" fillId="0" borderId="0" xfId="0" applyFont="1" applyAlignment="1" applyProtection="1">
      <alignment horizontal="center"/>
      <protection locked="0"/>
    </xf>
    <xf numFmtId="49" fontId="12" fillId="0" borderId="0" xfId="0" applyNumberFormat="1" applyFont="1" applyFill="1" applyAlignment="1" applyProtection="1">
      <alignment horizontal="right"/>
      <protection locked="0"/>
    </xf>
    <xf numFmtId="0" fontId="0" fillId="0" borderId="13" xfId="0" applyBorder="1" applyAlignment="1">
      <alignment horizontal="center"/>
    </xf>
    <xf numFmtId="0" fontId="6" fillId="3" borderId="7" xfId="0" applyFont="1" applyFill="1" applyBorder="1" applyAlignment="1">
      <alignment horizontal="right"/>
    </xf>
    <xf numFmtId="0" fontId="8" fillId="3" borderId="14" xfId="0" applyFont="1" applyFill="1" applyBorder="1" applyAlignment="1">
      <alignment horizontal="right"/>
    </xf>
    <xf numFmtId="0" fontId="8" fillId="4" borderId="14" xfId="0" applyFont="1" applyFill="1" applyBorder="1" applyAlignment="1">
      <alignment horizontal="right"/>
    </xf>
    <xf numFmtId="0" fontId="8" fillId="7" borderId="14" xfId="0" applyFont="1" applyFill="1" applyBorder="1" applyAlignment="1">
      <alignment horizontal="right"/>
    </xf>
    <xf numFmtId="0" fontId="0" fillId="3" borderId="0" xfId="0" applyFill="1" applyBorder="1" applyAlignment="1">
      <alignment horizontal="left"/>
    </xf>
    <xf numFmtId="0" fontId="0" fillId="3" borderId="3" xfId="0" applyFill="1" applyBorder="1" applyAlignment="1">
      <alignment horizontal="left"/>
    </xf>
    <xf numFmtId="0" fontId="0" fillId="0" borderId="0" xfId="0" applyAlignment="1">
      <alignment horizontal="center"/>
    </xf>
    <xf numFmtId="166" fontId="0" fillId="0" borderId="0" xfId="0" applyNumberFormat="1"/>
    <xf numFmtId="0" fontId="0" fillId="0" borderId="4" xfId="0" applyFill="1" applyBorder="1" applyAlignment="1">
      <alignment horizontal="center"/>
    </xf>
    <xf numFmtId="166" fontId="0" fillId="0" borderId="4" xfId="0" applyNumberFormat="1" applyFill="1" applyBorder="1" applyAlignment="1">
      <alignment horizontal="center"/>
    </xf>
    <xf numFmtId="3" fontId="0" fillId="0" borderId="4" xfId="0" applyNumberFormat="1" applyBorder="1" applyAlignment="1">
      <alignment horizontal="center"/>
    </xf>
    <xf numFmtId="0" fontId="0" fillId="0" borderId="4" xfId="0" applyBorder="1" applyAlignment="1">
      <alignment horizontal="center"/>
    </xf>
    <xf numFmtId="2" fontId="0" fillId="0" borderId="0" xfId="0" applyNumberFormat="1" applyProtection="1">
      <protection locked="0"/>
    </xf>
    <xf numFmtId="2" fontId="0" fillId="0" borderId="0" xfId="0" applyNumberFormat="1" applyBorder="1" applyProtection="1">
      <protection locked="0"/>
    </xf>
    <xf numFmtId="0" fontId="0" fillId="4" borderId="7" xfId="0" applyFill="1" applyBorder="1" applyAlignment="1" applyProtection="1">
      <alignment horizontal="right"/>
      <protection locked="0"/>
    </xf>
    <xf numFmtId="164" fontId="0" fillId="4" borderId="15" xfId="0" applyNumberFormat="1" applyFill="1" applyBorder="1" applyAlignment="1" applyProtection="1">
      <alignment horizontal="right"/>
      <protection locked="0"/>
    </xf>
    <xf numFmtId="166" fontId="0" fillId="3" borderId="7" xfId="0" applyNumberFormat="1" applyFill="1" applyBorder="1" applyAlignment="1" applyProtection="1">
      <alignment horizontal="right"/>
      <protection locked="0"/>
    </xf>
    <xf numFmtId="166" fontId="0" fillId="3" borderId="7" xfId="0" applyNumberFormat="1" applyFill="1" applyBorder="1" applyProtection="1">
      <protection locked="0"/>
    </xf>
    <xf numFmtId="166" fontId="0" fillId="3" borderId="15" xfId="0" applyNumberFormat="1" applyFill="1" applyBorder="1" applyProtection="1">
      <protection locked="0"/>
    </xf>
    <xf numFmtId="166" fontId="6" fillId="3" borderId="7" xfId="0" applyNumberFormat="1" applyFont="1" applyFill="1" applyBorder="1" applyAlignment="1" applyProtection="1">
      <alignment horizontal="right"/>
      <protection locked="0"/>
    </xf>
    <xf numFmtId="166" fontId="20" fillId="0" borderId="0" xfId="0" applyNumberFormat="1" applyFont="1" applyAlignment="1">
      <alignment horizontal="center"/>
    </xf>
    <xf numFmtId="166" fontId="0" fillId="0" borderId="4" xfId="0" applyNumberFormat="1" applyFill="1" applyBorder="1" applyAlignment="1" applyProtection="1">
      <alignment horizontal="center"/>
    </xf>
    <xf numFmtId="2" fontId="0" fillId="0" borderId="4" xfId="0" applyNumberFormat="1" applyBorder="1" applyAlignment="1">
      <alignment horizontal="center"/>
    </xf>
    <xf numFmtId="2" fontId="20" fillId="0" borderId="0" xfId="0" applyNumberFormat="1" applyFont="1" applyAlignment="1">
      <alignment horizontal="center"/>
    </xf>
    <xf numFmtId="167" fontId="0" fillId="2" borderId="6" xfId="0" applyNumberFormat="1" applyFill="1" applyBorder="1" applyAlignment="1" applyProtection="1">
      <alignment horizontal="center"/>
      <protection locked="0"/>
    </xf>
    <xf numFmtId="167" fontId="6" fillId="2" borderId="4" xfId="0" applyNumberFormat="1" applyFont="1" applyFill="1" applyBorder="1" applyAlignment="1" applyProtection="1">
      <alignment horizontal="center"/>
      <protection locked="0"/>
    </xf>
    <xf numFmtId="168" fontId="0" fillId="2" borderId="5" xfId="0" applyNumberFormat="1" applyFill="1" applyBorder="1" applyAlignment="1" applyProtection="1">
      <alignment horizontal="center"/>
      <protection locked="0"/>
    </xf>
    <xf numFmtId="168" fontId="6" fillId="2" borderId="5" xfId="0" applyNumberFormat="1" applyFont="1" applyFill="1" applyBorder="1" applyAlignment="1" applyProtection="1">
      <alignment horizontal="center"/>
      <protection locked="0"/>
    </xf>
    <xf numFmtId="167" fontId="0" fillId="0" borderId="0" xfId="0" applyNumberFormat="1" applyFill="1" applyBorder="1" applyAlignment="1" applyProtection="1">
      <alignment horizontal="center"/>
      <protection locked="0"/>
    </xf>
    <xf numFmtId="0" fontId="0" fillId="6" borderId="7" xfId="0" applyFill="1" applyBorder="1" applyProtection="1">
      <protection locked="0"/>
    </xf>
    <xf numFmtId="0" fontId="0" fillId="6" borderId="15" xfId="0" applyFill="1" applyBorder="1" applyProtection="1">
      <protection locked="0"/>
    </xf>
    <xf numFmtId="164" fontId="0" fillId="7" borderId="7" xfId="0" applyNumberFormat="1" applyFill="1" applyBorder="1" applyAlignment="1" applyProtection="1">
      <alignment horizontal="right"/>
    </xf>
    <xf numFmtId="164" fontId="0" fillId="7" borderId="15" xfId="0" applyNumberFormat="1" applyFill="1" applyBorder="1" applyAlignment="1" applyProtection="1">
      <alignment horizontal="right"/>
    </xf>
    <xf numFmtId="0" fontId="0" fillId="0" borderId="0" xfId="0" applyProtection="1">
      <protection locked="0"/>
    </xf>
    <xf numFmtId="0" fontId="6" fillId="0" borderId="0" xfId="0" applyFont="1" applyAlignment="1" applyProtection="1">
      <protection locked="0"/>
    </xf>
    <xf numFmtId="164" fontId="0" fillId="2" borderId="4" xfId="0" applyNumberFormat="1" applyFill="1" applyBorder="1" applyProtection="1">
      <protection locked="0"/>
    </xf>
    <xf numFmtId="164" fontId="0" fillId="0" borderId="0" xfId="0" applyNumberFormat="1" applyFill="1" applyBorder="1" applyAlignment="1" applyProtection="1">
      <alignment horizontal="right"/>
    </xf>
    <xf numFmtId="0" fontId="1" fillId="4" borderId="0" xfId="0" applyFont="1" applyFill="1" applyBorder="1" applyAlignment="1" applyProtection="1">
      <alignment horizontal="left"/>
      <protection locked="0"/>
    </xf>
    <xf numFmtId="0" fontId="1" fillId="4" borderId="3" xfId="0" applyFont="1" applyFill="1" applyBorder="1" applyAlignment="1" applyProtection="1">
      <alignment horizontal="left"/>
      <protection locked="0"/>
    </xf>
    <xf numFmtId="164" fontId="0" fillId="4" borderId="7" xfId="0" applyNumberFormat="1" applyFill="1" applyBorder="1" applyAlignment="1" applyProtection="1">
      <alignment horizontal="right"/>
      <protection locked="0"/>
    </xf>
    <xf numFmtId="2" fontId="4" fillId="2" borderId="4" xfId="0" applyNumberFormat="1" applyFont="1" applyFill="1" applyBorder="1" applyProtection="1">
      <protection locked="0"/>
    </xf>
    <xf numFmtId="166" fontId="0" fillId="0" borderId="4" xfId="0" applyNumberFormat="1" applyBorder="1" applyAlignment="1">
      <alignment horizontal="right"/>
    </xf>
    <xf numFmtId="2" fontId="4" fillId="2" borderId="4" xfId="0" applyNumberFormat="1" applyFont="1" applyFill="1" applyBorder="1" applyAlignment="1" applyProtection="1">
      <alignment horizontal="right"/>
      <protection locked="0"/>
    </xf>
    <xf numFmtId="2" fontId="6" fillId="2" borderId="4" xfId="0" applyNumberFormat="1" applyFont="1" applyFill="1" applyBorder="1" applyAlignment="1" applyProtection="1">
      <alignment horizontal="center"/>
      <protection locked="0"/>
    </xf>
    <xf numFmtId="0" fontId="6" fillId="3" borderId="0" xfId="0" applyFont="1" applyFill="1" applyBorder="1" applyProtection="1">
      <protection locked="0"/>
    </xf>
    <xf numFmtId="0" fontId="0" fillId="3" borderId="0" xfId="0" applyFill="1" applyBorder="1" applyProtection="1">
      <protection locked="0"/>
    </xf>
    <xf numFmtId="166" fontId="0" fillId="3" borderId="15" xfId="0" applyNumberFormat="1" applyFill="1" applyBorder="1" applyAlignment="1" applyProtection="1">
      <alignment horizontal="right"/>
      <protection locked="0"/>
    </xf>
    <xf numFmtId="0" fontId="0" fillId="0" borderId="14" xfId="0" applyBorder="1"/>
    <xf numFmtId="0" fontId="0" fillId="0" borderId="7" xfId="0" applyBorder="1"/>
    <xf numFmtId="0" fontId="18" fillId="0" borderId="7" xfId="0" applyFont="1" applyFill="1" applyBorder="1" applyAlignment="1">
      <alignment horizontal="right"/>
    </xf>
    <xf numFmtId="0" fontId="0" fillId="0" borderId="15" xfId="0" applyBorder="1"/>
    <xf numFmtId="0" fontId="4" fillId="0" borderId="9" xfId="0" applyFont="1" applyBorder="1" applyAlignment="1">
      <alignment horizontal="center" vertical="center" wrapText="1"/>
    </xf>
    <xf numFmtId="0" fontId="4" fillId="0" borderId="18" xfId="0" applyFont="1" applyBorder="1" applyAlignment="1">
      <alignment horizontal="center" vertical="center" wrapText="1"/>
    </xf>
    <xf numFmtId="166" fontId="4" fillId="0" borderId="9" xfId="0" applyNumberFormat="1" applyFont="1" applyBorder="1" applyAlignment="1">
      <alignment horizontal="center" vertical="center" wrapText="1"/>
    </xf>
    <xf numFmtId="166" fontId="4" fillId="0" borderId="18" xfId="0" applyNumberFormat="1" applyFont="1" applyBorder="1" applyAlignment="1">
      <alignment horizontal="center" vertical="center" wrapText="1"/>
    </xf>
    <xf numFmtId="0" fontId="4" fillId="0" borderId="9" xfId="0" applyFont="1" applyFill="1" applyBorder="1" applyAlignment="1" applyProtection="1">
      <alignment horizontal="center" vertical="center" wrapText="1"/>
    </xf>
    <xf numFmtId="0" fontId="4" fillId="0" borderId="18" xfId="0" applyFont="1" applyFill="1" applyBorder="1" applyAlignment="1" applyProtection="1">
      <alignment horizontal="center" vertical="center" wrapText="1"/>
    </xf>
    <xf numFmtId="0" fontId="6" fillId="0" borderId="0" xfId="0" applyFont="1" applyFill="1" applyBorder="1" applyAlignment="1" applyProtection="1">
      <alignment horizontal="center"/>
      <protection locked="0"/>
    </xf>
    <xf numFmtId="0" fontId="14" fillId="0" borderId="0" xfId="0" applyFont="1" applyFill="1" applyBorder="1" applyAlignment="1" applyProtection="1"/>
    <xf numFmtId="0" fontId="0" fillId="0" borderId="12" xfId="0" applyFill="1" applyBorder="1" applyProtection="1"/>
    <xf numFmtId="0" fontId="0" fillId="0" borderId="18" xfId="0" applyFill="1" applyBorder="1" applyProtection="1"/>
    <xf numFmtId="166" fontId="0" fillId="0" borderId="4" xfId="0" applyNumberFormat="1" applyBorder="1" applyAlignment="1">
      <alignment horizontal="center"/>
    </xf>
    <xf numFmtId="167" fontId="0" fillId="0" borderId="0" xfId="0" applyNumberFormat="1" applyFill="1" applyBorder="1" applyAlignment="1">
      <alignment horizontal="center"/>
    </xf>
    <xf numFmtId="0" fontId="18" fillId="0" borderId="0" xfId="0" applyFont="1" applyFill="1" applyBorder="1" applyAlignment="1">
      <alignment horizontal="right"/>
    </xf>
    <xf numFmtId="0" fontId="19" fillId="0" borderId="0" xfId="0" applyFont="1" applyFill="1" applyBorder="1" applyProtection="1"/>
    <xf numFmtId="0" fontId="4" fillId="0" borderId="4" xfId="0" applyFont="1" applyBorder="1" applyAlignment="1">
      <alignment horizontal="center"/>
    </xf>
    <xf numFmtId="0" fontId="0" fillId="0" borderId="11" xfId="0" applyFill="1" applyBorder="1" applyAlignment="1"/>
    <xf numFmtId="0" fontId="2" fillId="0" borderId="0" xfId="0" applyFont="1" applyFill="1" applyBorder="1" applyAlignment="1"/>
    <xf numFmtId="166" fontId="0" fillId="2" borderId="5" xfId="0" applyNumberFormat="1" applyFill="1" applyBorder="1" applyAlignment="1" applyProtection="1">
      <alignment horizontal="center"/>
      <protection locked="0"/>
    </xf>
    <xf numFmtId="166" fontId="0" fillId="2" borderId="4" xfId="0" applyNumberFormat="1" applyFill="1" applyBorder="1" applyAlignment="1" applyProtection="1">
      <alignment horizontal="center"/>
      <protection locked="0"/>
    </xf>
    <xf numFmtId="164" fontId="6" fillId="2" borderId="4" xfId="0" applyNumberFormat="1" applyFont="1" applyFill="1" applyBorder="1" applyAlignment="1" applyProtection="1">
      <alignment horizontal="center"/>
      <protection locked="0"/>
    </xf>
    <xf numFmtId="167" fontId="0" fillId="0" borderId="0" xfId="0" applyNumberFormat="1" applyFill="1" applyBorder="1" applyAlignment="1" applyProtection="1">
      <alignment horizontal="center"/>
    </xf>
    <xf numFmtId="168" fontId="0" fillId="0" borderId="0" xfId="0" applyNumberFormat="1" applyFill="1" applyBorder="1" applyAlignment="1" applyProtection="1">
      <alignment horizontal="center"/>
    </xf>
    <xf numFmtId="167" fontId="6" fillId="0" borderId="0" xfId="0" applyNumberFormat="1" applyFont="1" applyFill="1" applyBorder="1" applyAlignment="1" applyProtection="1">
      <alignment horizontal="center"/>
    </xf>
    <xf numFmtId="2" fontId="6" fillId="0" borderId="0" xfId="0" applyNumberFormat="1" applyFont="1" applyFill="1" applyBorder="1" applyAlignment="1" applyProtection="1">
      <alignment horizontal="center"/>
    </xf>
    <xf numFmtId="168" fontId="6" fillId="0" borderId="0" xfId="0" applyNumberFormat="1" applyFont="1" applyFill="1" applyBorder="1" applyAlignment="1" applyProtection="1">
      <alignment horizontal="center"/>
    </xf>
    <xf numFmtId="0" fontId="0" fillId="0" borderId="9" xfId="0" applyBorder="1" applyProtection="1">
      <protection locked="0"/>
    </xf>
    <xf numFmtId="0" fontId="0" fillId="0" borderId="12" xfId="0" applyBorder="1" applyProtection="1">
      <protection locked="0"/>
    </xf>
    <xf numFmtId="0" fontId="0" fillId="0" borderId="18" xfId="0" applyBorder="1" applyProtection="1">
      <protection locked="0"/>
    </xf>
    <xf numFmtId="0" fontId="0" fillId="0" borderId="0" xfId="0" applyAlignment="1"/>
    <xf numFmtId="0" fontId="4" fillId="0" borderId="0" xfId="0" applyFont="1" applyAlignment="1"/>
    <xf numFmtId="1" fontId="0" fillId="0" borderId="4" xfId="0" applyNumberFormat="1" applyFill="1" applyBorder="1" applyAlignment="1" applyProtection="1">
      <alignment horizontal="center"/>
    </xf>
    <xf numFmtId="0" fontId="12" fillId="0" borderId="0" xfId="0" applyFont="1" applyAlignment="1" applyProtection="1">
      <alignment horizontal="center"/>
      <protection locked="0"/>
    </xf>
    <xf numFmtId="0" fontId="1" fillId="6" borderId="0" xfId="0" applyFont="1" applyFill="1" applyBorder="1"/>
    <xf numFmtId="0" fontId="1" fillId="6" borderId="3" xfId="0" applyFont="1" applyFill="1" applyBorder="1"/>
    <xf numFmtId="1" fontId="0" fillId="0" borderId="0" xfId="0" applyNumberFormat="1"/>
    <xf numFmtId="169" fontId="0" fillId="0" borderId="0" xfId="0" applyNumberFormat="1"/>
    <xf numFmtId="14" fontId="4" fillId="0" borderId="0" xfId="0" applyNumberFormat="1" applyFont="1" applyFill="1" applyBorder="1" applyAlignment="1">
      <alignment vertical="center"/>
    </xf>
    <xf numFmtId="2" fontId="0" fillId="0" borderId="4" xfId="0" applyNumberFormat="1" applyFill="1" applyBorder="1" applyAlignment="1" applyProtection="1">
      <alignment horizontal="center"/>
    </xf>
    <xf numFmtId="3" fontId="0" fillId="0" borderId="5" xfId="0" applyNumberFormat="1" applyFill="1" applyBorder="1" applyAlignment="1" applyProtection="1">
      <alignment horizontal="center"/>
    </xf>
    <xf numFmtId="3" fontId="0" fillId="0" borderId="6" xfId="0" applyNumberFormat="1" applyFill="1" applyBorder="1" applyAlignment="1" applyProtection="1"/>
    <xf numFmtId="0" fontId="4" fillId="0" borderId="0" xfId="0" applyFont="1" applyBorder="1"/>
    <xf numFmtId="0" fontId="6" fillId="9" borderId="3" xfId="0" applyFont="1" applyFill="1" applyBorder="1" applyAlignment="1" applyProtection="1">
      <alignment horizontal="center"/>
      <protection locked="0"/>
    </xf>
    <xf numFmtId="0" fontId="0" fillId="9" borderId="3" xfId="0" applyFill="1" applyBorder="1" applyAlignment="1" applyProtection="1">
      <alignment horizontal="center"/>
      <protection locked="0"/>
    </xf>
    <xf numFmtId="0" fontId="0" fillId="10" borderId="21" xfId="0" applyFill="1" applyBorder="1"/>
    <xf numFmtId="0" fontId="2" fillId="10" borderId="21" xfId="0" applyFont="1" applyFill="1" applyBorder="1"/>
    <xf numFmtId="0" fontId="5" fillId="10" borderId="22" xfId="0" applyFont="1" applyFill="1" applyBorder="1" applyAlignment="1"/>
    <xf numFmtId="0" fontId="0" fillId="10" borderId="1" xfId="0" applyFill="1" applyBorder="1"/>
    <xf numFmtId="0" fontId="3" fillId="10" borderId="17" xfId="0" applyFont="1" applyFill="1" applyBorder="1" applyAlignment="1"/>
    <xf numFmtId="0" fontId="3" fillId="10" borderId="1" xfId="0" applyFont="1" applyFill="1" applyBorder="1" applyAlignment="1"/>
    <xf numFmtId="0" fontId="5" fillId="10" borderId="1" xfId="0" applyFont="1" applyFill="1" applyBorder="1" applyAlignment="1">
      <alignment horizontal="left"/>
    </xf>
    <xf numFmtId="0" fontId="4" fillId="0" borderId="0" xfId="0" applyFont="1" applyAlignment="1">
      <alignment horizontal="left"/>
    </xf>
    <xf numFmtId="0" fontId="2" fillId="0" borderId="0" xfId="0" applyFont="1" applyAlignment="1">
      <alignment horizontal="left"/>
    </xf>
    <xf numFmtId="0" fontId="1" fillId="0" borderId="0" xfId="0" applyFont="1"/>
    <xf numFmtId="0" fontId="4" fillId="0" borderId="18" xfId="0" applyFont="1" applyBorder="1" applyAlignment="1">
      <alignment horizontal="center" vertical="center"/>
    </xf>
    <xf numFmtId="0" fontId="4" fillId="0" borderId="13" xfId="0" applyFont="1" applyBorder="1" applyAlignment="1">
      <alignment horizontal="center" vertical="center"/>
    </xf>
    <xf numFmtId="0" fontId="4" fillId="0" borderId="15" xfId="0" applyFont="1" applyBorder="1" applyAlignment="1">
      <alignment horizontal="center" vertical="center"/>
    </xf>
    <xf numFmtId="0" fontId="0" fillId="0" borderId="0" xfId="0" applyAlignment="1">
      <alignment vertical="top"/>
    </xf>
    <xf numFmtId="0" fontId="3" fillId="10" borderId="5" xfId="0" applyFont="1" applyFill="1" applyBorder="1" applyAlignment="1"/>
    <xf numFmtId="0" fontId="3" fillId="10" borderId="16" xfId="0" applyFont="1" applyFill="1" applyBorder="1" applyAlignment="1"/>
    <xf numFmtId="0" fontId="2" fillId="10" borderId="16" xfId="0" applyFont="1" applyFill="1" applyBorder="1"/>
    <xf numFmtId="0" fontId="0" fillId="10" borderId="16" xfId="0" applyFill="1" applyBorder="1"/>
    <xf numFmtId="0" fontId="0" fillId="10" borderId="6" xfId="0" applyFill="1" applyBorder="1"/>
    <xf numFmtId="0" fontId="22" fillId="0" borderId="0" xfId="0" applyFont="1"/>
    <xf numFmtId="1" fontId="0" fillId="0" borderId="0" xfId="0" applyNumberFormat="1" applyAlignment="1">
      <alignment horizontal="center"/>
    </xf>
    <xf numFmtId="169" fontId="0" fillId="0" borderId="0" xfId="0" applyNumberFormat="1" applyAlignment="1">
      <alignment horizontal="center"/>
    </xf>
    <xf numFmtId="164" fontId="4" fillId="0" borderId="13" xfId="0" applyNumberFormat="1" applyFont="1" applyBorder="1" applyAlignment="1">
      <alignment horizontal="center" vertical="center"/>
    </xf>
    <xf numFmtId="164" fontId="0" fillId="0" borderId="0" xfId="0" applyNumberFormat="1" applyAlignment="1">
      <alignment horizontal="center"/>
    </xf>
    <xf numFmtId="164" fontId="1" fillId="0" borderId="0" xfId="0" applyNumberFormat="1" applyFont="1" applyAlignment="1">
      <alignment horizontal="center"/>
    </xf>
    <xf numFmtId="0" fontId="4" fillId="0" borderId="18" xfId="0" applyFont="1" applyBorder="1" applyAlignment="1">
      <alignment horizontal="center"/>
    </xf>
    <xf numFmtId="0" fontId="4" fillId="0" borderId="13" xfId="0" applyFont="1" applyBorder="1" applyAlignment="1">
      <alignment horizontal="center"/>
    </xf>
    <xf numFmtId="0" fontId="1" fillId="0" borderId="0" xfId="0" applyFont="1" applyAlignment="1">
      <alignment horizontal="center"/>
    </xf>
    <xf numFmtId="0" fontId="0" fillId="0" borderId="8" xfId="0" applyBorder="1"/>
    <xf numFmtId="0" fontId="0" fillId="0" borderId="11" xfId="0" applyBorder="1"/>
    <xf numFmtId="0" fontId="23" fillId="0" borderId="0" xfId="0" applyFont="1"/>
    <xf numFmtId="0" fontId="23" fillId="8" borderId="4" xfId="0" applyFont="1" applyFill="1" applyBorder="1" applyAlignment="1">
      <alignment horizontal="left" vertical="center"/>
    </xf>
    <xf numFmtId="0" fontId="23" fillId="0" borderId="0" xfId="0" applyFont="1" applyFill="1" applyBorder="1" applyAlignment="1">
      <alignment horizontal="left" vertical="center"/>
    </xf>
    <xf numFmtId="0" fontId="4" fillId="0" borderId="10" xfId="0" applyFont="1" applyBorder="1" applyAlignment="1">
      <alignment horizontal="left"/>
    </xf>
    <xf numFmtId="0" fontId="4" fillId="0" borderId="11" xfId="0" applyFont="1" applyBorder="1" applyAlignment="1"/>
    <xf numFmtId="0" fontId="23" fillId="0" borderId="8" xfId="0" applyFont="1" applyBorder="1" applyAlignment="1">
      <alignment horizontal="left"/>
    </xf>
    <xf numFmtId="0" fontId="24" fillId="0" borderId="0" xfId="0" applyFont="1" applyBorder="1" applyAlignment="1"/>
    <xf numFmtId="0" fontId="23" fillId="0" borderId="0" xfId="0" applyFont="1" applyBorder="1"/>
    <xf numFmtId="0" fontId="23" fillId="0" borderId="7" xfId="0" applyFont="1" applyBorder="1"/>
    <xf numFmtId="0" fontId="23" fillId="0" borderId="8" xfId="0" applyFont="1" applyBorder="1" applyAlignment="1">
      <alignment horizontal="left" vertical="center"/>
    </xf>
    <xf numFmtId="0" fontId="23" fillId="0" borderId="0" xfId="0" applyFont="1" applyBorder="1" applyAlignment="1">
      <alignment horizontal="left" vertical="center"/>
    </xf>
    <xf numFmtId="0" fontId="23" fillId="0" borderId="7" xfId="0" applyFont="1" applyBorder="1" applyAlignment="1">
      <alignment horizontal="left" vertical="center"/>
    </xf>
    <xf numFmtId="0" fontId="23" fillId="0" borderId="0" xfId="0" applyFont="1" applyBorder="1" applyAlignment="1">
      <alignment horizontal="left"/>
    </xf>
    <xf numFmtId="0" fontId="23" fillId="0" borderId="7" xfId="0" applyFont="1" applyBorder="1" applyAlignment="1">
      <alignment horizontal="left"/>
    </xf>
    <xf numFmtId="0" fontId="23" fillId="0" borderId="13" xfId="0" applyFont="1" applyBorder="1"/>
    <xf numFmtId="0" fontId="23" fillId="0" borderId="3" xfId="0" applyFont="1" applyBorder="1"/>
    <xf numFmtId="0" fontId="23" fillId="0" borderId="15" xfId="0" applyFont="1" applyBorder="1"/>
    <xf numFmtId="0" fontId="4" fillId="0" borderId="0" xfId="0" applyFont="1" applyAlignment="1">
      <alignment horizontal="left" vertical="center"/>
    </xf>
    <xf numFmtId="0" fontId="2" fillId="10" borderId="6" xfId="0" applyFont="1" applyFill="1" applyBorder="1" applyAlignment="1">
      <alignment horizontal="right"/>
    </xf>
    <xf numFmtId="0" fontId="23" fillId="0" borderId="9" xfId="0" applyFont="1" applyBorder="1" applyAlignment="1">
      <alignment horizontal="center"/>
    </xf>
    <xf numFmtId="0" fontId="23" fillId="0" borderId="12" xfId="0" applyFont="1" applyBorder="1" applyAlignment="1">
      <alignment horizontal="center"/>
    </xf>
    <xf numFmtId="0" fontId="23" fillId="0" borderId="18" xfId="0" applyFont="1" applyBorder="1" applyAlignment="1">
      <alignment horizontal="center"/>
    </xf>
    <xf numFmtId="0" fontId="9" fillId="0" borderId="10" xfId="0" applyFont="1" applyBorder="1" applyAlignment="1">
      <alignment horizontal="left"/>
    </xf>
    <xf numFmtId="0" fontId="9" fillId="0" borderId="8" xfId="0" applyFont="1" applyBorder="1" applyAlignment="1">
      <alignment horizontal="left"/>
    </xf>
    <xf numFmtId="0" fontId="1" fillId="0" borderId="7" xfId="0" applyFont="1" applyBorder="1"/>
    <xf numFmtId="0" fontId="9" fillId="0" borderId="8" xfId="0" applyFont="1" applyBorder="1" applyAlignment="1"/>
    <xf numFmtId="0" fontId="0" fillId="0" borderId="0" xfId="0" applyBorder="1" applyAlignment="1"/>
    <xf numFmtId="0" fontId="0" fillId="0" borderId="7" xfId="0" applyBorder="1" applyAlignment="1"/>
    <xf numFmtId="0" fontId="0" fillId="0" borderId="8" xfId="0" applyBorder="1" applyAlignment="1"/>
    <xf numFmtId="0" fontId="9" fillId="0" borderId="8" xfId="0" applyFont="1" applyBorder="1"/>
    <xf numFmtId="0" fontId="0" fillId="0" borderId="0" xfId="0" applyBorder="1" applyAlignment="1">
      <alignment vertical="top"/>
    </xf>
    <xf numFmtId="0" fontId="0" fillId="0" borderId="7" xfId="0" applyBorder="1" applyAlignment="1">
      <alignment vertical="top"/>
    </xf>
    <xf numFmtId="0" fontId="23" fillId="0" borderId="8" xfId="0" applyFont="1" applyFill="1" applyBorder="1" applyAlignment="1"/>
    <xf numFmtId="0" fontId="23" fillId="0" borderId="8" xfId="0" applyFont="1" applyBorder="1" applyAlignment="1">
      <alignment horizontal="left" vertical="top" wrapText="1"/>
    </xf>
    <xf numFmtId="0" fontId="23" fillId="0" borderId="0" xfId="0" applyFont="1" applyBorder="1" applyAlignment="1">
      <alignment horizontal="left" vertical="top" wrapText="1"/>
    </xf>
    <xf numFmtId="0" fontId="23" fillId="0" borderId="7" xfId="0" applyFont="1" applyBorder="1" applyAlignment="1">
      <alignment horizontal="left" vertical="top" wrapText="1"/>
    </xf>
    <xf numFmtId="0" fontId="23" fillId="0" borderId="8" xfId="0" applyFont="1" applyBorder="1" applyAlignment="1"/>
    <xf numFmtId="0" fontId="25" fillId="0" borderId="8" xfId="0" applyFont="1" applyBorder="1" applyAlignment="1">
      <alignment horizontal="left"/>
    </xf>
    <xf numFmtId="0" fontId="9" fillId="0" borderId="10" xfId="0" applyFont="1" applyBorder="1"/>
    <xf numFmtId="0" fontId="0" fillId="0" borderId="6" xfId="0" applyBorder="1"/>
    <xf numFmtId="0" fontId="23" fillId="0" borderId="8" xfId="0" applyFont="1" applyBorder="1"/>
    <xf numFmtId="0" fontId="23" fillId="0" borderId="5" xfId="0" applyFont="1" applyBorder="1"/>
    <xf numFmtId="0" fontId="23" fillId="0" borderId="10" xfId="0" applyFont="1" applyBorder="1"/>
    <xf numFmtId="0" fontId="23" fillId="0" borderId="11" xfId="0" applyFont="1" applyBorder="1"/>
    <xf numFmtId="0" fontId="6" fillId="9" borderId="3" xfId="0" applyFont="1" applyFill="1" applyBorder="1" applyAlignment="1" applyProtection="1">
      <alignment horizontal="center"/>
      <protection locked="0"/>
    </xf>
    <xf numFmtId="1" fontId="0" fillId="0" borderId="0" xfId="0" applyNumberFormat="1" applyBorder="1" applyAlignment="1">
      <alignment horizontal="center" vertical="center"/>
    </xf>
    <xf numFmtId="0" fontId="26" fillId="13" borderId="28" xfId="0" applyFont="1" applyFill="1" applyBorder="1" applyAlignment="1">
      <alignment horizontal="center"/>
    </xf>
    <xf numFmtId="0" fontId="26" fillId="12" borderId="23" xfId="0" applyFont="1" applyFill="1" applyBorder="1" applyAlignment="1">
      <alignment horizontal="center"/>
    </xf>
    <xf numFmtId="0" fontId="26" fillId="13" borderId="23" xfId="0" applyFont="1" applyFill="1" applyBorder="1" applyAlignment="1">
      <alignment horizontal="center"/>
    </xf>
    <xf numFmtId="14" fontId="6" fillId="9" borderId="3" xfId="0" applyNumberFormat="1" applyFont="1" applyFill="1" applyBorder="1" applyAlignment="1" applyProtection="1">
      <alignment horizontal="center"/>
      <protection locked="0"/>
    </xf>
    <xf numFmtId="170" fontId="0" fillId="0" borderId="0" xfId="0" applyNumberFormat="1" applyBorder="1" applyAlignment="1">
      <alignment horizontal="center" vertical="center"/>
    </xf>
    <xf numFmtId="164" fontId="0" fillId="0" borderId="0" xfId="0" applyNumberFormat="1" applyBorder="1" applyAlignment="1">
      <alignment horizontal="center" vertical="center"/>
    </xf>
    <xf numFmtId="1" fontId="4" fillId="0" borderId="0" xfId="0" applyNumberFormat="1" applyFont="1" applyBorder="1" applyAlignment="1">
      <alignment horizontal="left" vertical="center"/>
    </xf>
    <xf numFmtId="0" fontId="4" fillId="14" borderId="9" xfId="0" applyFont="1" applyFill="1" applyBorder="1"/>
    <xf numFmtId="0" fontId="4" fillId="14" borderId="9" xfId="0" applyFont="1" applyFill="1" applyBorder="1" applyAlignment="1">
      <alignment horizontal="center"/>
    </xf>
    <xf numFmtId="0" fontId="4" fillId="14" borderId="4" xfId="0" applyFont="1" applyFill="1" applyBorder="1"/>
    <xf numFmtId="0" fontId="4" fillId="14" borderId="4" xfId="0" applyFont="1" applyFill="1" applyBorder="1" applyAlignment="1">
      <alignment horizontal="center"/>
    </xf>
    <xf numFmtId="0" fontId="0" fillId="9" borderId="3" xfId="0" applyFill="1" applyBorder="1" applyAlignment="1" applyProtection="1">
      <alignment horizontal="center"/>
      <protection locked="0"/>
    </xf>
    <xf numFmtId="0" fontId="0" fillId="0" borderId="0" xfId="0" applyFill="1" applyAlignment="1"/>
    <xf numFmtId="0" fontId="1" fillId="0" borderId="0" xfId="0" applyNumberFormat="1" applyFont="1" applyAlignment="1">
      <alignment horizontal="center"/>
    </xf>
    <xf numFmtId="1" fontId="2" fillId="16" borderId="4" xfId="0" applyNumberFormat="1" applyFont="1" applyFill="1" applyBorder="1" applyAlignment="1">
      <alignment horizontal="center" vertical="center"/>
    </xf>
    <xf numFmtId="170" fontId="2" fillId="16" borderId="4" xfId="0" applyNumberFormat="1" applyFont="1" applyFill="1" applyBorder="1" applyAlignment="1">
      <alignment horizontal="center" vertical="center"/>
    </xf>
    <xf numFmtId="164" fontId="2" fillId="16" borderId="4" xfId="0" applyNumberFormat="1" applyFont="1" applyFill="1" applyBorder="1" applyAlignment="1">
      <alignment horizontal="center" vertical="center"/>
    </xf>
    <xf numFmtId="164" fontId="2" fillId="16" borderId="4" xfId="0" applyNumberFormat="1" applyFont="1" applyFill="1" applyBorder="1" applyAlignment="1">
      <alignment horizontal="center"/>
    </xf>
    <xf numFmtId="1" fontId="2" fillId="17" borderId="4" xfId="0" applyNumberFormat="1" applyFont="1" applyFill="1" applyBorder="1" applyAlignment="1">
      <alignment horizontal="center" vertical="center"/>
    </xf>
    <xf numFmtId="170" fontId="2" fillId="17" borderId="4" xfId="0" applyNumberFormat="1" applyFont="1" applyFill="1" applyBorder="1" applyAlignment="1">
      <alignment horizontal="center" vertical="center"/>
    </xf>
    <xf numFmtId="164" fontId="2" fillId="17" borderId="4" xfId="0" applyNumberFormat="1" applyFont="1" applyFill="1" applyBorder="1" applyAlignment="1">
      <alignment horizontal="center" vertical="center"/>
    </xf>
    <xf numFmtId="164" fontId="2" fillId="17" borderId="4" xfId="0" applyNumberFormat="1" applyFont="1" applyFill="1" applyBorder="1" applyAlignment="1">
      <alignment horizontal="center"/>
    </xf>
    <xf numFmtId="1" fontId="2" fillId="15" borderId="4" xfId="0" applyNumberFormat="1" applyFont="1" applyFill="1" applyBorder="1" applyAlignment="1">
      <alignment horizontal="center" vertical="center"/>
    </xf>
    <xf numFmtId="170" fontId="2" fillId="15" borderId="4" xfId="0" applyNumberFormat="1" applyFont="1" applyFill="1" applyBorder="1" applyAlignment="1">
      <alignment horizontal="center" vertical="center"/>
    </xf>
    <xf numFmtId="164" fontId="2" fillId="15" borderId="4" xfId="0" applyNumberFormat="1" applyFont="1" applyFill="1" applyBorder="1" applyAlignment="1">
      <alignment horizontal="center" vertical="center"/>
    </xf>
    <xf numFmtId="0" fontId="26" fillId="13" borderId="27" xfId="0" applyFont="1" applyFill="1" applyBorder="1" applyAlignment="1">
      <alignment horizontal="center"/>
    </xf>
    <xf numFmtId="0" fontId="26" fillId="13" borderId="27" xfId="0" applyFont="1" applyFill="1" applyBorder="1" applyAlignment="1"/>
    <xf numFmtId="0" fontId="26" fillId="12" borderId="23" xfId="0" applyFont="1" applyFill="1" applyBorder="1" applyAlignment="1"/>
    <xf numFmtId="0" fontId="26" fillId="13" borderId="23" xfId="0" applyFont="1" applyFill="1" applyBorder="1" applyAlignment="1"/>
    <xf numFmtId="164" fontId="26" fillId="13" borderId="28" xfId="0" applyNumberFormat="1" applyFont="1" applyFill="1" applyBorder="1" applyAlignment="1">
      <alignment horizontal="center"/>
    </xf>
    <xf numFmtId="0" fontId="26" fillId="12" borderId="29" xfId="0" applyFont="1" applyFill="1" applyBorder="1" applyAlignment="1">
      <alignment horizontal="center"/>
    </xf>
    <xf numFmtId="1" fontId="26" fillId="12" borderId="23" xfId="0" applyNumberFormat="1" applyFont="1" applyFill="1" applyBorder="1" applyAlignment="1">
      <alignment horizontal="center"/>
    </xf>
    <xf numFmtId="164" fontId="26" fillId="12" borderId="23" xfId="0" applyNumberFormat="1" applyFont="1" applyFill="1" applyBorder="1" applyAlignment="1">
      <alignment horizontal="center"/>
    </xf>
    <xf numFmtId="0" fontId="26" fillId="13" borderId="29" xfId="0" applyFont="1" applyFill="1" applyBorder="1" applyAlignment="1">
      <alignment horizontal="center"/>
    </xf>
    <xf numFmtId="1" fontId="26" fillId="13" borderId="23" xfId="0" applyNumberFormat="1" applyFont="1" applyFill="1" applyBorder="1" applyAlignment="1">
      <alignment horizontal="center"/>
    </xf>
    <xf numFmtId="164" fontId="26" fillId="13" borderId="23" xfId="0" applyNumberFormat="1" applyFont="1" applyFill="1" applyBorder="1" applyAlignment="1">
      <alignment horizontal="center"/>
    </xf>
    <xf numFmtId="169" fontId="0" fillId="0" borderId="0" xfId="0" applyNumberFormat="1" applyBorder="1" applyAlignment="1">
      <alignment horizontal="center" vertical="center"/>
    </xf>
    <xf numFmtId="171" fontId="0" fillId="0" borderId="0" xfId="0" applyNumberFormat="1" applyBorder="1" applyAlignment="1">
      <alignment horizontal="center" vertical="center"/>
    </xf>
    <xf numFmtId="0" fontId="4" fillId="11" borderId="0" xfId="0" applyFont="1" applyFill="1" applyBorder="1" applyAlignment="1">
      <alignment horizontal="left"/>
    </xf>
    <xf numFmtId="0" fontId="4" fillId="11" borderId="30" xfId="0" applyFont="1" applyFill="1" applyBorder="1" applyAlignment="1">
      <alignment horizontal="center"/>
    </xf>
    <xf numFmtId="0" fontId="4" fillId="11" borderId="24" xfId="0" applyFont="1" applyFill="1" applyBorder="1" applyAlignment="1">
      <alignment horizontal="left"/>
    </xf>
    <xf numFmtId="0" fontId="4" fillId="11" borderId="26" xfId="0" applyFont="1" applyFill="1" applyBorder="1" applyAlignment="1">
      <alignment horizontal="left"/>
    </xf>
    <xf numFmtId="0" fontId="4" fillId="11" borderId="26" xfId="0" applyFont="1" applyFill="1" applyBorder="1" applyAlignment="1">
      <alignment horizontal="center"/>
    </xf>
    <xf numFmtId="0" fontId="3" fillId="10" borderId="20" xfId="0" applyFont="1" applyFill="1" applyBorder="1" applyAlignment="1">
      <alignment horizontal="left"/>
    </xf>
    <xf numFmtId="0" fontId="3" fillId="10" borderId="21" xfId="0" applyFont="1" applyFill="1" applyBorder="1" applyAlignment="1">
      <alignment horizontal="left"/>
    </xf>
    <xf numFmtId="0" fontId="17" fillId="0" borderId="0" xfId="0" applyFont="1" applyAlignment="1">
      <alignment horizontal="left"/>
    </xf>
    <xf numFmtId="0" fontId="17" fillId="0" borderId="7" xfId="0" applyFont="1" applyBorder="1" applyAlignment="1">
      <alignment horizontal="left"/>
    </xf>
    <xf numFmtId="0" fontId="0" fillId="0" borderId="3" xfId="0" applyBorder="1" applyAlignment="1" applyProtection="1">
      <alignment horizontal="center"/>
    </xf>
    <xf numFmtId="0" fontId="13" fillId="2" borderId="3" xfId="0" applyFont="1" applyFill="1" applyBorder="1" applyAlignment="1" applyProtection="1">
      <alignment horizontal="center"/>
      <protection locked="0"/>
    </xf>
    <xf numFmtId="0" fontId="1" fillId="2" borderId="3" xfId="0" applyFont="1" applyFill="1" applyBorder="1" applyAlignment="1" applyProtection="1">
      <alignment horizontal="center"/>
      <protection locked="0"/>
    </xf>
    <xf numFmtId="0" fontId="0" fillId="2" borderId="3" xfId="0" applyFill="1" applyBorder="1" applyAlignment="1" applyProtection="1">
      <alignment horizontal="center"/>
      <protection locked="0"/>
    </xf>
    <xf numFmtId="0" fontId="14" fillId="0" borderId="0" xfId="0" applyFont="1" applyFill="1" applyBorder="1" applyAlignment="1" applyProtection="1">
      <alignment horizontal="left"/>
      <protection locked="0"/>
    </xf>
    <xf numFmtId="0" fontId="4" fillId="0" borderId="5" xfId="0" applyFont="1" applyFill="1" applyBorder="1" applyAlignment="1">
      <alignment horizontal="center"/>
    </xf>
    <xf numFmtId="0" fontId="4" fillId="0" borderId="6" xfId="0" applyFont="1" applyFill="1" applyBorder="1" applyAlignment="1">
      <alignment horizontal="center"/>
    </xf>
    <xf numFmtId="0" fontId="0" fillId="0" borderId="8" xfId="0" applyFill="1" applyBorder="1" applyAlignment="1">
      <alignment horizontal="center"/>
    </xf>
    <xf numFmtId="0" fontId="0" fillId="0" borderId="0" xfId="0" applyFill="1" applyAlignment="1">
      <alignment horizontal="center"/>
    </xf>
    <xf numFmtId="0" fontId="17" fillId="0" borderId="0" xfId="0" applyFont="1" applyBorder="1" applyAlignment="1" applyProtection="1">
      <alignment horizontal="left"/>
    </xf>
    <xf numFmtId="0" fontId="0" fillId="0" borderId="0" xfId="0" applyAlignment="1" applyProtection="1">
      <alignment horizontal="center"/>
    </xf>
    <xf numFmtId="0" fontId="1" fillId="0" borderId="3" xfId="0" applyFont="1" applyFill="1" applyBorder="1" applyAlignment="1" applyProtection="1">
      <alignment horizontal="center"/>
      <protection locked="0"/>
    </xf>
    <xf numFmtId="0" fontId="6" fillId="0" borderId="3" xfId="0" applyFont="1" applyFill="1" applyBorder="1" applyAlignment="1" applyProtection="1">
      <alignment horizontal="center"/>
      <protection locked="0"/>
    </xf>
    <xf numFmtId="0" fontId="7" fillId="0" borderId="5" xfId="0" applyFont="1" applyFill="1" applyBorder="1" applyAlignment="1">
      <alignment horizontal="left"/>
    </xf>
    <xf numFmtId="0" fontId="7" fillId="0" borderId="6" xfId="0" applyFont="1" applyFill="1" applyBorder="1" applyAlignment="1">
      <alignment horizontal="left"/>
    </xf>
    <xf numFmtId="0" fontId="0" fillId="0" borderId="0" xfId="0" applyBorder="1" applyAlignment="1" applyProtection="1">
      <alignment horizontal="left"/>
    </xf>
    <xf numFmtId="0" fontId="0" fillId="0" borderId="11" xfId="0" applyFill="1" applyBorder="1" applyAlignment="1" applyProtection="1">
      <alignment horizontal="center"/>
    </xf>
    <xf numFmtId="0" fontId="0" fillId="0" borderId="16" xfId="0" applyFill="1" applyBorder="1" applyAlignment="1" applyProtection="1">
      <alignment horizontal="center"/>
    </xf>
    <xf numFmtId="0" fontId="5" fillId="10" borderId="1" xfId="0" applyFont="1" applyFill="1" applyBorder="1" applyAlignment="1">
      <alignment horizontal="center"/>
    </xf>
    <xf numFmtId="0" fontId="5" fillId="10" borderId="19" xfId="0" applyFont="1" applyFill="1" applyBorder="1" applyAlignment="1">
      <alignment horizontal="center"/>
    </xf>
    <xf numFmtId="0" fontId="3" fillId="10" borderId="17" xfId="0" applyFont="1" applyFill="1" applyBorder="1" applyAlignment="1">
      <alignment horizontal="left"/>
    </xf>
    <xf numFmtId="0" fontId="3" fillId="10" borderId="1" xfId="0" applyFont="1" applyFill="1" applyBorder="1" applyAlignment="1">
      <alignment horizontal="left"/>
    </xf>
    <xf numFmtId="0" fontId="4" fillId="0" borderId="4" xfId="0" applyFont="1" applyFill="1" applyBorder="1" applyAlignment="1">
      <alignment horizontal="center"/>
    </xf>
    <xf numFmtId="0" fontId="5" fillId="10" borderId="1" xfId="0" applyFont="1" applyFill="1" applyBorder="1" applyAlignment="1">
      <alignment horizontal="right"/>
    </xf>
    <xf numFmtId="0" fontId="5" fillId="10" borderId="19" xfId="0" applyFont="1" applyFill="1" applyBorder="1" applyAlignment="1">
      <alignment horizontal="right"/>
    </xf>
    <xf numFmtId="0" fontId="4" fillId="0" borderId="10" xfId="0" applyFont="1" applyBorder="1" applyAlignment="1">
      <alignment horizontal="center" vertical="center"/>
    </xf>
    <xf numFmtId="0" fontId="4" fillId="0" borderId="14" xfId="0" applyFont="1" applyBorder="1" applyAlignment="1">
      <alignment horizontal="center" vertical="center"/>
    </xf>
    <xf numFmtId="0" fontId="0" fillId="0" borderId="10" xfId="0" applyBorder="1" applyAlignment="1">
      <alignment horizontal="center"/>
    </xf>
    <xf numFmtId="0" fontId="0" fillId="0" borderId="14" xfId="0" applyBorder="1" applyAlignment="1">
      <alignment horizontal="center"/>
    </xf>
    <xf numFmtId="0" fontId="0" fillId="0" borderId="8" xfId="0" applyBorder="1" applyAlignment="1">
      <alignment horizontal="center"/>
    </xf>
    <xf numFmtId="0" fontId="0" fillId="0" borderId="7" xfId="0" applyBorder="1" applyAlignment="1">
      <alignment horizontal="center"/>
    </xf>
    <xf numFmtId="0" fontId="0" fillId="0" borderId="16" xfId="0" applyBorder="1" applyAlignment="1">
      <alignment horizontal="center"/>
    </xf>
    <xf numFmtId="0" fontId="0" fillId="0" borderId="4" xfId="0" applyBorder="1" applyAlignment="1">
      <alignment horizont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0" borderId="0" xfId="0" applyFont="1" applyFill="1" applyAlignment="1">
      <alignment horizontal="left"/>
    </xf>
    <xf numFmtId="0" fontId="4" fillId="0" borderId="0" xfId="0" applyFont="1" applyFill="1" applyBorder="1" applyAlignment="1">
      <alignment horizontal="left"/>
    </xf>
    <xf numFmtId="0" fontId="4" fillId="0" borderId="0" xfId="0" applyFont="1" applyAlignment="1">
      <alignment horizontal="left"/>
    </xf>
    <xf numFmtId="0" fontId="2" fillId="0" borderId="8" xfId="0" applyFont="1" applyBorder="1" applyAlignment="1">
      <alignment horizontal="center"/>
    </xf>
    <xf numFmtId="0" fontId="2" fillId="0" borderId="7" xfId="0" applyFont="1" applyBorder="1" applyAlignment="1">
      <alignment horizontal="center"/>
    </xf>
    <xf numFmtId="0" fontId="4" fillId="0" borderId="9" xfId="0" applyFont="1" applyBorder="1" applyAlignment="1">
      <alignment horizontal="center" vertical="center"/>
    </xf>
    <xf numFmtId="0" fontId="4" fillId="0" borderId="18" xfId="0" applyFont="1" applyBorder="1" applyAlignment="1">
      <alignment horizontal="center" vertical="center"/>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10" xfId="0" applyFont="1" applyFill="1" applyBorder="1" applyAlignment="1" applyProtection="1">
      <alignment horizontal="center" vertical="center"/>
    </xf>
    <xf numFmtId="0" fontId="4" fillId="0" borderId="14" xfId="0" applyFont="1" applyFill="1" applyBorder="1" applyAlignment="1" applyProtection="1">
      <alignment horizontal="center" vertical="center"/>
    </xf>
    <xf numFmtId="0" fontId="4" fillId="0" borderId="13" xfId="0" applyFont="1" applyFill="1" applyBorder="1" applyAlignment="1" applyProtection="1">
      <alignment horizontal="center" vertical="center"/>
    </xf>
    <xf numFmtId="0" fontId="4" fillId="0" borderId="15" xfId="0" applyFont="1" applyFill="1" applyBorder="1" applyAlignment="1" applyProtection="1">
      <alignment horizontal="center" vertical="center"/>
    </xf>
    <xf numFmtId="0" fontId="4" fillId="0" borderId="9" xfId="0" applyFont="1" applyBorder="1" applyAlignment="1">
      <alignment horizontal="center" vertical="center" wrapText="1"/>
    </xf>
    <xf numFmtId="0" fontId="4" fillId="0" borderId="18" xfId="0" applyFont="1" applyBorder="1" applyAlignment="1">
      <alignment horizontal="center" vertical="center" wrapText="1"/>
    </xf>
    <xf numFmtId="0" fontId="0" fillId="0" borderId="6" xfId="0" applyBorder="1" applyAlignment="1">
      <alignment horizontal="center"/>
    </xf>
    <xf numFmtId="0" fontId="0" fillId="0" borderId="5" xfId="0" applyBorder="1" applyAlignment="1">
      <alignment horizontal="center"/>
    </xf>
    <xf numFmtId="0" fontId="4" fillId="0" borderId="13" xfId="0" applyFont="1" applyBorder="1" applyAlignment="1">
      <alignment horizontal="center" vertical="center"/>
    </xf>
    <xf numFmtId="0" fontId="4" fillId="0" borderId="15" xfId="0" applyFont="1" applyBorder="1" applyAlignment="1">
      <alignment horizontal="center" vertical="center"/>
    </xf>
    <xf numFmtId="0" fontId="0" fillId="0" borderId="0" xfId="0" applyAlignment="1">
      <alignment horizontal="center"/>
    </xf>
    <xf numFmtId="0" fontId="4" fillId="11" borderId="25" xfId="0" applyFont="1" applyFill="1" applyBorder="1" applyAlignment="1">
      <alignment horizontal="center"/>
    </xf>
    <xf numFmtId="0" fontId="4" fillId="11" borderId="30" xfId="0" applyFont="1" applyFill="1" applyBorder="1" applyAlignment="1">
      <alignment horizontal="center"/>
    </xf>
    <xf numFmtId="0" fontId="6" fillId="9" borderId="3" xfId="0" applyFont="1" applyFill="1" applyBorder="1" applyAlignment="1" applyProtection="1">
      <alignment horizontal="center"/>
      <protection locked="0"/>
    </xf>
    <xf numFmtId="0" fontId="1" fillId="9" borderId="3" xfId="0" applyFont="1" applyFill="1" applyBorder="1" applyAlignment="1" applyProtection="1">
      <alignment horizontal="center"/>
      <protection locked="0"/>
    </xf>
    <xf numFmtId="0" fontId="0" fillId="9" borderId="3" xfId="0" applyFill="1" applyBorder="1" applyAlignment="1" applyProtection="1">
      <alignment horizontal="center"/>
      <protection locked="0"/>
    </xf>
    <xf numFmtId="0" fontId="2" fillId="0" borderId="0" xfId="0" applyFont="1" applyAlignment="1">
      <alignment horizontal="left" wrapText="1"/>
    </xf>
    <xf numFmtId="0" fontId="23" fillId="0" borderId="8" xfId="0" applyFont="1" applyBorder="1" applyAlignment="1">
      <alignment horizontal="left"/>
    </xf>
    <xf numFmtId="0" fontId="23" fillId="0" borderId="0" xfId="0" applyFont="1" applyBorder="1" applyAlignment="1">
      <alignment horizontal="left"/>
    </xf>
    <xf numFmtId="0" fontId="23" fillId="0" borderId="8" xfId="0" applyFont="1" applyBorder="1" applyAlignment="1">
      <alignment horizontal="left" vertical="top" wrapText="1"/>
    </xf>
    <xf numFmtId="0" fontId="23" fillId="0" borderId="0" xfId="0" applyFont="1" applyBorder="1" applyAlignment="1">
      <alignment horizontal="left" vertical="top" wrapText="1"/>
    </xf>
    <xf numFmtId="0" fontId="23" fillId="0" borderId="13" xfId="0" applyFont="1" applyBorder="1" applyAlignment="1">
      <alignment horizontal="left" vertical="top" wrapText="1"/>
    </xf>
    <xf numFmtId="0" fontId="23" fillId="0" borderId="3" xfId="0" applyFont="1" applyBorder="1" applyAlignment="1">
      <alignment horizontal="left" vertical="top" wrapText="1"/>
    </xf>
    <xf numFmtId="0" fontId="23" fillId="0" borderId="7" xfId="0" applyFont="1" applyBorder="1" applyAlignment="1">
      <alignment horizontal="left" vertical="top" wrapText="1"/>
    </xf>
    <xf numFmtId="0" fontId="23" fillId="0" borderId="15" xfId="0" applyFont="1" applyBorder="1" applyAlignment="1">
      <alignment horizontal="left" vertical="top" wrapText="1"/>
    </xf>
    <xf numFmtId="0" fontId="23" fillId="0" borderId="0" xfId="0" applyFont="1" applyBorder="1" applyAlignment="1">
      <alignment horizontal="left" vertical="top"/>
    </xf>
    <xf numFmtId="0" fontId="23" fillId="0" borderId="7" xfId="0" applyFont="1" applyBorder="1" applyAlignment="1">
      <alignment horizontal="left" vertical="top"/>
    </xf>
    <xf numFmtId="0" fontId="23" fillId="0" borderId="8" xfId="0" applyFont="1" applyBorder="1" applyAlignment="1">
      <alignment horizontal="left" vertical="top"/>
    </xf>
    <xf numFmtId="0" fontId="23" fillId="0" borderId="13" xfId="0" applyFont="1" applyBorder="1" applyAlignment="1">
      <alignment horizontal="left" vertical="top"/>
    </xf>
    <xf numFmtId="0" fontId="23" fillId="0" borderId="3" xfId="0" applyFont="1" applyBorder="1" applyAlignment="1">
      <alignment horizontal="left" vertical="top"/>
    </xf>
    <xf numFmtId="0" fontId="23" fillId="0" borderId="15" xfId="0" applyFont="1" applyBorder="1" applyAlignment="1">
      <alignment horizontal="left" vertical="top"/>
    </xf>
    <xf numFmtId="0" fontId="23" fillId="0" borderId="13" xfId="0" applyFont="1" applyBorder="1" applyAlignment="1">
      <alignment horizontal="left"/>
    </xf>
    <xf numFmtId="0" fontId="23" fillId="0" borderId="3" xfId="0" applyFont="1" applyBorder="1" applyAlignment="1">
      <alignment horizontal="left"/>
    </xf>
    <xf numFmtId="0" fontId="2" fillId="0" borderId="0" xfId="0" applyFont="1" applyAlignment="1">
      <alignment horizontal="left"/>
    </xf>
    <xf numFmtId="0" fontId="23" fillId="0" borderId="10" xfId="0" applyFont="1" applyBorder="1" applyAlignment="1">
      <alignment horizontal="left"/>
    </xf>
    <xf numFmtId="0" fontId="23" fillId="0" borderId="11" xfId="0" applyFont="1" applyBorder="1" applyAlignment="1">
      <alignment horizontal="left"/>
    </xf>
  </cellXfs>
  <cellStyles count="1">
    <cellStyle name="Normal" xfId="0" builtinId="0"/>
  </cellStyles>
  <dxfs count="50">
    <dxf>
      <font>
        <b val="0"/>
        <i val="0"/>
        <strike val="0"/>
        <outline val="0"/>
        <shadow val="0"/>
        <u val="none"/>
        <vertAlign val="baseline"/>
        <sz val="10"/>
        <color auto="1"/>
        <name val="Arial"/>
        <scheme val="none"/>
      </font>
      <numFmt numFmtId="164" formatCode="0.0"/>
      <alignment horizontal="center" vertical="bottom" textRotation="0" wrapText="0" indent="0" justifyLastLine="0" shrinkToFit="0" readingOrder="0"/>
    </dxf>
    <dxf>
      <font>
        <b val="0"/>
        <i val="0"/>
        <strike val="0"/>
        <outline val="0"/>
        <shadow val="0"/>
        <u val="none"/>
        <vertAlign val="baseline"/>
        <sz val="10"/>
        <color auto="1"/>
        <name val="Arial"/>
        <scheme val="none"/>
      </font>
      <alignment horizontal="center" vertical="bottom" textRotation="0" wrapText="0" indent="0" justifyLastLine="0" shrinkToFit="0" readingOrder="0"/>
    </dxf>
    <dxf>
      <font>
        <b val="0"/>
        <i val="0"/>
        <strike val="0"/>
        <outline val="0"/>
        <shadow val="0"/>
        <u val="none"/>
        <vertAlign val="baseline"/>
        <sz val="10"/>
        <color auto="1"/>
        <name val="Arial"/>
        <scheme val="none"/>
      </font>
      <alignment horizontal="center" vertical="bottom" textRotation="0" wrapText="0" indent="0" justifyLastLine="0" shrinkToFit="0" readingOrder="0"/>
    </dxf>
    <dxf>
      <font>
        <b val="0"/>
        <i val="0"/>
        <strike val="0"/>
        <outline val="0"/>
        <shadow val="0"/>
        <u val="none"/>
        <vertAlign val="baseline"/>
        <sz val="10"/>
        <color auto="1"/>
        <name val="Arial"/>
        <scheme val="none"/>
      </font>
      <alignment horizontal="center" vertical="bottom" textRotation="0" wrapText="0" indent="0" justifyLastLine="0" shrinkToFit="0" readingOrder="0"/>
    </dxf>
    <dxf>
      <font>
        <b val="0"/>
        <i val="0"/>
        <strike val="0"/>
        <outline val="0"/>
        <shadow val="0"/>
        <u val="none"/>
        <vertAlign val="baseline"/>
        <sz val="10"/>
        <color auto="1"/>
        <name val="Arial"/>
        <scheme val="none"/>
      </font>
      <numFmt numFmtId="0" formatCode="General"/>
      <alignment horizontal="center" vertical="bottom" textRotation="0" wrapText="0" indent="0" justifyLastLine="0" shrinkToFit="0" readingOrder="0"/>
    </dxf>
    <dxf>
      <border outline="0">
        <top style="thin">
          <color indexed="64"/>
        </top>
      </border>
    </dxf>
    <dxf>
      <font>
        <b val="0"/>
        <i val="0"/>
        <strike val="0"/>
        <outline val="0"/>
        <shadow val="0"/>
        <u val="none"/>
        <vertAlign val="baseline"/>
        <sz val="10"/>
        <color auto="1"/>
        <name val="Arial"/>
        <scheme val="none"/>
      </font>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auto="1"/>
        <name val="Arial"/>
        <scheme val="none"/>
      </font>
      <alignment horizontal="center" vertical="bottom" textRotation="0" wrapText="0" indent="0" justifyLastLine="0" shrinkToFit="0" readingOrder="0"/>
    </dxf>
    <dxf>
      <numFmt numFmtId="164" formatCode="0.0"/>
      <alignment horizontal="center" vertical="center" textRotation="0" wrapText="0" indent="0" justifyLastLine="0" shrinkToFit="0" readingOrder="0"/>
      <border diagonalUp="0" diagonalDown="0">
        <left style="thin">
          <color indexed="64"/>
        </left>
        <right/>
        <top style="thin">
          <color indexed="64"/>
        </top>
        <bottom style="thin">
          <color indexed="64"/>
        </bottom>
      </border>
    </dxf>
    <dxf>
      <numFmt numFmtId="171" formatCode="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auto="1"/>
        <name val="Arial"/>
        <scheme val="none"/>
      </font>
      <alignment horizontal="center" vertical="center" textRotation="0" wrapText="0" indent="0" justifyLastLine="0" shrinkToFit="0" readingOrder="0"/>
    </dxf>
    <dxf>
      <font>
        <b/>
        <i val="0"/>
        <condense val="0"/>
        <extend val="0"/>
        <color indexed="10"/>
      </font>
      <fill>
        <patternFill>
          <bgColor indexed="13"/>
        </patternFill>
      </fill>
    </dxf>
    <dxf>
      <fill>
        <patternFill>
          <bgColor indexed="42"/>
        </patternFill>
      </fill>
      <border>
        <left style="thin">
          <color indexed="64"/>
        </left>
        <right style="thin">
          <color indexed="64"/>
        </right>
        <top style="thin">
          <color indexed="64"/>
        </top>
        <bottom style="thin">
          <color indexed="64"/>
        </bottom>
      </border>
    </dxf>
    <dxf>
      <fill>
        <patternFill>
          <bgColor indexed="42"/>
        </patternFill>
      </fill>
      <border>
        <left style="thin">
          <color indexed="64"/>
        </left>
        <right style="thin">
          <color indexed="64"/>
        </right>
        <top style="thin">
          <color indexed="64"/>
        </top>
        <bottom style="thin">
          <color indexed="64"/>
        </bottom>
      </border>
    </dxf>
    <dxf>
      <fill>
        <patternFill>
          <bgColor indexed="42"/>
        </patternFill>
      </fill>
      <border>
        <left style="thin">
          <color indexed="64"/>
        </left>
        <right style="thin">
          <color indexed="64"/>
        </right>
        <top style="thin">
          <color indexed="64"/>
        </top>
        <bottom style="thin">
          <color indexed="64"/>
        </bottom>
      </border>
    </dxf>
    <dxf>
      <font>
        <b val="0"/>
        <i val="0"/>
        <condense val="0"/>
        <extend val="0"/>
      </font>
    </dxf>
    <dxf>
      <fill>
        <patternFill>
          <bgColor indexed="13"/>
        </patternFill>
      </fill>
      <border>
        <left style="thin">
          <color indexed="64"/>
        </left>
        <right style="thin">
          <color indexed="64"/>
        </right>
        <top style="thin">
          <color indexed="64"/>
        </top>
        <bottom style="thin">
          <color indexed="64"/>
        </bottom>
      </border>
    </dxf>
    <dxf>
      <fill>
        <patternFill>
          <bgColor indexed="13"/>
        </patternFill>
      </fill>
      <border>
        <left style="thin">
          <color indexed="64"/>
        </left>
        <right style="thin">
          <color indexed="64"/>
        </right>
        <top style="thin">
          <color indexed="64"/>
        </top>
        <bottom style="thin">
          <color indexed="64"/>
        </bottom>
      </border>
    </dxf>
    <dxf>
      <fill>
        <patternFill>
          <bgColor indexed="13"/>
        </patternFill>
      </fill>
      <border>
        <left style="thin">
          <color indexed="64"/>
        </left>
        <right style="thin">
          <color indexed="64"/>
        </right>
        <top style="thin">
          <color indexed="64"/>
        </top>
        <bottom style="thin">
          <color indexed="64"/>
        </bottom>
      </border>
    </dxf>
    <dxf>
      <fill>
        <patternFill>
          <bgColor indexed="42"/>
        </patternFill>
      </fill>
    </dxf>
    <dxf>
      <font>
        <condense val="0"/>
        <extend val="0"/>
        <color indexed="10"/>
      </font>
    </dxf>
    <dxf>
      <font>
        <strike/>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val="0"/>
        <i val="0"/>
        <condense val="0"/>
        <extend val="0"/>
      </font>
    </dxf>
    <dxf>
      <fill>
        <patternFill>
          <bgColor indexed="13"/>
        </patternFill>
      </fill>
      <border>
        <left style="thin">
          <color indexed="64"/>
        </left>
        <right style="thin">
          <color indexed="64"/>
        </right>
        <top style="thin">
          <color indexed="64"/>
        </top>
        <bottom style="thin">
          <color indexed="64"/>
        </bottom>
      </border>
    </dxf>
    <dxf>
      <fill>
        <patternFill>
          <bgColor indexed="13"/>
        </patternFill>
      </fill>
      <border>
        <left style="thin">
          <color indexed="64"/>
        </left>
        <right style="thin">
          <color indexed="64"/>
        </right>
        <top style="thin">
          <color indexed="64"/>
        </top>
        <bottom style="thin">
          <color indexed="64"/>
        </bottom>
      </border>
    </dxf>
    <dxf>
      <fill>
        <patternFill>
          <bgColor indexed="13"/>
        </patternFill>
      </fill>
      <border>
        <left style="thin">
          <color indexed="64"/>
        </left>
        <right style="thin">
          <color indexed="64"/>
        </right>
        <top style="thin">
          <color indexed="64"/>
        </top>
        <bottom style="thin">
          <color indexed="64"/>
        </bottom>
      </border>
    </dxf>
    <dxf>
      <fill>
        <patternFill>
          <bgColor indexed="42"/>
        </patternFill>
      </fill>
    </dxf>
    <dxf>
      <font>
        <condense val="0"/>
        <extend val="0"/>
        <color indexed="10"/>
      </font>
    </dxf>
    <dxf>
      <font>
        <strike/>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val="0"/>
        <i val="0"/>
        <condense val="0"/>
        <extend val="0"/>
      </font>
    </dxf>
    <dxf>
      <fill>
        <patternFill>
          <bgColor indexed="13"/>
        </patternFill>
      </fill>
      <border>
        <left style="thin">
          <color indexed="64"/>
        </left>
        <right style="thin">
          <color indexed="64"/>
        </right>
        <top style="thin">
          <color indexed="64"/>
        </top>
        <bottom style="thin">
          <color indexed="64"/>
        </bottom>
      </border>
    </dxf>
    <dxf>
      <fill>
        <patternFill>
          <bgColor indexed="13"/>
        </patternFill>
      </fill>
      <border>
        <left style="thin">
          <color indexed="64"/>
        </left>
        <right style="thin">
          <color indexed="64"/>
        </right>
        <top style="thin">
          <color indexed="64"/>
        </top>
        <bottom style="thin">
          <color indexed="64"/>
        </bottom>
      </border>
    </dxf>
    <dxf>
      <fill>
        <patternFill>
          <bgColor indexed="13"/>
        </patternFill>
      </fill>
      <border>
        <left style="thin">
          <color indexed="64"/>
        </left>
        <right style="thin">
          <color indexed="64"/>
        </right>
        <top style="thin">
          <color indexed="64"/>
        </top>
        <bottom style="thin">
          <color indexed="64"/>
        </bottom>
      </border>
    </dxf>
    <dxf>
      <fill>
        <patternFill>
          <bgColor indexed="42"/>
        </patternFill>
      </fill>
    </dxf>
    <dxf>
      <font>
        <condense val="0"/>
        <extend val="0"/>
        <color indexed="10"/>
      </font>
    </dxf>
    <dxf>
      <font>
        <strike/>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50-EC42-11CE-9E0D-00AA006002F3}" ax:persistence="persistStreamInit" r:id="rId1"/>
</file>

<file path=xl/activeX/activeX20.xml><?xml version="1.0" encoding="utf-8"?>
<ax:ocx xmlns:ax="http://schemas.microsoft.com/office/2006/activeX" xmlns:r="http://schemas.openxmlformats.org/officeDocument/2006/relationships" ax:classid="{8BD21D5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8BD21D50-EC42-11CE-9E0D-00AA006002F3}" ax:persistence="persistStreamInit" r:id="rId1"/>
</file>

<file path=xl/activeX/activeX25.xml><?xml version="1.0" encoding="utf-8"?>
<ax:ocx xmlns:ax="http://schemas.microsoft.com/office/2006/activeX" xmlns:r="http://schemas.openxmlformats.org/officeDocument/2006/relationships" ax:classid="{8BD21D5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3" Type="http://schemas.openxmlformats.org/officeDocument/2006/relationships/image" Target="../media/image28.png"/><Relationship Id="rId2" Type="http://schemas.openxmlformats.org/officeDocument/2006/relationships/image" Target="../media/image27.png"/><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emf"/><Relationship Id="rId7" Type="http://schemas.openxmlformats.org/officeDocument/2006/relationships/image" Target="../media/image10.emf"/><Relationship Id="rId2" Type="http://schemas.openxmlformats.org/officeDocument/2006/relationships/image" Target="../media/image3.emf"/><Relationship Id="rId1" Type="http://schemas.openxmlformats.org/officeDocument/2006/relationships/image" Target="../media/image8.emf"/><Relationship Id="rId6" Type="http://schemas.openxmlformats.org/officeDocument/2006/relationships/image" Target="../media/image9.emf"/><Relationship Id="rId5" Type="http://schemas.openxmlformats.org/officeDocument/2006/relationships/image" Target="../media/image7.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2.emf"/><Relationship Id="rId7" Type="http://schemas.openxmlformats.org/officeDocument/2006/relationships/image" Target="../media/image14.emf"/><Relationship Id="rId2" Type="http://schemas.openxmlformats.org/officeDocument/2006/relationships/image" Target="../media/image3.emf"/><Relationship Id="rId1" Type="http://schemas.openxmlformats.org/officeDocument/2006/relationships/image" Target="../media/image12.emf"/><Relationship Id="rId6" Type="http://schemas.openxmlformats.org/officeDocument/2006/relationships/image" Target="../media/image13.emf"/><Relationship Id="rId5" Type="http://schemas.openxmlformats.org/officeDocument/2006/relationships/image" Target="../media/image11.emf"/><Relationship Id="rId4"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image" Target="../media/image22.emf"/><Relationship Id="rId7" Type="http://schemas.openxmlformats.org/officeDocument/2006/relationships/image" Target="../media/image18.emf"/><Relationship Id="rId2" Type="http://schemas.openxmlformats.org/officeDocument/2006/relationships/image" Target="../media/image24.emf"/><Relationship Id="rId1" Type="http://schemas.openxmlformats.org/officeDocument/2006/relationships/image" Target="../media/image23.emf"/><Relationship Id="rId6" Type="http://schemas.openxmlformats.org/officeDocument/2006/relationships/image" Target="../media/image19.emf"/><Relationship Id="rId11" Type="http://schemas.openxmlformats.org/officeDocument/2006/relationships/image" Target="../media/image3.emf"/><Relationship Id="rId5" Type="http://schemas.openxmlformats.org/officeDocument/2006/relationships/image" Target="../media/image20.emf"/><Relationship Id="rId10" Type="http://schemas.openxmlformats.org/officeDocument/2006/relationships/image" Target="../media/image15.emf"/><Relationship Id="rId4" Type="http://schemas.openxmlformats.org/officeDocument/2006/relationships/image" Target="../media/image21.emf"/><Relationship Id="rId9" Type="http://schemas.openxmlformats.org/officeDocument/2006/relationships/image" Target="../media/image16.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5.emf"/><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7</xdr:row>
          <xdr:rowOff>104775</xdr:rowOff>
        </xdr:from>
        <xdr:to>
          <xdr:col>8</xdr:col>
          <xdr:colOff>390525</xdr:colOff>
          <xdr:row>9</xdr:row>
          <xdr:rowOff>57150</xdr:rowOff>
        </xdr:to>
        <xdr:sp macro="" textlink="">
          <xdr:nvSpPr>
            <xdr:cNvPr id="2080" name="CommandButton1" hidden="1">
              <a:extLst>
                <a:ext uri="{63B3BB69-23CF-44E3-9099-C40C66FF867C}">
                  <a14:compatExt spid="_x0000_s208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142875</xdr:rowOff>
        </xdr:from>
        <xdr:to>
          <xdr:col>3</xdr:col>
          <xdr:colOff>28575</xdr:colOff>
          <xdr:row>5</xdr:row>
          <xdr:rowOff>38100</xdr:rowOff>
        </xdr:to>
        <xdr:sp macro="" textlink="">
          <xdr:nvSpPr>
            <xdr:cNvPr id="2085" name="ComboBox1" hidden="1">
              <a:extLst>
                <a:ext uri="{63B3BB69-23CF-44E3-9099-C40C66FF867C}">
                  <a14:compatExt spid="_x0000_s208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10</xdr:row>
          <xdr:rowOff>133350</xdr:rowOff>
        </xdr:from>
        <xdr:to>
          <xdr:col>2</xdr:col>
          <xdr:colOff>190500</xdr:colOff>
          <xdr:row>12</xdr:row>
          <xdr:rowOff>47625</xdr:rowOff>
        </xdr:to>
        <xdr:sp macro="" textlink="">
          <xdr:nvSpPr>
            <xdr:cNvPr id="2087" name="ComboBox2" hidden="1">
              <a:extLst>
                <a:ext uri="{63B3BB69-23CF-44E3-9099-C40C66FF867C}">
                  <a14:compatExt spid="_x0000_s208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21</xdr:row>
          <xdr:rowOff>142875</xdr:rowOff>
        </xdr:from>
        <xdr:to>
          <xdr:col>7</xdr:col>
          <xdr:colOff>200025</xdr:colOff>
          <xdr:row>23</xdr:row>
          <xdr:rowOff>28575</xdr:rowOff>
        </xdr:to>
        <xdr:sp macro="" textlink="">
          <xdr:nvSpPr>
            <xdr:cNvPr id="2091" name="ComboBox3" hidden="1">
              <a:extLst>
                <a:ext uri="{63B3BB69-23CF-44E3-9099-C40C66FF867C}">
                  <a14:compatExt spid="_x0000_s209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15</xdr:row>
          <xdr:rowOff>28575</xdr:rowOff>
        </xdr:from>
        <xdr:to>
          <xdr:col>9</xdr:col>
          <xdr:colOff>0</xdr:colOff>
          <xdr:row>16</xdr:row>
          <xdr:rowOff>152400</xdr:rowOff>
        </xdr:to>
        <xdr:sp macro="" textlink="">
          <xdr:nvSpPr>
            <xdr:cNvPr id="2122" name="OptionButton1" hidden="1">
              <a:extLst>
                <a:ext uri="{63B3BB69-23CF-44E3-9099-C40C66FF867C}">
                  <a14:compatExt spid="_x0000_s2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16</xdr:row>
          <xdr:rowOff>142875</xdr:rowOff>
        </xdr:from>
        <xdr:to>
          <xdr:col>8</xdr:col>
          <xdr:colOff>609600</xdr:colOff>
          <xdr:row>18</xdr:row>
          <xdr:rowOff>28575</xdr:rowOff>
        </xdr:to>
        <xdr:sp macro="" textlink="">
          <xdr:nvSpPr>
            <xdr:cNvPr id="2123" name="OptionButton2" hidden="1">
              <a:extLst>
                <a:ext uri="{63B3BB69-23CF-44E3-9099-C40C66FF867C}">
                  <a14:compatExt spid="_x0000_s2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11</xdr:row>
          <xdr:rowOff>19050</xdr:rowOff>
        </xdr:from>
        <xdr:to>
          <xdr:col>8</xdr:col>
          <xdr:colOff>409575</xdr:colOff>
          <xdr:row>12</xdr:row>
          <xdr:rowOff>57150</xdr:rowOff>
        </xdr:to>
        <xdr:sp macro="" textlink="">
          <xdr:nvSpPr>
            <xdr:cNvPr id="2126" name="Button 78" hidden="1">
              <a:extLst>
                <a:ext uri="{63B3BB69-23CF-44E3-9099-C40C66FF867C}">
                  <a14:compatExt spid="_x0000_s21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Data</a:t>
              </a:r>
            </a:p>
            <a:p>
              <a:pPr algn="ctr" rtl="0">
                <a:defRPr sz="1000"/>
              </a:pP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7</xdr:row>
          <xdr:rowOff>104775</xdr:rowOff>
        </xdr:from>
        <xdr:to>
          <xdr:col>8</xdr:col>
          <xdr:colOff>390525</xdr:colOff>
          <xdr:row>9</xdr:row>
          <xdr:rowOff>57150</xdr:rowOff>
        </xdr:to>
        <xdr:sp macro="" textlink="">
          <xdr:nvSpPr>
            <xdr:cNvPr id="4099" name="CommandButton1" hidden="1">
              <a:extLst>
                <a:ext uri="{63B3BB69-23CF-44E3-9099-C40C66FF867C}">
                  <a14:compatExt spid="_x0000_s409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142875</xdr:rowOff>
        </xdr:from>
        <xdr:to>
          <xdr:col>3</xdr:col>
          <xdr:colOff>38100</xdr:colOff>
          <xdr:row>5</xdr:row>
          <xdr:rowOff>38100</xdr:rowOff>
        </xdr:to>
        <xdr:sp macro="" textlink="">
          <xdr:nvSpPr>
            <xdr:cNvPr id="4100" name="ComboBox1" hidden="1">
              <a:extLst>
                <a:ext uri="{63B3BB69-23CF-44E3-9099-C40C66FF867C}">
                  <a14:compatExt spid="_x0000_s410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10</xdr:row>
          <xdr:rowOff>133350</xdr:rowOff>
        </xdr:from>
        <xdr:to>
          <xdr:col>2</xdr:col>
          <xdr:colOff>152400</xdr:colOff>
          <xdr:row>12</xdr:row>
          <xdr:rowOff>47625</xdr:rowOff>
        </xdr:to>
        <xdr:sp macro="" textlink="">
          <xdr:nvSpPr>
            <xdr:cNvPr id="4101" name="ComboBox2" hidden="1">
              <a:extLst>
                <a:ext uri="{63B3BB69-23CF-44E3-9099-C40C66FF867C}">
                  <a14:compatExt spid="_x0000_s410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21</xdr:row>
          <xdr:rowOff>142875</xdr:rowOff>
        </xdr:from>
        <xdr:to>
          <xdr:col>7</xdr:col>
          <xdr:colOff>200025</xdr:colOff>
          <xdr:row>23</xdr:row>
          <xdr:rowOff>28575</xdr:rowOff>
        </xdr:to>
        <xdr:sp macro="" textlink="">
          <xdr:nvSpPr>
            <xdr:cNvPr id="4103" name="ComboBox3" hidden="1">
              <a:extLst>
                <a:ext uri="{63B3BB69-23CF-44E3-9099-C40C66FF867C}">
                  <a14:compatExt spid="_x0000_s410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xdr:row>
          <xdr:rowOff>47625</xdr:rowOff>
        </xdr:from>
        <xdr:to>
          <xdr:col>5</xdr:col>
          <xdr:colOff>190500</xdr:colOff>
          <xdr:row>5</xdr:row>
          <xdr:rowOff>123825</xdr:rowOff>
        </xdr:to>
        <xdr:sp macro="" textlink="">
          <xdr:nvSpPr>
            <xdr:cNvPr id="4110" name="CommandButton2" hidden="1">
              <a:extLst>
                <a:ext uri="{63B3BB69-23CF-44E3-9099-C40C66FF867C}">
                  <a14:compatExt spid="_x0000_s4110"/>
                </a:ext>
              </a:extLst>
            </xdr:cNvPr>
            <xdr:cNvSpPr/>
          </xdr:nvSpPr>
          <xdr:spPr>
            <a:xfrm>
              <a:off x="0" y="0"/>
              <a:ext cx="0" cy="0"/>
            </a:xfrm>
            <a:prstGeom prst="rect">
              <a:avLst/>
            </a:prstGeom>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15</xdr:row>
          <xdr:rowOff>57150</xdr:rowOff>
        </xdr:from>
        <xdr:to>
          <xdr:col>8</xdr:col>
          <xdr:colOff>276225</xdr:colOff>
          <xdr:row>16</xdr:row>
          <xdr:rowOff>123825</xdr:rowOff>
        </xdr:to>
        <xdr:sp macro="" textlink="">
          <xdr:nvSpPr>
            <xdr:cNvPr id="4115" name="OptionButton1" hidden="1">
              <a:extLst>
                <a:ext uri="{63B3BB69-23CF-44E3-9099-C40C66FF867C}">
                  <a14:compatExt spid="_x0000_s4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16</xdr:row>
          <xdr:rowOff>142875</xdr:rowOff>
        </xdr:from>
        <xdr:to>
          <xdr:col>8</xdr:col>
          <xdr:colOff>342900</xdr:colOff>
          <xdr:row>18</xdr:row>
          <xdr:rowOff>28575</xdr:rowOff>
        </xdr:to>
        <xdr:sp macro="" textlink="">
          <xdr:nvSpPr>
            <xdr:cNvPr id="4118" name="OptionButton2" hidden="1">
              <a:extLst>
                <a:ext uri="{63B3BB69-23CF-44E3-9099-C40C66FF867C}">
                  <a14:compatExt spid="_x0000_s4118"/>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7</xdr:row>
          <xdr:rowOff>104775</xdr:rowOff>
        </xdr:from>
        <xdr:to>
          <xdr:col>8</xdr:col>
          <xdr:colOff>390525</xdr:colOff>
          <xdr:row>9</xdr:row>
          <xdr:rowOff>57150</xdr:rowOff>
        </xdr:to>
        <xdr:sp macro="" textlink="">
          <xdr:nvSpPr>
            <xdr:cNvPr id="5123" name="CommandButton1" hidden="1">
              <a:extLst>
                <a:ext uri="{63B3BB69-23CF-44E3-9099-C40C66FF867C}">
                  <a14:compatExt spid="_x0000_s512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142875</xdr:rowOff>
        </xdr:from>
        <xdr:to>
          <xdr:col>3</xdr:col>
          <xdr:colOff>57150</xdr:colOff>
          <xdr:row>5</xdr:row>
          <xdr:rowOff>38100</xdr:rowOff>
        </xdr:to>
        <xdr:sp macro="" textlink="">
          <xdr:nvSpPr>
            <xdr:cNvPr id="5124" name="ComboBox1" hidden="1">
              <a:extLst>
                <a:ext uri="{63B3BB69-23CF-44E3-9099-C40C66FF867C}">
                  <a14:compatExt spid="_x0000_s512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10</xdr:row>
          <xdr:rowOff>133350</xdr:rowOff>
        </xdr:from>
        <xdr:to>
          <xdr:col>2</xdr:col>
          <xdr:colOff>171450</xdr:colOff>
          <xdr:row>12</xdr:row>
          <xdr:rowOff>47625</xdr:rowOff>
        </xdr:to>
        <xdr:sp macro="" textlink="">
          <xdr:nvSpPr>
            <xdr:cNvPr id="5125" name="ComboBox2" hidden="1">
              <a:extLst>
                <a:ext uri="{63B3BB69-23CF-44E3-9099-C40C66FF867C}">
                  <a14:compatExt spid="_x0000_s512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21</xdr:row>
          <xdr:rowOff>142875</xdr:rowOff>
        </xdr:from>
        <xdr:to>
          <xdr:col>7</xdr:col>
          <xdr:colOff>200025</xdr:colOff>
          <xdr:row>23</xdr:row>
          <xdr:rowOff>28575</xdr:rowOff>
        </xdr:to>
        <xdr:sp macro="" textlink="">
          <xdr:nvSpPr>
            <xdr:cNvPr id="5127" name="ComboBox3" hidden="1">
              <a:extLst>
                <a:ext uri="{63B3BB69-23CF-44E3-9099-C40C66FF867C}">
                  <a14:compatExt spid="_x0000_s512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xdr:row>
          <xdr:rowOff>47625</xdr:rowOff>
        </xdr:from>
        <xdr:to>
          <xdr:col>5</xdr:col>
          <xdr:colOff>190500</xdr:colOff>
          <xdr:row>5</xdr:row>
          <xdr:rowOff>123825</xdr:rowOff>
        </xdr:to>
        <xdr:sp macro="" textlink="">
          <xdr:nvSpPr>
            <xdr:cNvPr id="5133" name="CommandButton2" hidden="1">
              <a:extLst>
                <a:ext uri="{63B3BB69-23CF-44E3-9099-C40C66FF867C}">
                  <a14:compatExt spid="_x0000_s5133"/>
                </a:ext>
              </a:extLst>
            </xdr:cNvPr>
            <xdr:cNvSpPr/>
          </xdr:nvSpPr>
          <xdr:spPr>
            <a:xfrm>
              <a:off x="0" y="0"/>
              <a:ext cx="0" cy="0"/>
            </a:xfrm>
            <a:prstGeom prst="rect">
              <a:avLst/>
            </a:prstGeom>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15</xdr:row>
          <xdr:rowOff>57150</xdr:rowOff>
        </xdr:from>
        <xdr:to>
          <xdr:col>8</xdr:col>
          <xdr:colOff>485775</xdr:colOff>
          <xdr:row>16</xdr:row>
          <xdr:rowOff>123825</xdr:rowOff>
        </xdr:to>
        <xdr:sp macro="" textlink="">
          <xdr:nvSpPr>
            <xdr:cNvPr id="5142" name="OptionButton1" hidden="1">
              <a:extLst>
                <a:ext uri="{63B3BB69-23CF-44E3-9099-C40C66FF867C}">
                  <a14:compatExt spid="_x0000_s51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16</xdr:row>
          <xdr:rowOff>142875</xdr:rowOff>
        </xdr:from>
        <xdr:to>
          <xdr:col>8</xdr:col>
          <xdr:colOff>409575</xdr:colOff>
          <xdr:row>18</xdr:row>
          <xdr:rowOff>28575</xdr:rowOff>
        </xdr:to>
        <xdr:sp macro="" textlink="">
          <xdr:nvSpPr>
            <xdr:cNvPr id="5143" name="OptionButton2" hidden="1">
              <a:extLst>
                <a:ext uri="{63B3BB69-23CF-44E3-9099-C40C66FF867C}">
                  <a14:compatExt spid="_x0000_s5143"/>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16</xdr:row>
          <xdr:rowOff>0</xdr:rowOff>
        </xdr:from>
        <xdr:to>
          <xdr:col>3</xdr:col>
          <xdr:colOff>47625</xdr:colOff>
          <xdr:row>17</xdr:row>
          <xdr:rowOff>28575</xdr:rowOff>
        </xdr:to>
        <xdr:sp macro="" textlink="">
          <xdr:nvSpPr>
            <xdr:cNvPr id="3073" name="ComboBox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0</xdr:rowOff>
        </xdr:from>
        <xdr:to>
          <xdr:col>3</xdr:col>
          <xdr:colOff>47625</xdr:colOff>
          <xdr:row>18</xdr:row>
          <xdr:rowOff>28575</xdr:rowOff>
        </xdr:to>
        <xdr:sp macro="" textlink="">
          <xdr:nvSpPr>
            <xdr:cNvPr id="3074" name="ComboBox2" hidden="1">
              <a:extLst>
                <a:ext uri="{63B3BB69-23CF-44E3-9099-C40C66FF867C}">
                  <a14:compatExt spid="_x0000_s30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180975</xdr:rowOff>
        </xdr:from>
        <xdr:to>
          <xdr:col>3</xdr:col>
          <xdr:colOff>47625</xdr:colOff>
          <xdr:row>19</xdr:row>
          <xdr:rowOff>19050</xdr:rowOff>
        </xdr:to>
        <xdr:sp macro="" textlink="">
          <xdr:nvSpPr>
            <xdr:cNvPr id="3075" name="ComboBox3" hidden="1">
              <a:extLst>
                <a:ext uri="{63B3BB69-23CF-44E3-9099-C40C66FF867C}">
                  <a14:compatExt spid="_x0000_s30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180975</xdr:rowOff>
        </xdr:from>
        <xdr:to>
          <xdr:col>3</xdr:col>
          <xdr:colOff>47625</xdr:colOff>
          <xdr:row>20</xdr:row>
          <xdr:rowOff>19050</xdr:rowOff>
        </xdr:to>
        <xdr:sp macro="" textlink="">
          <xdr:nvSpPr>
            <xdr:cNvPr id="3076" name="ComboBox4" hidden="1">
              <a:extLst>
                <a:ext uri="{63B3BB69-23CF-44E3-9099-C40C66FF867C}">
                  <a14:compatExt spid="_x0000_s30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180975</xdr:rowOff>
        </xdr:from>
        <xdr:to>
          <xdr:col>3</xdr:col>
          <xdr:colOff>47625</xdr:colOff>
          <xdr:row>21</xdr:row>
          <xdr:rowOff>28575</xdr:rowOff>
        </xdr:to>
        <xdr:sp macro="" textlink="">
          <xdr:nvSpPr>
            <xdr:cNvPr id="3077" name="ComboBox5" hidden="1">
              <a:extLst>
                <a:ext uri="{63B3BB69-23CF-44E3-9099-C40C66FF867C}">
                  <a14:compatExt spid="_x0000_s30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10</xdr:col>
          <xdr:colOff>76200</xdr:colOff>
          <xdr:row>17</xdr:row>
          <xdr:rowOff>28575</xdr:rowOff>
        </xdr:to>
        <xdr:sp macro="" textlink="">
          <xdr:nvSpPr>
            <xdr:cNvPr id="3081" name="ComboBox6" hidden="1">
              <a:extLst>
                <a:ext uri="{63B3BB69-23CF-44E3-9099-C40C66FF867C}">
                  <a14:compatExt spid="_x0000_s30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10</xdr:col>
          <xdr:colOff>76200</xdr:colOff>
          <xdr:row>18</xdr:row>
          <xdr:rowOff>28575</xdr:rowOff>
        </xdr:to>
        <xdr:sp macro="" textlink="">
          <xdr:nvSpPr>
            <xdr:cNvPr id="3086" name="ComboBox7" hidden="1">
              <a:extLst>
                <a:ext uri="{63B3BB69-23CF-44E3-9099-C40C66FF867C}">
                  <a14:compatExt spid="_x0000_s3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180975</xdr:rowOff>
        </xdr:from>
        <xdr:to>
          <xdr:col>10</xdr:col>
          <xdr:colOff>76200</xdr:colOff>
          <xdr:row>19</xdr:row>
          <xdr:rowOff>19050</xdr:rowOff>
        </xdr:to>
        <xdr:sp macro="" textlink="">
          <xdr:nvSpPr>
            <xdr:cNvPr id="3087" name="ComboBox8" hidden="1">
              <a:extLst>
                <a:ext uri="{63B3BB69-23CF-44E3-9099-C40C66FF867C}">
                  <a14:compatExt spid="_x0000_s30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18</xdr:row>
          <xdr:rowOff>180975</xdr:rowOff>
        </xdr:from>
        <xdr:to>
          <xdr:col>10</xdr:col>
          <xdr:colOff>76200</xdr:colOff>
          <xdr:row>20</xdr:row>
          <xdr:rowOff>19050</xdr:rowOff>
        </xdr:to>
        <xdr:sp macro="" textlink="">
          <xdr:nvSpPr>
            <xdr:cNvPr id="3088" name="ComboBox9" hidden="1">
              <a:extLst>
                <a:ext uri="{63B3BB69-23CF-44E3-9099-C40C66FF867C}">
                  <a14:compatExt spid="_x0000_s30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180975</xdr:rowOff>
        </xdr:from>
        <xdr:to>
          <xdr:col>10</xdr:col>
          <xdr:colOff>76200</xdr:colOff>
          <xdr:row>21</xdr:row>
          <xdr:rowOff>28575</xdr:rowOff>
        </xdr:to>
        <xdr:sp macro="" textlink="">
          <xdr:nvSpPr>
            <xdr:cNvPr id="3089" name="ComboBox10" hidden="1">
              <a:extLst>
                <a:ext uri="{63B3BB69-23CF-44E3-9099-C40C66FF867C}">
                  <a14:compatExt spid="_x0000_s30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171450</xdr:rowOff>
        </xdr:from>
        <xdr:to>
          <xdr:col>3</xdr:col>
          <xdr:colOff>47625</xdr:colOff>
          <xdr:row>22</xdr:row>
          <xdr:rowOff>28575</xdr:rowOff>
        </xdr:to>
        <xdr:sp macro="" textlink="">
          <xdr:nvSpPr>
            <xdr:cNvPr id="3090" name="ComboBox11" hidden="1">
              <a:extLst>
                <a:ext uri="{63B3BB69-23CF-44E3-9099-C40C66FF867C}">
                  <a14:compatExt spid="_x0000_s30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171450</xdr:rowOff>
        </xdr:from>
        <xdr:to>
          <xdr:col>3</xdr:col>
          <xdr:colOff>47625</xdr:colOff>
          <xdr:row>23</xdr:row>
          <xdr:rowOff>28575</xdr:rowOff>
        </xdr:to>
        <xdr:sp macro="" textlink="">
          <xdr:nvSpPr>
            <xdr:cNvPr id="3091" name="ComboBox12" hidden="1">
              <a:extLst>
                <a:ext uri="{63B3BB69-23CF-44E3-9099-C40C66FF867C}">
                  <a14:compatExt spid="_x0000_s30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171450</xdr:rowOff>
        </xdr:from>
        <xdr:to>
          <xdr:col>3</xdr:col>
          <xdr:colOff>47625</xdr:colOff>
          <xdr:row>24</xdr:row>
          <xdr:rowOff>19050</xdr:rowOff>
        </xdr:to>
        <xdr:sp macro="" textlink="">
          <xdr:nvSpPr>
            <xdr:cNvPr id="3092" name="ComboBox13" hidden="1">
              <a:extLst>
                <a:ext uri="{63B3BB69-23CF-44E3-9099-C40C66FF867C}">
                  <a14:compatExt spid="_x0000_s30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xdr:row>
          <xdr:rowOff>171450</xdr:rowOff>
        </xdr:from>
        <xdr:to>
          <xdr:col>3</xdr:col>
          <xdr:colOff>47625</xdr:colOff>
          <xdr:row>25</xdr:row>
          <xdr:rowOff>19050</xdr:rowOff>
        </xdr:to>
        <xdr:sp macro="" textlink="">
          <xdr:nvSpPr>
            <xdr:cNvPr id="3093" name="ComboBox14" hidden="1">
              <a:extLst>
                <a:ext uri="{63B3BB69-23CF-44E3-9099-C40C66FF867C}">
                  <a14:compatExt spid="_x0000_s30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171450</xdr:rowOff>
        </xdr:from>
        <xdr:to>
          <xdr:col>3</xdr:col>
          <xdr:colOff>47625</xdr:colOff>
          <xdr:row>26</xdr:row>
          <xdr:rowOff>0</xdr:rowOff>
        </xdr:to>
        <xdr:sp macro="" textlink="">
          <xdr:nvSpPr>
            <xdr:cNvPr id="3094" name="ComboBox15" hidden="1">
              <a:extLst>
                <a:ext uri="{63B3BB69-23CF-44E3-9099-C40C66FF867C}">
                  <a14:compatExt spid="_x0000_s30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171450</xdr:rowOff>
        </xdr:from>
        <xdr:to>
          <xdr:col>10</xdr:col>
          <xdr:colOff>76200</xdr:colOff>
          <xdr:row>22</xdr:row>
          <xdr:rowOff>47625</xdr:rowOff>
        </xdr:to>
        <xdr:sp macro="" textlink="">
          <xdr:nvSpPr>
            <xdr:cNvPr id="3095" name="ComboBox16" hidden="1">
              <a:extLst>
                <a:ext uri="{63B3BB69-23CF-44E3-9099-C40C66FF867C}">
                  <a14:compatExt spid="_x0000_s30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10</xdr:col>
          <xdr:colOff>76200</xdr:colOff>
          <xdr:row>23</xdr:row>
          <xdr:rowOff>19050</xdr:rowOff>
        </xdr:to>
        <xdr:sp macro="" textlink="">
          <xdr:nvSpPr>
            <xdr:cNvPr id="3096" name="ComboBox17" hidden="1">
              <a:extLst>
                <a:ext uri="{63B3BB69-23CF-44E3-9099-C40C66FF867C}">
                  <a14:compatExt spid="_x0000_s30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171450</xdr:rowOff>
        </xdr:from>
        <xdr:to>
          <xdr:col>10</xdr:col>
          <xdr:colOff>76200</xdr:colOff>
          <xdr:row>24</xdr:row>
          <xdr:rowOff>19050</xdr:rowOff>
        </xdr:to>
        <xdr:sp macro="" textlink="">
          <xdr:nvSpPr>
            <xdr:cNvPr id="3097" name="ComboBox18" hidden="1">
              <a:extLst>
                <a:ext uri="{63B3BB69-23CF-44E3-9099-C40C66FF867C}">
                  <a14:compatExt spid="_x0000_s3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23</xdr:row>
          <xdr:rowOff>171450</xdr:rowOff>
        </xdr:from>
        <xdr:to>
          <xdr:col>10</xdr:col>
          <xdr:colOff>76200</xdr:colOff>
          <xdr:row>25</xdr:row>
          <xdr:rowOff>19050</xdr:rowOff>
        </xdr:to>
        <xdr:sp macro="" textlink="">
          <xdr:nvSpPr>
            <xdr:cNvPr id="3098" name="ComboBox19" hidden="1">
              <a:extLst>
                <a:ext uri="{63B3BB69-23CF-44E3-9099-C40C66FF867C}">
                  <a14:compatExt spid="_x0000_s30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171450</xdr:rowOff>
        </xdr:from>
        <xdr:to>
          <xdr:col>10</xdr:col>
          <xdr:colOff>76200</xdr:colOff>
          <xdr:row>26</xdr:row>
          <xdr:rowOff>0</xdr:rowOff>
        </xdr:to>
        <xdr:sp macro="" textlink="">
          <xdr:nvSpPr>
            <xdr:cNvPr id="3099" name="ComboBox20" hidden="1">
              <a:extLst>
                <a:ext uri="{63B3BB69-23CF-44E3-9099-C40C66FF867C}">
                  <a14:compatExt spid="_x0000_s30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438150</xdr:colOff>
          <xdr:row>10</xdr:row>
          <xdr:rowOff>142875</xdr:rowOff>
        </xdr:from>
        <xdr:to>
          <xdr:col>9</xdr:col>
          <xdr:colOff>238125</xdr:colOff>
          <xdr:row>12</xdr:row>
          <xdr:rowOff>57150</xdr:rowOff>
        </xdr:to>
        <xdr:sp macro="" textlink="">
          <xdr:nvSpPr>
            <xdr:cNvPr id="3101" name="OptionButton1" hidden="1">
              <a:extLst>
                <a:ext uri="{63B3BB69-23CF-44E3-9099-C40C66FF867C}">
                  <a14:compatExt spid="_x0000_s31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438150</xdr:colOff>
          <xdr:row>12</xdr:row>
          <xdr:rowOff>114300</xdr:rowOff>
        </xdr:from>
        <xdr:to>
          <xdr:col>9</xdr:col>
          <xdr:colOff>247650</xdr:colOff>
          <xdr:row>14</xdr:row>
          <xdr:rowOff>9525</xdr:rowOff>
        </xdr:to>
        <xdr:sp macro="" textlink="">
          <xdr:nvSpPr>
            <xdr:cNvPr id="3102" name="OptionButton2" hidden="1">
              <a:extLst>
                <a:ext uri="{63B3BB69-23CF-44E3-9099-C40C66FF867C}">
                  <a14:compatExt spid="_x0000_s31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428625</xdr:colOff>
          <xdr:row>7</xdr:row>
          <xdr:rowOff>104775</xdr:rowOff>
        </xdr:from>
        <xdr:to>
          <xdr:col>9</xdr:col>
          <xdr:colOff>600075</xdr:colOff>
          <xdr:row>9</xdr:row>
          <xdr:rowOff>57150</xdr:rowOff>
        </xdr:to>
        <xdr:sp macro="" textlink="">
          <xdr:nvSpPr>
            <xdr:cNvPr id="3104" name="CommandButton1" hidden="1">
              <a:extLst>
                <a:ext uri="{63B3BB69-23CF-44E3-9099-C40C66FF867C}">
                  <a14:compatExt spid="_x0000_s310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638175</xdr:colOff>
          <xdr:row>3</xdr:row>
          <xdr:rowOff>114300</xdr:rowOff>
        </xdr:from>
        <xdr:to>
          <xdr:col>6</xdr:col>
          <xdr:colOff>85725</xdr:colOff>
          <xdr:row>5</xdr:row>
          <xdr:rowOff>28575</xdr:rowOff>
        </xdr:to>
        <xdr:sp macro="" textlink="">
          <xdr:nvSpPr>
            <xdr:cNvPr id="3106" name="CommandButton2" hidden="1">
              <a:extLst>
                <a:ext uri="{63B3BB69-23CF-44E3-9099-C40C66FF867C}">
                  <a14:compatExt spid="_x0000_s3106"/>
                </a:ext>
              </a:extLst>
            </xdr:cNvPr>
            <xdr:cNvSpPr/>
          </xdr:nvSpPr>
          <xdr:spPr>
            <a:xfrm>
              <a:off x="0" y="0"/>
              <a:ext cx="0" cy="0"/>
            </a:xfrm>
            <a:prstGeom prst="rect">
              <a:avLst/>
            </a:prstGeom>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123825</xdr:rowOff>
        </xdr:from>
        <xdr:to>
          <xdr:col>4</xdr:col>
          <xdr:colOff>209550</xdr:colOff>
          <xdr:row>5</xdr:row>
          <xdr:rowOff>19050</xdr:rowOff>
        </xdr:to>
        <xdr:sp macro="" textlink="">
          <xdr:nvSpPr>
            <xdr:cNvPr id="3107" name="ComboBox21" hidden="1">
              <a:extLst>
                <a:ext uri="{63B3BB69-23CF-44E3-9099-C40C66FF867C}">
                  <a14:compatExt spid="_x0000_s3107"/>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3</xdr:col>
          <xdr:colOff>38100</xdr:colOff>
          <xdr:row>9</xdr:row>
          <xdr:rowOff>19050</xdr:rowOff>
        </xdr:to>
        <xdr:sp macro="" textlink="">
          <xdr:nvSpPr>
            <xdr:cNvPr id="6147" name="ComboBox2"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180975</xdr:rowOff>
        </xdr:from>
        <xdr:to>
          <xdr:col>3</xdr:col>
          <xdr:colOff>38100</xdr:colOff>
          <xdr:row>10</xdr:row>
          <xdr:rowOff>9525</xdr:rowOff>
        </xdr:to>
        <xdr:sp macro="" textlink="">
          <xdr:nvSpPr>
            <xdr:cNvPr id="6148" name="ComboBox3"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171450</xdr:rowOff>
        </xdr:from>
        <xdr:to>
          <xdr:col>3</xdr:col>
          <xdr:colOff>38100</xdr:colOff>
          <xdr:row>11</xdr:row>
          <xdr:rowOff>0</xdr:rowOff>
        </xdr:to>
        <xdr:sp macro="" textlink="">
          <xdr:nvSpPr>
            <xdr:cNvPr id="6149" name="ComboBox1"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xdr:row>
          <xdr:rowOff>104775</xdr:rowOff>
        </xdr:from>
        <xdr:to>
          <xdr:col>9</xdr:col>
          <xdr:colOff>104775</xdr:colOff>
          <xdr:row>4</xdr:row>
          <xdr:rowOff>57150</xdr:rowOff>
        </xdr:to>
        <xdr:sp macro="" textlink="">
          <xdr:nvSpPr>
            <xdr:cNvPr id="6152" name="CommandButton1" hidden="1">
              <a:extLst>
                <a:ext uri="{63B3BB69-23CF-44E3-9099-C40C66FF867C}">
                  <a14:compatExt spid="_x0000_s6152"/>
                </a:ext>
              </a:extLst>
            </xdr:cNvPr>
            <xdr:cNvSpPr/>
          </xdr:nvSpPr>
          <xdr:spPr>
            <a:xfrm>
              <a:off x="0" y="0"/>
              <a:ext cx="0" cy="0"/>
            </a:xfrm>
            <a:prstGeom prst="rect">
              <a:avLst/>
            </a:prstGeom>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361950</xdr:colOff>
          <xdr:row>2</xdr:row>
          <xdr:rowOff>123825</xdr:rowOff>
        </xdr:from>
        <xdr:to>
          <xdr:col>6</xdr:col>
          <xdr:colOff>0</xdr:colOff>
          <xdr:row>4</xdr:row>
          <xdr:rowOff>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Data</a:t>
              </a:r>
            </a:p>
            <a:p>
              <a:pPr algn="ctr" rtl="0">
                <a:defRPr sz="1000"/>
              </a:pPr>
              <a:endParaRPr lang="en-US"/>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247650</xdr:colOff>
          <xdr:row>3</xdr:row>
          <xdr:rowOff>0</xdr:rowOff>
        </xdr:from>
        <xdr:to>
          <xdr:col>6</xdr:col>
          <xdr:colOff>0</xdr:colOff>
          <xdr:row>4</xdr:row>
          <xdr:rowOff>38100</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Data</a:t>
              </a:r>
            </a:p>
            <a:p>
              <a:pPr algn="ctr" rtl="0">
                <a:defRPr sz="1000"/>
              </a:pPr>
              <a:endParaRPr lang="en-US"/>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2</xdr:col>
      <xdr:colOff>220980</xdr:colOff>
      <xdr:row>17</xdr:row>
      <xdr:rowOff>53340</xdr:rowOff>
    </xdr:from>
    <xdr:to>
      <xdr:col>3</xdr:col>
      <xdr:colOff>304873</xdr:colOff>
      <xdr:row>18</xdr:row>
      <xdr:rowOff>22879</xdr:rowOff>
    </xdr:to>
    <xdr:pic>
      <xdr:nvPicPr>
        <xdr:cNvPr id="3" name="Picture 2"/>
        <xdr:cNvPicPr>
          <a:picLocks noChangeAspect="1"/>
        </xdr:cNvPicPr>
      </xdr:nvPicPr>
      <xdr:blipFill>
        <a:blip xmlns:r="http://schemas.openxmlformats.org/officeDocument/2006/relationships" r:embed="rId1" cstate="print"/>
        <a:stretch>
          <a:fillRect/>
        </a:stretch>
      </xdr:blipFill>
      <xdr:spPr>
        <a:xfrm>
          <a:off x="1470660" y="2887980"/>
          <a:ext cx="838273" cy="220999"/>
        </a:xfrm>
        <a:prstGeom prst="rect">
          <a:avLst/>
        </a:prstGeom>
      </xdr:spPr>
    </xdr:pic>
    <xdr:clientData/>
  </xdr:twoCellAnchor>
  <xdr:twoCellAnchor editAs="oneCell">
    <xdr:from>
      <xdr:col>2</xdr:col>
      <xdr:colOff>198121</xdr:colOff>
      <xdr:row>21</xdr:row>
      <xdr:rowOff>30480</xdr:rowOff>
    </xdr:from>
    <xdr:to>
      <xdr:col>3</xdr:col>
      <xdr:colOff>309944</xdr:colOff>
      <xdr:row>22</xdr:row>
      <xdr:rowOff>60960</xdr:rowOff>
    </xdr:to>
    <xdr:pic>
      <xdr:nvPicPr>
        <xdr:cNvPr id="4" name="Picture 3"/>
        <xdr:cNvPicPr>
          <a:picLocks noChangeAspect="1"/>
        </xdr:cNvPicPr>
      </xdr:nvPicPr>
      <xdr:blipFill>
        <a:blip xmlns:r="http://schemas.openxmlformats.org/officeDocument/2006/relationships" r:embed="rId2" cstate="print"/>
        <a:stretch>
          <a:fillRect/>
        </a:stretch>
      </xdr:blipFill>
      <xdr:spPr>
        <a:xfrm>
          <a:off x="1447801" y="3444240"/>
          <a:ext cx="866203" cy="236220"/>
        </a:xfrm>
        <a:prstGeom prst="rect">
          <a:avLst/>
        </a:prstGeom>
      </xdr:spPr>
    </xdr:pic>
    <xdr:clientData/>
  </xdr:twoCellAnchor>
  <xdr:twoCellAnchor editAs="oneCell">
    <xdr:from>
      <xdr:col>3</xdr:col>
      <xdr:colOff>769620</xdr:colOff>
      <xdr:row>29</xdr:row>
      <xdr:rowOff>144780</xdr:rowOff>
    </xdr:from>
    <xdr:to>
      <xdr:col>4</xdr:col>
      <xdr:colOff>594433</xdr:colOff>
      <xdr:row>31</xdr:row>
      <xdr:rowOff>30499</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773680" y="4678680"/>
          <a:ext cx="838273" cy="220999"/>
        </a:xfrm>
        <a:prstGeom prst="rect">
          <a:avLst/>
        </a:prstGeom>
      </xdr:spPr>
    </xdr:pic>
    <xdr:clientData/>
  </xdr:twoCellAnchor>
  <xdr:twoCellAnchor editAs="oneCell">
    <xdr:from>
      <xdr:col>4</xdr:col>
      <xdr:colOff>15240</xdr:colOff>
      <xdr:row>23</xdr:row>
      <xdr:rowOff>228600</xdr:rowOff>
    </xdr:from>
    <xdr:to>
      <xdr:col>5</xdr:col>
      <xdr:colOff>114300</xdr:colOff>
      <xdr:row>25</xdr:row>
      <xdr:rowOff>46870</xdr:rowOff>
    </xdr:to>
    <xdr:pic>
      <xdr:nvPicPr>
        <xdr:cNvPr id="8" name="Picture 7"/>
        <xdr:cNvPicPr>
          <a:picLocks noChangeAspect="1"/>
        </xdr:cNvPicPr>
      </xdr:nvPicPr>
      <xdr:blipFill>
        <a:blip xmlns:r="http://schemas.openxmlformats.org/officeDocument/2006/relationships" r:embed="rId3" cstate="print"/>
        <a:stretch>
          <a:fillRect/>
        </a:stretch>
      </xdr:blipFill>
      <xdr:spPr>
        <a:xfrm>
          <a:off x="3032760" y="3916680"/>
          <a:ext cx="716280" cy="229750"/>
        </a:xfrm>
        <a:prstGeom prst="rect">
          <a:avLst/>
        </a:prstGeom>
      </xdr:spPr>
    </xdr:pic>
    <xdr:clientData/>
  </xdr:twoCellAnchor>
</xdr:wsDr>
</file>

<file path=xl/tables/table1.xml><?xml version="1.0" encoding="utf-8"?>
<table xmlns="http://schemas.openxmlformats.org/spreadsheetml/2006/main" id="1" name="Table1" displayName="Table1" ref="A4:E53" totalsRowShown="0" headerRowDxfId="18" dataDxfId="16" headerRowBorderDxfId="17" tableBorderDxfId="15" totalsRowBorderDxfId="14">
  <autoFilter ref="A4:E53"/>
  <sortState ref="A5:E53">
    <sortCondition ref="B4:B53"/>
  </sortState>
  <tableColumns count="5">
    <tableColumn id="1" name="Tile Line" dataDxfId="13"/>
    <tableColumn id="2" name="Station" dataDxfId="12"/>
    <tableColumn id="3" name="Northing" dataDxfId="11"/>
    <tableColumn id="4" name="Easting" dataDxfId="10"/>
    <tableColumn id="5" name="Elevation " dataDxfId="9"/>
  </tableColumns>
  <tableStyleInfo name="TableStyleMedium11" showFirstColumn="0" showLastColumn="0" showRowStripes="1" showColumnStripes="0"/>
</table>
</file>

<file path=xl/tables/table2.xml><?xml version="1.0" encoding="utf-8"?>
<table xmlns="http://schemas.openxmlformats.org/spreadsheetml/2006/main" id="2" name="Table2" displayName="Table2" ref="A4:E54" totalsRowShown="0" headerRowDxfId="8" dataDxfId="6" headerRowBorderDxfId="7" tableBorderDxfId="5">
  <autoFilter ref="A4:E54"/>
  <sortState ref="A5:E54">
    <sortCondition ref="A4:A54"/>
  </sortState>
  <tableColumns count="5">
    <tableColumn id="1" name="Basin" dataDxfId="4"/>
    <tableColumn id="2" name="Description" dataDxfId="3"/>
    <tableColumn id="3" name="Northing" dataDxfId="2"/>
    <tableColumn id="4" name="Easting" dataDxfId="1"/>
    <tableColumn id="5" name="Elevation " dataDxfId="0"/>
  </tableColumns>
  <tableStyleInfo name="TableStyleMedium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ctrlProp" Target="../ctrlProps/ctrlProp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13" Type="http://schemas.openxmlformats.org/officeDocument/2006/relationships/image" Target="../media/image8.emf"/><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1.emf"/><Relationship Id="rId12" Type="http://schemas.openxmlformats.org/officeDocument/2006/relationships/control" Target="../activeX/activeX11.xml"/><Relationship Id="rId17" Type="http://schemas.openxmlformats.org/officeDocument/2006/relationships/image" Target="../media/image10.emf"/><Relationship Id="rId2" Type="http://schemas.openxmlformats.org/officeDocument/2006/relationships/drawing" Target="../drawings/drawing2.xml"/><Relationship Id="rId16" Type="http://schemas.openxmlformats.org/officeDocument/2006/relationships/control" Target="../activeX/activeX13.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image" Target="../media/image3.emf"/><Relationship Id="rId5" Type="http://schemas.openxmlformats.org/officeDocument/2006/relationships/image" Target="../media/image7.emf"/><Relationship Id="rId15" Type="http://schemas.openxmlformats.org/officeDocument/2006/relationships/image" Target="../media/image9.emf"/><Relationship Id="rId10" Type="http://schemas.openxmlformats.org/officeDocument/2006/relationships/control" Target="../activeX/activeX10.xml"/><Relationship Id="rId4" Type="http://schemas.openxmlformats.org/officeDocument/2006/relationships/control" Target="../activeX/activeX7.xml"/><Relationship Id="rId9" Type="http://schemas.openxmlformats.org/officeDocument/2006/relationships/image" Target="../media/image2.emf"/><Relationship Id="rId14" Type="http://schemas.openxmlformats.org/officeDocument/2006/relationships/control" Target="../activeX/activeX12.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12.emf"/><Relationship Id="rId1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image" Target="../media/image1.emf"/><Relationship Id="rId12" Type="http://schemas.openxmlformats.org/officeDocument/2006/relationships/control" Target="../activeX/activeX18.xml"/><Relationship Id="rId17" Type="http://schemas.openxmlformats.org/officeDocument/2006/relationships/image" Target="../media/image14.emf"/><Relationship Id="rId2" Type="http://schemas.openxmlformats.org/officeDocument/2006/relationships/drawing" Target="../drawings/drawing3.xml"/><Relationship Id="rId16" Type="http://schemas.openxmlformats.org/officeDocument/2006/relationships/control" Target="../activeX/activeX20.xml"/><Relationship Id="rId1" Type="http://schemas.openxmlformats.org/officeDocument/2006/relationships/printerSettings" Target="../printerSettings/printerSettings3.bin"/><Relationship Id="rId6" Type="http://schemas.openxmlformats.org/officeDocument/2006/relationships/control" Target="../activeX/activeX15.xml"/><Relationship Id="rId11" Type="http://schemas.openxmlformats.org/officeDocument/2006/relationships/image" Target="../media/image3.emf"/><Relationship Id="rId5" Type="http://schemas.openxmlformats.org/officeDocument/2006/relationships/image" Target="../media/image11.emf"/><Relationship Id="rId15" Type="http://schemas.openxmlformats.org/officeDocument/2006/relationships/image" Target="../media/image13.emf"/><Relationship Id="rId10" Type="http://schemas.openxmlformats.org/officeDocument/2006/relationships/control" Target="../activeX/activeX17.xml"/><Relationship Id="rId4" Type="http://schemas.openxmlformats.org/officeDocument/2006/relationships/control" Target="../activeX/activeX14.xml"/><Relationship Id="rId9" Type="http://schemas.openxmlformats.org/officeDocument/2006/relationships/image" Target="../media/image2.emf"/><Relationship Id="rId14" Type="http://schemas.openxmlformats.org/officeDocument/2006/relationships/control" Target="../activeX/activeX19.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3.xml"/><Relationship Id="rId13" Type="http://schemas.openxmlformats.org/officeDocument/2006/relationships/image" Target="../media/image18.emf"/><Relationship Id="rId18" Type="http://schemas.openxmlformats.org/officeDocument/2006/relationships/control" Target="../activeX/activeX29.xml"/><Relationship Id="rId26" Type="http://schemas.openxmlformats.org/officeDocument/2006/relationships/control" Target="../activeX/activeX34.xml"/><Relationship Id="rId39" Type="http://schemas.openxmlformats.org/officeDocument/2006/relationships/control" Target="../activeX/activeX45.xml"/><Relationship Id="rId3" Type="http://schemas.openxmlformats.org/officeDocument/2006/relationships/vmlDrawing" Target="../drawings/vmlDrawing4.vml"/><Relationship Id="rId21" Type="http://schemas.openxmlformats.org/officeDocument/2006/relationships/image" Target="../media/image21.emf"/><Relationship Id="rId34" Type="http://schemas.openxmlformats.org/officeDocument/2006/relationships/control" Target="../activeX/activeX40.xml"/><Relationship Id="rId7" Type="http://schemas.openxmlformats.org/officeDocument/2006/relationships/image" Target="../media/image15.emf"/><Relationship Id="rId12" Type="http://schemas.openxmlformats.org/officeDocument/2006/relationships/control" Target="../activeX/activeX25.xml"/><Relationship Id="rId17" Type="http://schemas.openxmlformats.org/officeDocument/2006/relationships/control" Target="../activeX/activeX28.xml"/><Relationship Id="rId25" Type="http://schemas.openxmlformats.org/officeDocument/2006/relationships/control" Target="../activeX/activeX33.xml"/><Relationship Id="rId33" Type="http://schemas.openxmlformats.org/officeDocument/2006/relationships/control" Target="../activeX/activeX39.xml"/><Relationship Id="rId38" Type="http://schemas.openxmlformats.org/officeDocument/2006/relationships/control" Target="../activeX/activeX44.xml"/><Relationship Id="rId2" Type="http://schemas.openxmlformats.org/officeDocument/2006/relationships/drawing" Target="../drawings/drawing4.xml"/><Relationship Id="rId16" Type="http://schemas.openxmlformats.org/officeDocument/2006/relationships/control" Target="../activeX/activeX27.xml"/><Relationship Id="rId20" Type="http://schemas.openxmlformats.org/officeDocument/2006/relationships/control" Target="../activeX/activeX30.xml"/><Relationship Id="rId29" Type="http://schemas.openxmlformats.org/officeDocument/2006/relationships/control" Target="../activeX/activeX36.xml"/><Relationship Id="rId1" Type="http://schemas.openxmlformats.org/officeDocument/2006/relationships/printerSettings" Target="../printerSettings/printerSettings4.bin"/><Relationship Id="rId6" Type="http://schemas.openxmlformats.org/officeDocument/2006/relationships/control" Target="../activeX/activeX22.xml"/><Relationship Id="rId11" Type="http://schemas.openxmlformats.org/officeDocument/2006/relationships/image" Target="../media/image17.emf"/><Relationship Id="rId24" Type="http://schemas.openxmlformats.org/officeDocument/2006/relationships/control" Target="../activeX/activeX32.xml"/><Relationship Id="rId32" Type="http://schemas.openxmlformats.org/officeDocument/2006/relationships/control" Target="../activeX/activeX38.xml"/><Relationship Id="rId37" Type="http://schemas.openxmlformats.org/officeDocument/2006/relationships/control" Target="../activeX/activeX43.xml"/><Relationship Id="rId40" Type="http://schemas.openxmlformats.org/officeDocument/2006/relationships/comments" Target="../comments4.xml"/><Relationship Id="rId5" Type="http://schemas.openxmlformats.org/officeDocument/2006/relationships/image" Target="../media/image3.emf"/><Relationship Id="rId15" Type="http://schemas.openxmlformats.org/officeDocument/2006/relationships/image" Target="../media/image19.emf"/><Relationship Id="rId23" Type="http://schemas.openxmlformats.org/officeDocument/2006/relationships/image" Target="../media/image22.emf"/><Relationship Id="rId28" Type="http://schemas.openxmlformats.org/officeDocument/2006/relationships/control" Target="../activeX/activeX35.xml"/><Relationship Id="rId36" Type="http://schemas.openxmlformats.org/officeDocument/2006/relationships/control" Target="../activeX/activeX42.xml"/><Relationship Id="rId10" Type="http://schemas.openxmlformats.org/officeDocument/2006/relationships/control" Target="../activeX/activeX24.xml"/><Relationship Id="rId19" Type="http://schemas.openxmlformats.org/officeDocument/2006/relationships/image" Target="../media/image20.emf"/><Relationship Id="rId31" Type="http://schemas.openxmlformats.org/officeDocument/2006/relationships/control" Target="../activeX/activeX37.xml"/><Relationship Id="rId4" Type="http://schemas.openxmlformats.org/officeDocument/2006/relationships/control" Target="../activeX/activeX21.xml"/><Relationship Id="rId9" Type="http://schemas.openxmlformats.org/officeDocument/2006/relationships/image" Target="../media/image16.emf"/><Relationship Id="rId14" Type="http://schemas.openxmlformats.org/officeDocument/2006/relationships/control" Target="../activeX/activeX26.xml"/><Relationship Id="rId22" Type="http://schemas.openxmlformats.org/officeDocument/2006/relationships/control" Target="../activeX/activeX31.xml"/><Relationship Id="rId27" Type="http://schemas.openxmlformats.org/officeDocument/2006/relationships/image" Target="../media/image23.emf"/><Relationship Id="rId30" Type="http://schemas.openxmlformats.org/officeDocument/2006/relationships/image" Target="../media/image24.emf"/><Relationship Id="rId35" Type="http://schemas.openxmlformats.org/officeDocument/2006/relationships/control" Target="../activeX/activeX41.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8.xml"/><Relationship Id="rId3" Type="http://schemas.openxmlformats.org/officeDocument/2006/relationships/vmlDrawing" Target="../drawings/vmlDrawing5.vml"/><Relationship Id="rId7" Type="http://schemas.openxmlformats.org/officeDocument/2006/relationships/image" Target="../media/image22.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47.xml"/><Relationship Id="rId5" Type="http://schemas.openxmlformats.org/officeDocument/2006/relationships/image" Target="../media/image25.emf"/><Relationship Id="rId4" Type="http://schemas.openxmlformats.org/officeDocument/2006/relationships/control" Target="../activeX/activeX46.xml"/><Relationship Id="rId9" Type="http://schemas.openxmlformats.org/officeDocument/2006/relationships/control" Target="../activeX/activeX4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indexed="42"/>
  </sheetPr>
  <dimension ref="A1:R223"/>
  <sheetViews>
    <sheetView showGridLines="0" tabSelected="1" zoomScaleNormal="100" workbookViewId="0">
      <selection activeCell="B3" sqref="B3:E3"/>
    </sheetView>
  </sheetViews>
  <sheetFormatPr defaultRowHeight="12.75" x14ac:dyDescent="0.2"/>
  <cols>
    <col min="1" max="1" width="13.28515625" customWidth="1"/>
    <col min="2" max="2" width="10.85546875" customWidth="1"/>
    <col min="3" max="3" width="10.140625" customWidth="1"/>
    <col min="5" max="5" width="10" customWidth="1"/>
    <col min="6" max="6" width="11.28515625" customWidth="1"/>
    <col min="7" max="7" width="10.28515625" customWidth="1"/>
    <col min="8" max="8" width="10.7109375" customWidth="1"/>
    <col min="9" max="9" width="10.28515625" customWidth="1"/>
    <col min="10" max="10" width="9.7109375" customWidth="1"/>
    <col min="11" max="11" width="12.28515625" hidden="1" customWidth="1"/>
    <col min="12" max="12" width="11.5703125" hidden="1" customWidth="1"/>
    <col min="13" max="13" width="7" hidden="1" customWidth="1"/>
    <col min="14" max="14" width="9.42578125" hidden="1" customWidth="1"/>
    <col min="15" max="15" width="8.5703125" hidden="1" customWidth="1"/>
    <col min="16" max="16" width="6.28515625" hidden="1" customWidth="1"/>
    <col min="17" max="17" width="8.140625" hidden="1" customWidth="1"/>
    <col min="18" max="18" width="7.5703125" hidden="1" customWidth="1"/>
    <col min="19" max="19" width="8.85546875" customWidth="1"/>
  </cols>
  <sheetData>
    <row r="1" spans="1:15" ht="24" customHeight="1" thickBot="1" x14ac:dyDescent="0.4">
      <c r="A1" s="347" t="s">
        <v>112</v>
      </c>
      <c r="B1" s="348"/>
      <c r="C1" s="348"/>
      <c r="D1" s="229"/>
      <c r="E1" s="228"/>
      <c r="F1" s="228"/>
      <c r="G1" s="228"/>
      <c r="H1" s="229" t="s">
        <v>296</v>
      </c>
      <c r="I1" s="230"/>
    </row>
    <row r="2" spans="1:15" ht="12.75" customHeight="1" x14ac:dyDescent="0.2">
      <c r="A2" s="2"/>
      <c r="B2" s="2"/>
      <c r="C2" s="1"/>
      <c r="D2" s="1"/>
      <c r="E2" s="221"/>
      <c r="F2" s="1"/>
      <c r="G2" s="1"/>
      <c r="H2" s="1"/>
      <c r="I2" s="1"/>
    </row>
    <row r="3" spans="1:15" ht="15.75" x14ac:dyDescent="0.25">
      <c r="A3" s="2" t="s">
        <v>1</v>
      </c>
      <c r="B3" s="352"/>
      <c r="C3" s="352"/>
      <c r="D3" s="352"/>
      <c r="E3" s="352"/>
      <c r="F3" s="1"/>
      <c r="G3" s="5"/>
      <c r="H3" s="6" t="s">
        <v>0</v>
      </c>
      <c r="I3" s="65">
        <f ca="1">TODAY()</f>
        <v>41305</v>
      </c>
      <c r="K3" t="s">
        <v>297</v>
      </c>
      <c r="L3" s="237" t="str">
        <f>K3 &amp; "\gis_output\tables\storage.dbf"</f>
        <v>C:\Projects\final\gis_output\tables\storage.dbf</v>
      </c>
    </row>
    <row r="4" spans="1:15" x14ac:dyDescent="0.2">
      <c r="A4" s="1"/>
      <c r="B4" s="1"/>
      <c r="C4" s="1"/>
      <c r="D4" s="1"/>
      <c r="E4" s="2"/>
      <c r="F4" s="1"/>
      <c r="G4" s="1"/>
      <c r="H4" s="1"/>
      <c r="I4" s="1"/>
      <c r="L4" s="237" t="str">
        <f>K$3 &amp; "\gis_output\tables\watershed.dbf"</f>
        <v>C:\Projects\final\gis_output\tables\watershed.dbf</v>
      </c>
    </row>
    <row r="5" spans="1:15" x14ac:dyDescent="0.2">
      <c r="A5" s="19" t="s">
        <v>3</v>
      </c>
      <c r="B5" s="355"/>
      <c r="C5" s="355"/>
      <c r="D5" s="1"/>
      <c r="G5" s="8" t="s">
        <v>2</v>
      </c>
      <c r="H5" s="353"/>
      <c r="I5" s="354"/>
      <c r="L5" s="237" t="str">
        <f>K$3 &amp; "\gis_output\tables\RCNsummary.dbf"</f>
        <v>C:\Projects\final\gis_output\tables\RCNsummary.dbf</v>
      </c>
    </row>
    <row r="6" spans="1:15" x14ac:dyDescent="0.2">
      <c r="A6" s="2"/>
      <c r="B6" s="10"/>
      <c r="C6" s="10"/>
      <c r="D6" s="1"/>
      <c r="E6" s="66"/>
      <c r="F6" s="66"/>
      <c r="G6" s="67" t="s">
        <v>116</v>
      </c>
      <c r="H6" s="68"/>
      <c r="I6" s="24"/>
      <c r="L6" s="237" t="str">
        <f>K$3 &amp; "\gis_output\tables\stations.dbf"</f>
        <v>C:\Projects\final\gis_output\tables\stations.dbf</v>
      </c>
    </row>
    <row r="7" spans="1:15" x14ac:dyDescent="0.2">
      <c r="A7" s="19" t="s">
        <v>115</v>
      </c>
      <c r="B7" s="353"/>
      <c r="C7" s="354"/>
      <c r="D7" s="1"/>
      <c r="E7" s="1"/>
      <c r="F7" s="1"/>
      <c r="G7" s="67" t="s">
        <v>0</v>
      </c>
      <c r="H7" s="69"/>
      <c r="I7" s="69"/>
      <c r="L7" s="237" t="str">
        <f>K$3 &amp; "\gis_output\tables\stakeoutPoints.dbf"</f>
        <v>C:\Projects\final\gis_output\tables\stakeoutPoints.dbf</v>
      </c>
    </row>
    <row r="8" spans="1:15" x14ac:dyDescent="0.2">
      <c r="D8" s="23"/>
      <c r="I8" s="1"/>
      <c r="L8" s="237" t="str">
        <f>K$3 &amp; "\gis_output\tables\embankments.dbf"</f>
        <v>C:\Projects\final\gis_output\tables\embankments.dbf</v>
      </c>
    </row>
    <row r="9" spans="1:15" x14ac:dyDescent="0.2">
      <c r="A9" s="19" t="s">
        <v>4</v>
      </c>
      <c r="B9" s="7"/>
      <c r="C9" s="70" t="s">
        <v>5</v>
      </c>
      <c r="D9" s="9"/>
      <c r="E9" s="71" t="s">
        <v>120</v>
      </c>
      <c r="F9" s="9"/>
      <c r="G9" s="72" t="s">
        <v>114</v>
      </c>
      <c r="H9" s="1"/>
      <c r="I9" s="1"/>
      <c r="L9" s="237" t="str">
        <f>K$3 &amp; "\gis_output\tables\stakeoutPoints.dbf"</f>
        <v>C:\Projects\final\gis_output\tables\stakeoutPoints.dbf</v>
      </c>
    </row>
    <row r="10" spans="1:15" x14ac:dyDescent="0.2">
      <c r="A10" s="68"/>
      <c r="B10" s="68"/>
      <c r="C10" s="68"/>
      <c r="D10" s="68"/>
      <c r="E10" s="68"/>
      <c r="F10" s="68"/>
      <c r="G10" s="68"/>
      <c r="H10" s="24"/>
      <c r="I10" s="24"/>
    </row>
    <row r="11" spans="1:15" x14ac:dyDescent="0.2">
      <c r="A11" s="1"/>
      <c r="B11" s="2"/>
      <c r="C11" s="1"/>
      <c r="D11" s="1"/>
      <c r="H11" s="1"/>
      <c r="I11" s="1"/>
    </row>
    <row r="12" spans="1:15" x14ac:dyDescent="0.2">
      <c r="A12" s="11" t="s">
        <v>7</v>
      </c>
      <c r="B12" s="132"/>
      <c r="C12" s="1"/>
      <c r="D12" s="1"/>
      <c r="E12" s="2" t="s">
        <v>6</v>
      </c>
      <c r="F12" s="362">
        <v>1</v>
      </c>
      <c r="G12" s="363"/>
      <c r="H12" s="1"/>
      <c r="I12" s="1"/>
      <c r="K12" t="str">
        <f>CONCATENATE("Subbasin",F12)</f>
        <v>Subbasin1</v>
      </c>
      <c r="L12">
        <f>IF(ISNA(VLOOKUP($F$12,Import1!$K:$N,2,FALSE)),0,VLOOKUP($F$12,Import1!$K:$N,2,FALSE))</f>
        <v>0</v>
      </c>
      <c r="M12">
        <f>IF(ISNA(VLOOKUP($F$12,Import1!$K:$N,4,FALSE)),0,VLOOKUP($F$12,Import1!$K:$N,4,FALSE))</f>
        <v>0</v>
      </c>
      <c r="N12">
        <f>IF(ISNA(VLOOKUP($F$12,Import1!$K:$N,3,FALSE)),0,VLOOKUP($F$12,Import1!$K:$N,3,FALSE))</f>
        <v>0</v>
      </c>
    </row>
    <row r="13" spans="1:15" x14ac:dyDescent="0.2">
      <c r="A13" s="1"/>
      <c r="B13" s="2"/>
      <c r="C13" s="5"/>
      <c r="D13" s="1"/>
      <c r="H13" s="1"/>
      <c r="I13" s="1"/>
    </row>
    <row r="14" spans="1:15" x14ac:dyDescent="0.2">
      <c r="A14" s="2" t="s">
        <v>113</v>
      </c>
      <c r="B14" s="2"/>
      <c r="C14" s="222">
        <f>L12</f>
        <v>0</v>
      </c>
      <c r="D14" s="1"/>
      <c r="E14" s="12" t="s">
        <v>8</v>
      </c>
      <c r="F14" s="12"/>
      <c r="G14" s="13" t="str">
        <f>IF(ISBLANK(B12),"",VLOOKUP(County,County_Table,IF(Storm="10-year",5,6)))</f>
        <v/>
      </c>
    </row>
    <row r="15" spans="1:15" x14ac:dyDescent="0.2">
      <c r="A15" s="349" t="str">
        <f>IF(C14&gt;40,"Watershed Area Exceeds 638 Standard!","")</f>
        <v/>
      </c>
      <c r="B15" s="349"/>
      <c r="C15" s="349"/>
      <c r="D15" s="350"/>
      <c r="E15" s="12" t="s">
        <v>9</v>
      </c>
      <c r="F15" s="12"/>
      <c r="G15" s="13" t="str">
        <f>IF(ISBLANK(B12),"",IF(C16=0," ",((G14-0.2*((1000/C16)-10))^2)/(G14+0.8*((1000/C16)-10))))</f>
        <v/>
      </c>
      <c r="H15" s="358" t="s">
        <v>240</v>
      </c>
      <c r="I15" s="359"/>
      <c r="O15" s="122"/>
    </row>
    <row r="16" spans="1:15" ht="14.25" x14ac:dyDescent="0.2">
      <c r="A16" s="2" t="s">
        <v>183</v>
      </c>
      <c r="B16" s="2"/>
      <c r="C16" s="215">
        <f>M12</f>
        <v>0</v>
      </c>
      <c r="D16" s="1"/>
      <c r="E16" s="12" t="s">
        <v>118</v>
      </c>
      <c r="F16" s="1"/>
      <c r="G16" s="74" t="str">
        <f>IF(ISBLANK(C14),"",IF(ISNUMBER(G15),43560*C14*G15/12,""))</f>
        <v/>
      </c>
      <c r="H16" s="1"/>
      <c r="I16" s="1"/>
      <c r="O16" s="122"/>
    </row>
    <row r="17" spans="1:16" ht="14.25" x14ac:dyDescent="0.2">
      <c r="A17" s="2" t="s">
        <v>10</v>
      </c>
      <c r="B17" s="2"/>
      <c r="C17" s="15"/>
      <c r="D17" s="1"/>
      <c r="E17" s="16" t="s">
        <v>117</v>
      </c>
      <c r="F17" s="17"/>
      <c r="G17" s="74" t="str">
        <f>IF(ISBLANK(C14),"",IF(ISBLANK(C17),"",C17*2000*10*C14/(78)))</f>
        <v/>
      </c>
      <c r="I17" s="1"/>
    </row>
    <row r="18" spans="1:16" ht="14.25" x14ac:dyDescent="0.2">
      <c r="A18" s="2" t="s">
        <v>138</v>
      </c>
      <c r="B18" s="2"/>
      <c r="C18" s="21"/>
      <c r="D18" s="1"/>
      <c r="E18" s="12" t="s">
        <v>124</v>
      </c>
      <c r="F18" s="12"/>
      <c r="G18" s="74" t="str">
        <f>IF(ISBLANK(C14),"",IF(ISBLANK(C18),"",IF(ISNUMBER(G16),43560*(0.0223*(C14*G15)^1.27)/(G16/(3600*C18))^0.27,"")))</f>
        <v/>
      </c>
      <c r="H18" s="1"/>
      <c r="I18" s="1"/>
    </row>
    <row r="19" spans="1:16" ht="14.25" x14ac:dyDescent="0.2">
      <c r="D19" s="18"/>
      <c r="E19" s="12" t="s">
        <v>121</v>
      </c>
      <c r="F19" s="12"/>
      <c r="G19" s="74">
        <f>IF(ISBLANK(C14),"",C14*43560/12)</f>
        <v>0</v>
      </c>
      <c r="H19" s="1"/>
      <c r="I19" s="1"/>
    </row>
    <row r="20" spans="1:16" ht="14.25" x14ac:dyDescent="0.2">
      <c r="D20" s="1"/>
      <c r="E20" s="12" t="s">
        <v>123</v>
      </c>
      <c r="F20" s="12"/>
      <c r="G20" s="79" t="str">
        <f>IF(ISNUMBER(G18),IF(Defaults!$M$67=TRUE,IF(G18&gt;G19,G18+G17,G19+G17),G18+G17),"")</f>
        <v/>
      </c>
      <c r="H20" s="118"/>
      <c r="I20" s="1"/>
    </row>
    <row r="21" spans="1:16" x14ac:dyDescent="0.2">
      <c r="A21" s="73"/>
      <c r="B21" s="73"/>
      <c r="C21" s="73"/>
      <c r="D21" s="120"/>
      <c r="E21" s="77"/>
      <c r="F21" s="24"/>
      <c r="G21" s="24"/>
      <c r="H21" s="119"/>
      <c r="I21" s="24"/>
      <c r="J21" s="34"/>
    </row>
    <row r="22" spans="1:16" x14ac:dyDescent="0.2">
      <c r="A22" s="129"/>
      <c r="B22" s="5"/>
      <c r="C22" s="75"/>
      <c r="D22" s="4"/>
      <c r="E22" s="4"/>
      <c r="F22" s="127"/>
      <c r="G22" s="128"/>
      <c r="H22" s="110"/>
      <c r="I22" s="112"/>
      <c r="J22" s="34"/>
    </row>
    <row r="23" spans="1:16" ht="14.25" x14ac:dyDescent="0.2">
      <c r="A23" s="76" t="s">
        <v>122</v>
      </c>
      <c r="B23" s="356" t="s">
        <v>119</v>
      </c>
      <c r="C23" s="357"/>
      <c r="D23" s="121"/>
      <c r="E23" s="78" t="s">
        <v>132</v>
      </c>
      <c r="G23" s="216"/>
      <c r="H23" s="122"/>
      <c r="I23" s="5"/>
      <c r="J23" s="34"/>
    </row>
    <row r="24" spans="1:16" x14ac:dyDescent="0.2">
      <c r="A24" s="222" t="str">
        <f t="array" ref="A24">IF(ISERROR(INDEX(Import1!$A$1:$I$201,SMALL(IF(Import1!$A$1:$I$201=$K$12,ROW(Import1!$A$1:$I$201)),ROW(1:1)),2)),"",INDEX(Import1!$A$1:$I$201,SMALL(IF(Import1!$A$1:$I$201=$K$12,ROW(Import1!$A$1:$I$201)),ROW(1:1)),2))</f>
        <v/>
      </c>
      <c r="B24" s="223" t="str">
        <f t="array" ref="B24">IF(ISERROR(INDEX(Import1!$A$1:$I$201,SMALL(IF(Import1!$A$1:$I$201=$K$12,ROW(Import1!$A$1:$I$201)),ROW(1:1)),5)),"",INDEX(Import1!$A$1:$I$201,SMALL(IF(Import1!$A$1:$I$201=$K$12,ROW(Import1!$A$1:$I$201)),ROW(1:1)),5))</f>
        <v/>
      </c>
      <c r="C24" s="224"/>
      <c r="D24" s="118"/>
      <c r="E24" s="361"/>
      <c r="F24" s="361"/>
      <c r="G24" s="361"/>
      <c r="H24" s="122"/>
      <c r="I24" s="5"/>
      <c r="J24" s="34"/>
      <c r="N24">
        <v>0</v>
      </c>
      <c r="O24" t="e">
        <f>A24+((($G$20-N24)/(N25-N24))*(A25-A24))</f>
        <v>#VALUE!</v>
      </c>
    </row>
    <row r="25" spans="1:16" x14ac:dyDescent="0.2">
      <c r="A25" s="222" t="str">
        <f t="array" ref="A25">IF(ISERROR(INDEX(Import1!$A$1:$I$201,SMALL(IF(Import1!$A$1:$I$201=$K$12,ROW(Import1!$A$1:$I$201)),ROW(2:2)),2)),"",INDEX(Import1!$A$1:$I$201,SMALL(IF(Import1!$A$1:$I$201=$K$12,ROW(Import1!$A$1:$I$201)),ROW(2:2)),2))</f>
        <v/>
      </c>
      <c r="B25" s="223" t="str">
        <f t="array" ref="B25">IF(ISERROR(INDEX(Import1!$A$1:$I$201,SMALL(IF(Import1!$A$1:$I$201=$K$12,ROW(Import1!$A$1:$I$201)),ROW(2:2)),5)),"",INDEX(Import1!$A$1:$I$201,SMALL(IF(Import1!$A$1:$I$201=$K$12,ROW(Import1!$A$1:$I$201)),ROW(2:2)),5))</f>
        <v/>
      </c>
      <c r="C25" s="224"/>
      <c r="D25" s="118"/>
      <c r="E25" s="78" t="s">
        <v>130</v>
      </c>
      <c r="G25" s="169"/>
      <c r="H25" s="122"/>
      <c r="I25" s="5"/>
      <c r="K25" t="e">
        <f t="shared" ref="K25:K45" si="0">IF(A25&gt;0,+A25-A24,"")</f>
        <v>#VALUE!</v>
      </c>
      <c r="L25" t="e">
        <f>IF(B25&gt;0,+(B24+B25)/2," ")</f>
        <v>#VALUE!</v>
      </c>
      <c r="M25" t="str">
        <f>IF((ISERROR(K25*L25)),"",(K25*L25))</f>
        <v/>
      </c>
      <c r="N25" t="str">
        <f>IF((ISERROR(M25)),"",(M25))</f>
        <v/>
      </c>
      <c r="O25" t="e">
        <f t="shared" ref="O25:O45" si="1">A25+((($G$20-N25)/(N26-N25))*(A26-A25))</f>
        <v>#VALUE!</v>
      </c>
    </row>
    <row r="26" spans="1:16" x14ac:dyDescent="0.2">
      <c r="A26" s="222" t="str">
        <f t="array" ref="A26">IF(ISERROR(INDEX(Import1!$A$1:$I$201,SMALL(IF(Import1!$A$1:$I$201=$K$12,ROW(Import1!$A$1:$I$201)),ROW(3:3)),2)),"",INDEX(Import1!$A$1:$I$201,SMALL(IF(Import1!$A$1:$I$201=$K$12,ROW(Import1!$A$1:$I$201)),ROW(3:3)),2))</f>
        <v/>
      </c>
      <c r="B26" s="223" t="str">
        <f t="array" ref="B26">IF(ISERROR(INDEX(Import1!$A$1:$I$201,SMALL(IF(Import1!$A$1:$I$201=$K$12,ROW(Import1!$A$1:$I$201)),ROW(3:3)),5)),"",INDEX(Import1!$A$1:$I$201,SMALL(IF(Import1!$A$1:$I$201=$K$12,ROW(Import1!$A$1:$I$201)),ROW(3:3)),5))</f>
        <v/>
      </c>
      <c r="C26" s="224"/>
      <c r="D26" s="118"/>
      <c r="E26" s="78" t="s">
        <v>131</v>
      </c>
      <c r="G26" s="169"/>
      <c r="H26" s="122"/>
      <c r="I26" s="126"/>
      <c r="K26" t="e">
        <f t="shared" si="0"/>
        <v>#VALUE!</v>
      </c>
      <c r="L26" t="e">
        <f t="shared" ref="L26:L45" si="2">IF(B26&gt;0,+(B25+B26)/2," ")</f>
        <v>#VALUE!</v>
      </c>
      <c r="M26" t="str">
        <f t="shared" ref="M26:M45" si="3">IF((ISERROR(K26*L26)),"",(K26*L26))</f>
        <v/>
      </c>
      <c r="N26" t="str">
        <f>IF((ISERROR(M26+N25)),"",(M26+N25))</f>
        <v/>
      </c>
      <c r="O26" t="e">
        <f t="shared" si="1"/>
        <v>#VALUE!</v>
      </c>
    </row>
    <row r="27" spans="1:16" x14ac:dyDescent="0.2">
      <c r="A27" s="222" t="str">
        <f t="array" ref="A27">IF(ISERROR(INDEX(Import1!$A$1:$I$201,SMALL(IF(Import1!$A$1:$I$201=$K$12,ROW(Import1!$A$1:$I$201)),ROW(4:4)),2)),"",INDEX(Import1!$A$1:$I$201,SMALL(IF(Import1!$A$1:$I$201=$K$12,ROW(Import1!$A$1:$I$201)),ROW(4:4)),2))</f>
        <v/>
      </c>
      <c r="B27" s="223" t="str">
        <f t="array" ref="B27">IF(ISERROR(INDEX(Import1!$A$1:$I$201,SMALL(IF(Import1!$A$1:$I$201=$K$12,ROW(Import1!$A$1:$I$201)),ROW(4:4)),5)),"",INDEX(Import1!$A$1:$I$201,SMALL(IF(Import1!$A$1:$I$201=$K$12,ROW(Import1!$A$1:$I$201)),ROW(4:4)),5))</f>
        <v/>
      </c>
      <c r="C27" s="224"/>
      <c r="D27" s="118"/>
      <c r="E27" s="351"/>
      <c r="F27" s="351"/>
      <c r="G27" s="351"/>
      <c r="H27" s="122"/>
      <c r="I27" s="5"/>
      <c r="K27" t="e">
        <f t="shared" si="0"/>
        <v>#VALUE!</v>
      </c>
      <c r="L27" t="e">
        <f t="shared" si="2"/>
        <v>#VALUE!</v>
      </c>
      <c r="M27" t="str">
        <f t="shared" si="3"/>
        <v/>
      </c>
      <c r="N27" t="str">
        <f t="shared" ref="N27:N45" si="4">IF((ISERROR(M27+N26)),"",(M27+N26))</f>
        <v/>
      </c>
      <c r="O27" t="e">
        <f t="shared" si="1"/>
        <v>#VALUE!</v>
      </c>
    </row>
    <row r="28" spans="1:16" x14ac:dyDescent="0.2">
      <c r="A28" s="222" t="str">
        <f t="array" ref="A28">IF(ISERROR(INDEX(Import1!$A$1:$I$201,SMALL(IF(Import1!$A$1:$I$201=$K$12,ROW(Import1!$A$1:$I$201)),ROW(5:5)),2)),"",INDEX(Import1!$A$1:$I$201,SMALL(IF(Import1!$A$1:$I$201=$K$12,ROW(Import1!$A$1:$I$201)),ROW(5:5)),2))</f>
        <v/>
      </c>
      <c r="B28" s="223" t="str">
        <f t="array" ref="B28">IF(ISERROR(INDEX(Import1!$A$1:$I$201,SMALL(IF(Import1!$A$1:$I$201=$K$12,ROW(Import1!$A$1:$I$201)),ROW(5:5)),5)),"",INDEX(Import1!$A$1:$I$201,SMALL(IF(Import1!$A$1:$I$201=$K$12,ROW(Import1!$A$1:$I$201)),ROW(5:5)),5))</f>
        <v/>
      </c>
      <c r="C28" s="224"/>
      <c r="D28" s="118"/>
      <c r="E28" s="80" t="s">
        <v>126</v>
      </c>
      <c r="F28" s="81"/>
      <c r="G28" s="82" t="str">
        <f>IF(ISERROR(VLOOKUP(G20,N24:O45,2)),"",VLOOKUP(G20, N24:O45,2))</f>
        <v/>
      </c>
      <c r="H28" s="122"/>
      <c r="I28" s="112"/>
      <c r="K28" t="e">
        <f t="shared" si="0"/>
        <v>#VALUE!</v>
      </c>
      <c r="L28" t="e">
        <f t="shared" si="2"/>
        <v>#VALUE!</v>
      </c>
      <c r="M28" t="str">
        <f t="shared" si="3"/>
        <v/>
      </c>
      <c r="N28" t="str">
        <f t="shared" si="4"/>
        <v/>
      </c>
      <c r="O28" t="e">
        <f t="shared" si="1"/>
        <v>#VALUE!</v>
      </c>
    </row>
    <row r="29" spans="1:16" x14ac:dyDescent="0.2">
      <c r="A29" s="222" t="str">
        <f t="array" ref="A29">IF(ISERROR(INDEX(Import1!$A$1:$I$201,SMALL(IF(Import1!$A$1:$I$201=$K$12,ROW(Import1!$A$1:$I$201)),ROW(6:6)),2)),"",INDEX(Import1!$A$1:$I$201,SMALL(IF(Import1!$A$1:$I$201=$K$12,ROW(Import1!$A$1:$I$201)),ROW(6:6)),2))</f>
        <v/>
      </c>
      <c r="B29" s="223" t="str">
        <f t="array" ref="B29">IF(ISERROR(INDEX(Import1!$A$1:$I$201,SMALL(IF(Import1!$A$1:$I$201=$K$12,ROW(Import1!$A$1:$I$201)),ROW(6:6)),5)),"",INDEX(Import1!$A$1:$I$201,SMALL(IF(Import1!$A$1:$I$201=$K$12,ROW(Import1!$A$1:$I$201)),ROW(6:6)),5))</f>
        <v/>
      </c>
      <c r="C29" s="224"/>
      <c r="D29" s="118"/>
      <c r="E29" s="80" t="s">
        <v>127</v>
      </c>
      <c r="F29" s="81"/>
      <c r="G29" s="174"/>
      <c r="H29" s="122"/>
      <c r="I29" s="5"/>
      <c r="K29" t="e">
        <f t="shared" si="0"/>
        <v>#VALUE!</v>
      </c>
      <c r="L29" t="e">
        <f t="shared" si="2"/>
        <v>#VALUE!</v>
      </c>
      <c r="M29" t="str">
        <f t="shared" si="3"/>
        <v/>
      </c>
      <c r="N29" t="str">
        <f t="shared" si="4"/>
        <v/>
      </c>
      <c r="O29" t="e">
        <f t="shared" si="1"/>
        <v>#VALUE!</v>
      </c>
    </row>
    <row r="30" spans="1:16" x14ac:dyDescent="0.2">
      <c r="A30" s="222" t="str">
        <f t="array" ref="A30">IF(ISERROR(INDEX(Import1!$A$1:$I$201,SMALL(IF(Import1!$A$1:$I$201=$K$12,ROW(Import1!$A$1:$I$201)),ROW(7:7)),2)),"",INDEX(Import1!$A$1:$I$201,SMALL(IF(Import1!$A$1:$I$201=$K$12,ROW(Import1!$A$1:$I$201)),ROW(7:7)),2))</f>
        <v/>
      </c>
      <c r="B30" s="223" t="str">
        <f t="array" ref="B30">IF(ISERROR(INDEX(Import1!$A$1:$I$201,SMALL(IF(Import1!$A$1:$I$201=$K$12,ROW(Import1!$A$1:$I$201)),ROW(7:7)),5)),"",INDEX(Import1!$A$1:$I$201,SMALL(IF(Import1!$A$1:$I$201=$K$12,ROW(Import1!$A$1:$I$201)),ROW(7:7)),5))</f>
        <v/>
      </c>
      <c r="C30" s="224"/>
      <c r="D30" s="118"/>
      <c r="E30" s="360" t="str">
        <f>IF(AND(ISERROR(VLOOKUP(G20,N24:O45,2)),ISNUMBER(C14),ISNUMBER(C17),ISNUMBER(C18),ISNUMBER(C16),ISNUMBER(A24),ISNUMBER(B24))=TRUE,"Elevation Exceeds Input!","")</f>
        <v/>
      </c>
      <c r="F30" s="360"/>
      <c r="G30" s="360"/>
      <c r="H30" s="122"/>
      <c r="I30" s="4"/>
      <c r="K30" t="e">
        <f t="shared" si="0"/>
        <v>#VALUE!</v>
      </c>
      <c r="L30" t="e">
        <f t="shared" si="2"/>
        <v>#VALUE!</v>
      </c>
      <c r="M30" t="str">
        <f t="shared" si="3"/>
        <v/>
      </c>
      <c r="N30" t="str">
        <f t="shared" si="4"/>
        <v/>
      </c>
      <c r="O30" t="e">
        <f t="shared" si="1"/>
        <v>#VALUE!</v>
      </c>
      <c r="P30" t="b">
        <f>IF(E30="Elevation Exceeds Input!",TRUE,FALSE)</f>
        <v>0</v>
      </c>
    </row>
    <row r="31" spans="1:16" x14ac:dyDescent="0.2">
      <c r="A31" s="222" t="str">
        <f t="array" ref="A31">IF(ISERROR(INDEX(Import1!$A$1:$I$201,SMALL(IF(Import1!$A$1:$I$201=$K$12,ROW(Import1!$A$1:$I$201)),ROW(8:8)),2)),"",INDEX(Import1!$A$1:$I$201,SMALL(IF(Import1!$A$1:$I$201=$K$12,ROW(Import1!$A$1:$I$201)),ROW(8:8)),2))</f>
        <v/>
      </c>
      <c r="B31" s="223" t="str">
        <f t="array" ref="B31">IF(ISERROR(INDEX(Import1!$A$1:$I$201,SMALL(IF(Import1!$A$1:$I$201=$K$12,ROW(Import1!$A$1:$I$201)),ROW(8:8)),5)),"",INDEX(Import1!$A$1:$I$201,SMALL(IF(Import1!$A$1:$I$201=$K$12,ROW(Import1!$A$1:$I$201)),ROW(8:8)),5))</f>
        <v/>
      </c>
      <c r="C31" s="224"/>
      <c r="D31" s="118"/>
      <c r="E31" s="80" t="s">
        <v>125</v>
      </c>
      <c r="F31" s="81"/>
      <c r="G31" s="13" t="str">
        <f>IF(ISNUMBER(G25),IF(ISNUMBER(G29),G29-G25,""),"")</f>
        <v/>
      </c>
      <c r="H31" s="122"/>
      <c r="I31" s="4"/>
      <c r="K31" t="e">
        <f t="shared" si="0"/>
        <v>#VALUE!</v>
      </c>
      <c r="L31" t="e">
        <f t="shared" si="2"/>
        <v>#VALUE!</v>
      </c>
      <c r="M31" t="str">
        <f t="shared" si="3"/>
        <v/>
      </c>
      <c r="N31" t="str">
        <f t="shared" si="4"/>
        <v/>
      </c>
      <c r="O31" t="e">
        <f t="shared" si="1"/>
        <v>#VALUE!</v>
      </c>
    </row>
    <row r="32" spans="1:16" x14ac:dyDescent="0.2">
      <c r="A32" s="222" t="str">
        <f t="array" ref="A32">IF(ISERROR(INDEX(Import1!$A$1:$I$201,SMALL(IF(Import1!$A$1:$I$201=$K$12,ROW(Import1!$A$1:$I$201)),ROW(9:9)),2)),"",INDEX(Import1!$A$1:$I$201,SMALL(IF(Import1!$A$1:$I$201=$K$12,ROW(Import1!$A$1:$I$201)),ROW(9:9)),2))</f>
        <v/>
      </c>
      <c r="B32" s="223" t="str">
        <f t="array" ref="B32">IF(ISERROR(INDEX(Import1!$A$1:$I$201,SMALL(IF(Import1!$A$1:$I$201=$K$12,ROW(Import1!$A$1:$I$201)),ROW(9:9)),5)),"",INDEX(Import1!$A$1:$I$201,SMALL(IF(Import1!$A$1:$I$201=$K$12,ROW(Import1!$A$1:$I$201)),ROW(9:9)),5))</f>
        <v/>
      </c>
      <c r="C32" s="224"/>
      <c r="D32" s="118"/>
      <c r="E32" s="12" t="s">
        <v>140</v>
      </c>
      <c r="F32" s="81"/>
      <c r="G32" s="13" t="str">
        <f>IF(ISNUMBER(G26),IF(ISNUMBER(G29),G29-G26,""),"")</f>
        <v/>
      </c>
      <c r="H32" s="122"/>
      <c r="I32" s="4"/>
      <c r="K32" t="e">
        <f t="shared" si="0"/>
        <v>#VALUE!</v>
      </c>
      <c r="L32" t="e">
        <f t="shared" si="2"/>
        <v>#VALUE!</v>
      </c>
      <c r="M32" t="str">
        <f t="shared" si="3"/>
        <v/>
      </c>
      <c r="N32" t="str">
        <f t="shared" si="4"/>
        <v/>
      </c>
      <c r="O32" t="e">
        <f t="shared" si="1"/>
        <v>#VALUE!</v>
      </c>
    </row>
    <row r="33" spans="1:15" x14ac:dyDescent="0.2">
      <c r="A33" s="222" t="str">
        <f t="array" ref="A33">IF(ISERROR(INDEX(Import1!$A$1:$I$201,SMALL(IF(Import1!$A$1:$I$201=$K$12,ROW(Import1!$A$1:$I$201)),ROW(10:10)),2)),"",INDEX(Import1!$A$1:$I$201,SMALL(IF(Import1!$A$1:$I$201=$K$12,ROW(Import1!$A$1:$I$201)),ROW(10:10)),2))</f>
        <v/>
      </c>
      <c r="B33" s="223" t="str">
        <f t="array" ref="B33">IF(ISERROR(INDEX(Import1!$A$1:$I$201,SMALL(IF(Import1!$A$1:$I$201=$K$12,ROW(Import1!$A$1:$I$201)),ROW(10:10)),5)),"",INDEX(Import1!$A$1:$I$201,SMALL(IF(Import1!$A$1:$I$201=$K$12,ROW(Import1!$A$1:$I$201)),ROW(10:10)),5))</f>
        <v/>
      </c>
      <c r="C33" s="224"/>
      <c r="D33" s="118"/>
      <c r="E33" s="80" t="s">
        <v>133</v>
      </c>
      <c r="F33" s="83"/>
      <c r="G33" s="22" t="str">
        <f>IF(ISNUMBER(G32),IF(G32&lt;=5,3,IF(G32&lt;=10,6,IF(G32&lt;=15,8,""))),"")</f>
        <v/>
      </c>
      <c r="H33" s="123"/>
      <c r="I33" s="4"/>
      <c r="K33" t="e">
        <f t="shared" si="0"/>
        <v>#VALUE!</v>
      </c>
      <c r="L33" t="e">
        <f t="shared" si="2"/>
        <v>#VALUE!</v>
      </c>
      <c r="M33" t="str">
        <f t="shared" si="3"/>
        <v/>
      </c>
      <c r="N33" t="str">
        <f t="shared" si="4"/>
        <v/>
      </c>
      <c r="O33" t="e">
        <f t="shared" si="1"/>
        <v>#VALUE!</v>
      </c>
    </row>
    <row r="34" spans="1:15" x14ac:dyDescent="0.2">
      <c r="A34" s="222" t="str">
        <f t="array" ref="A34">IF(ISERROR(INDEX(Import1!$A$1:$I$201,SMALL(IF(Import1!$A$1:$I$201=$K$12,ROW(Import1!$A$1:$I$201)),ROW(11:11)),2)),"",INDEX(Import1!$A$1:$I$201,SMALL(IF(Import1!$A$1:$I$201=$K$12,ROW(Import1!$A$1:$I$201)),ROW(11:11)),2))</f>
        <v/>
      </c>
      <c r="B34" s="223" t="str">
        <f t="array" ref="B34">IF(ISERROR(INDEX(Import1!$A$1:$I$201,SMALL(IF(Import1!$A$1:$I$201=$K$12,ROW(Import1!$A$1:$I$201)),ROW(11:11)),5)),"",INDEX(Import1!$A$1:$I$201,SMALL(IF(Import1!$A$1:$I$201=$K$12,ROW(Import1!$A$1:$I$201)),ROW(11:11)),5))</f>
        <v/>
      </c>
      <c r="C34" s="224"/>
      <c r="D34" s="118"/>
      <c r="E34" s="360" t="str">
        <f>IF(ISNUMBER(G32),IF(G32&gt;15,"Fill Height Exceeds 638 Standard!",""),"")</f>
        <v/>
      </c>
      <c r="F34" s="360"/>
      <c r="G34" s="360"/>
      <c r="H34" s="122"/>
      <c r="I34" s="4"/>
      <c r="K34" t="e">
        <f t="shared" si="0"/>
        <v>#VALUE!</v>
      </c>
      <c r="L34" t="e">
        <f t="shared" si="2"/>
        <v>#VALUE!</v>
      </c>
      <c r="M34" t="str">
        <f t="shared" si="3"/>
        <v/>
      </c>
      <c r="N34" t="str">
        <f t="shared" si="4"/>
        <v/>
      </c>
      <c r="O34" t="e">
        <f t="shared" si="1"/>
        <v>#VALUE!</v>
      </c>
    </row>
    <row r="35" spans="1:15" x14ac:dyDescent="0.2">
      <c r="A35" s="222" t="str">
        <f t="array" ref="A35">IF(ISERROR(INDEX(Import1!$A$1:$I$201,SMALL(IF(Import1!$A$1:$I$201=$K$12,ROW(Import1!$A$1:$I$201)),ROW(12:12)),2)),"",INDEX(Import1!$A$1:$I$201,SMALL(IF(Import1!$A$1:$I$201=$K$12,ROW(Import1!$A$1:$I$201)),ROW(12:12)),2))</f>
        <v/>
      </c>
      <c r="B35" s="223" t="str">
        <f t="array" ref="B35">IF(ISERROR(INDEX(Import1!$A$1:$I$201,SMALL(IF(Import1!$A$1:$I$201=$K$12,ROW(Import1!$A$1:$I$201)),ROW(12:12)),5)),"",INDEX(Import1!$A$1:$I$201,SMALL(IF(Import1!$A$1:$I$201=$K$12,ROW(Import1!$A$1:$I$201)),ROW(12:12)),5))</f>
        <v/>
      </c>
      <c r="C35" s="224"/>
      <c r="D35" s="118"/>
      <c r="E35" s="80" t="s">
        <v>134</v>
      </c>
      <c r="F35" s="81"/>
      <c r="G35" s="85" t="str">
        <f>IF(ISTEXT(Position),IF(Position=Defaults!L24,0,IF(Position=Defaults!L22,Defaults!M22,IF(Position=Defaults!L23,Defaults!M23,""))),"")</f>
        <v/>
      </c>
      <c r="H35" s="122"/>
      <c r="I35" s="4"/>
      <c r="K35" t="e">
        <f t="shared" si="0"/>
        <v>#VALUE!</v>
      </c>
      <c r="L35" t="e">
        <f t="shared" si="2"/>
        <v>#VALUE!</v>
      </c>
      <c r="M35" t="str">
        <f t="shared" si="3"/>
        <v/>
      </c>
      <c r="N35" t="str">
        <f t="shared" si="4"/>
        <v/>
      </c>
      <c r="O35" t="e">
        <f t="shared" si="1"/>
        <v>#VALUE!</v>
      </c>
    </row>
    <row r="36" spans="1:15" x14ac:dyDescent="0.2">
      <c r="A36" s="222" t="str">
        <f t="array" ref="A36">IF(ISERROR(INDEX(Import1!$A$1:$I$201,SMALL(IF(Import1!$A$1:$I$201=$K$12,ROW(Import1!$A$1:$I$201)),ROW(13:13)),2)),"",INDEX(Import1!$A$1:$I$201,SMALL(IF(Import1!$A$1:$I$201=$K$12,ROW(Import1!$A$1:$I$201)),ROW(13:13)),2))</f>
        <v/>
      </c>
      <c r="B36" s="223" t="str">
        <f t="array" ref="B36">IF(ISERROR(INDEX(Import1!$A$1:$I$201,SMALL(IF(Import1!$A$1:$I$201=$K$12,ROW(Import1!$A$1:$I$201)),ROW(13:13)),5)),"",INDEX(Import1!$A$1:$I$201,SMALL(IF(Import1!$A$1:$I$201=$K$12,ROW(Import1!$A$1:$I$201)),ROW(13:13)),5))</f>
        <v/>
      </c>
      <c r="C36" s="224"/>
      <c r="D36" s="118"/>
      <c r="E36" s="366"/>
      <c r="F36" s="366"/>
      <c r="G36" s="366"/>
      <c r="H36" s="122"/>
      <c r="I36" s="4"/>
      <c r="K36" t="e">
        <f t="shared" si="0"/>
        <v>#VALUE!</v>
      </c>
      <c r="L36" t="e">
        <f t="shared" si="2"/>
        <v>#VALUE!</v>
      </c>
      <c r="M36" t="str">
        <f t="shared" si="3"/>
        <v/>
      </c>
      <c r="N36" t="str">
        <f t="shared" si="4"/>
        <v/>
      </c>
      <c r="O36" t="e">
        <f t="shared" si="1"/>
        <v>#VALUE!</v>
      </c>
    </row>
    <row r="37" spans="1:15" x14ac:dyDescent="0.2">
      <c r="A37" s="222" t="str">
        <f t="array" ref="A37">IF(ISERROR(INDEX(Import1!$A$1:$I$201,SMALL(IF(Import1!$A$1:$I$201=$K$12,ROW(Import1!$A$1:$I$201)),ROW(14:14)),2)),"",INDEX(Import1!$A$1:$I$201,SMALL(IF(Import1!$A$1:$I$201=$K$12,ROW(Import1!$A$1:$I$201)),ROW(14:14)),2))</f>
        <v/>
      </c>
      <c r="B37" s="223" t="str">
        <f t="array" ref="B37">IF(ISERROR(INDEX(Import1!$A$1:$I$201,SMALL(IF(Import1!$A$1:$I$201=$K$12,ROW(Import1!$A$1:$I$201)),ROW(14:14)),5)),"",INDEX(Import1!$A$1:$I$201,SMALL(IF(Import1!$A$1:$I$201=$K$12,ROW(Import1!$A$1:$I$201)),ROW(14:14)),5))</f>
        <v/>
      </c>
      <c r="C37" s="224"/>
      <c r="D37" s="118"/>
      <c r="E37" s="80" t="s">
        <v>135</v>
      </c>
      <c r="F37" s="84"/>
      <c r="G37" s="175" t="str">
        <f>IF(Position=Defaults!L24,"No Orifice",IF(AND(ISNUMBER(G35),ISNUMBER(C18),ISNUMBER(G16),ISNUMBER(G29))=TRUE,(4*144/PI()*G16/3600/C18/0.6/(64.4*(0.7*G31+G35))^0.5)^0.5,""))</f>
        <v/>
      </c>
      <c r="H37" s="124"/>
      <c r="I37" s="4"/>
      <c r="K37" t="e">
        <f t="shared" si="0"/>
        <v>#VALUE!</v>
      </c>
      <c r="L37" t="e">
        <f t="shared" si="2"/>
        <v>#VALUE!</v>
      </c>
      <c r="M37" t="str">
        <f t="shared" si="3"/>
        <v/>
      </c>
      <c r="N37" t="str">
        <f t="shared" si="4"/>
        <v/>
      </c>
      <c r="O37" t="e">
        <f t="shared" si="1"/>
        <v>#VALUE!</v>
      </c>
    </row>
    <row r="38" spans="1:15" x14ac:dyDescent="0.2">
      <c r="A38" s="222" t="str">
        <f t="array" ref="A38">IF(ISERROR(INDEX(Import1!$A$1:$I$201,SMALL(IF(Import1!$A$1:$I$201=$K$12,ROW(Import1!$A$1:$I$201)),ROW(15:15)),2)),"",INDEX(Import1!$A$1:$I$201,SMALL(IF(Import1!$A$1:$I$201=$K$12,ROW(Import1!$A$1:$I$201)),ROW(15:15)),2))</f>
        <v/>
      </c>
      <c r="B38" s="223" t="str">
        <f t="array" ref="B38">IF(ISERROR(INDEX(Import1!$A$1:$I$201,SMALL(IF(Import1!$A$1:$I$201=$K$12,ROW(Import1!$A$1:$I$201)),ROW(15:15)),5)),"",INDEX(Import1!$A$1:$I$201,SMALL(IF(Import1!$A$1:$I$201=$K$12,ROW(Import1!$A$1:$I$201)),ROW(15:15)),5))</f>
        <v/>
      </c>
      <c r="C38" s="224"/>
      <c r="D38" s="118"/>
      <c r="E38" s="364" t="str">
        <f>IF(Position=Defaults!L24,"Use Riser? (Yes or No)","Design Orifice Dia. (in.)")</f>
        <v>Design Orifice Dia. (in.)</v>
      </c>
      <c r="F38" s="365"/>
      <c r="G38" s="176"/>
      <c r="H38" s="4"/>
      <c r="I38" s="4"/>
      <c r="K38" t="e">
        <f t="shared" si="0"/>
        <v>#VALUE!</v>
      </c>
      <c r="L38" t="e">
        <f t="shared" si="2"/>
        <v>#VALUE!</v>
      </c>
      <c r="M38" t="str">
        <f t="shared" si="3"/>
        <v/>
      </c>
      <c r="N38" t="str">
        <f t="shared" si="4"/>
        <v/>
      </c>
      <c r="O38" t="e">
        <f t="shared" si="1"/>
        <v>#VALUE!</v>
      </c>
    </row>
    <row r="39" spans="1:15" x14ac:dyDescent="0.2">
      <c r="A39" s="222" t="str">
        <f t="array" ref="A39">IF(ISERROR(INDEX(Import1!$A$1:$I$201,SMALL(IF(Import1!$A$1:$I$201=$K$12,ROW(Import1!$A$1:$I$201)),ROW(16:16)),2)),"",INDEX(Import1!$A$1:$I$201,SMALL(IF(Import1!$A$1:$I$201=$K$12,ROW(Import1!$A$1:$I$201)),ROW(16:16)),2))</f>
        <v/>
      </c>
      <c r="B39" s="223" t="str">
        <f t="array" ref="B39">IF(ISERROR(INDEX(Import1!$A$1:$I$201,SMALL(IF(Import1!$A$1:$I$201=$K$12,ROW(Import1!$A$1:$I$201)),ROW(16:16)),5)),"",INDEX(Import1!$A$1:$I$201,SMALL(IF(Import1!$A$1:$I$201=$K$12,ROW(Import1!$A$1:$I$201)),ROW(16:16)),5))</f>
        <v/>
      </c>
      <c r="C39" s="224"/>
      <c r="D39" s="118"/>
      <c r="E39" s="367"/>
      <c r="F39" s="367"/>
      <c r="G39" s="367"/>
      <c r="H39" s="4"/>
      <c r="I39" s="4"/>
      <c r="K39" t="e">
        <f t="shared" si="0"/>
        <v>#VALUE!</v>
      </c>
      <c r="L39" t="e">
        <f t="shared" si="2"/>
        <v>#VALUE!</v>
      </c>
      <c r="M39" t="str">
        <f t="shared" si="3"/>
        <v/>
      </c>
      <c r="N39" t="str">
        <f t="shared" si="4"/>
        <v/>
      </c>
      <c r="O39" t="e">
        <f t="shared" si="1"/>
        <v>#VALUE!</v>
      </c>
    </row>
    <row r="40" spans="1:15" x14ac:dyDescent="0.2">
      <c r="A40" s="222" t="str">
        <f t="array" ref="A40">IF(ISERROR(INDEX(Import1!$A$1:$I$201,SMALL(IF(Import1!$A$1:$I$201=$K$12,ROW(Import1!$A$1:$I$201)),ROW(17:17)),2)),"",INDEX(Import1!$A$1:$I$201,SMALL(IF(Import1!$A$1:$I$201=$K$12,ROW(Import1!$A$1:$I$201)),ROW(17:17)),2))</f>
        <v/>
      </c>
      <c r="B40" s="223" t="str">
        <f t="array" ref="B40">IF(ISERROR(INDEX(Import1!$A$1:$I$201,SMALL(IF(Import1!$A$1:$I$201=$K$12,ROW(Import1!$A$1:$I$201)),ROW(17:17)),5)),"",INDEX(Import1!$A$1:$I$201,SMALL(IF(Import1!$A$1:$I$201=$K$12,ROW(Import1!$A$1:$I$201)),ROW(17:17)),5))</f>
        <v/>
      </c>
      <c r="C40" s="224"/>
      <c r="D40" s="118"/>
      <c r="E40" s="80" t="s">
        <v>136</v>
      </c>
      <c r="F40" s="84"/>
      <c r="G40" s="87" t="str">
        <f>IF(Position=Defaults!L24,G16/C18/3600,IF(ISNUMBER(G38),0.6*PI()*G38^2/576*(64.4*(0.7*G31+G35))^0.5,""))</f>
        <v/>
      </c>
      <c r="H40" s="4"/>
      <c r="I40" s="4"/>
      <c r="K40" t="e">
        <f t="shared" si="0"/>
        <v>#VALUE!</v>
      </c>
      <c r="L40" t="e">
        <f t="shared" si="2"/>
        <v>#VALUE!</v>
      </c>
      <c r="M40" t="str">
        <f t="shared" si="3"/>
        <v/>
      </c>
      <c r="N40" t="str">
        <f t="shared" si="4"/>
        <v/>
      </c>
      <c r="O40" t="e">
        <f t="shared" si="1"/>
        <v>#VALUE!</v>
      </c>
    </row>
    <row r="41" spans="1:15" x14ac:dyDescent="0.2">
      <c r="A41" s="222" t="str">
        <f t="array" ref="A41">IF(ISERROR(INDEX(Import1!$A$1:$I$201,SMALL(IF(Import1!$A$1:$I$201=$K$12,ROW(Import1!$A$1:$I$201)),ROW(18:18)),2)),"",INDEX(Import1!$A$1:$I$201,SMALL(IF(Import1!$A$1:$I$201=$K$12,ROW(Import1!$A$1:$I$201)),ROW(18:18)),2))</f>
        <v/>
      </c>
      <c r="B41" s="223" t="str">
        <f t="array" ref="B41">IF(ISERROR(INDEX(Import1!$A$1:$I$201,SMALL(IF(Import1!$A$1:$I$201=$K$12,ROW(Import1!$A$1:$I$201)),ROW(18:18)),5)),"",INDEX(Import1!$A$1:$I$201,SMALL(IF(Import1!$A$1:$I$201=$K$12,ROW(Import1!$A$1:$I$201)),ROW(18:18)),5))</f>
        <v/>
      </c>
      <c r="C41" s="224"/>
      <c r="D41" s="4"/>
      <c r="E41" s="80" t="s">
        <v>137</v>
      </c>
      <c r="F41" s="84"/>
      <c r="G41" s="86" t="str">
        <f>IF(ISNUMBER(G45),IF(Position=Defaults!L24,IF(G38="YES",K49,IF(G38="NO",K50,K49)),IF(ISNUMBER(G38),0.6*PI()*G38^2/576*(64.4*(G31+G35))^0.5,"")),"")</f>
        <v/>
      </c>
      <c r="H41" s="4"/>
      <c r="I41" s="4"/>
      <c r="K41" t="e">
        <f t="shared" si="0"/>
        <v>#VALUE!</v>
      </c>
      <c r="L41" t="e">
        <f t="shared" si="2"/>
        <v>#VALUE!</v>
      </c>
      <c r="M41" t="str">
        <f t="shared" si="3"/>
        <v/>
      </c>
      <c r="N41" t="str">
        <f t="shared" si="4"/>
        <v/>
      </c>
      <c r="O41" t="e">
        <f t="shared" si="1"/>
        <v>#VALUE!</v>
      </c>
    </row>
    <row r="42" spans="1:15" x14ac:dyDescent="0.2">
      <c r="A42" s="222" t="str">
        <f t="array" ref="A42">IF(ISERROR(INDEX(Import1!$A$1:$I$201,SMALL(IF(Import1!$A$1:$I$201=$K$12,ROW(Import1!$A$1:$I$201)),ROW(19:19)),2)),"",INDEX(Import1!$A$1:$I$201,SMALL(IF(Import1!$A$1:$I$201=$K$12,ROW(Import1!$A$1:$I$201)),ROW(19:19)),2))</f>
        <v/>
      </c>
      <c r="B42" s="223" t="str">
        <f t="array" ref="B42">IF(ISERROR(INDEX(Import1!$A$1:$I$201,SMALL(IF(Import1!$A$1:$I$201=$K$12,ROW(Import1!$A$1:$I$201)),ROW(19:19)),5)),"",INDEX(Import1!$A$1:$I$201,SMALL(IF(Import1!$A$1:$I$201=$K$12,ROW(Import1!$A$1:$I$201)),ROW(19:19)),5))</f>
        <v/>
      </c>
      <c r="C42" s="224"/>
      <c r="D42" s="4"/>
      <c r="E42" s="368"/>
      <c r="F42" s="368"/>
      <c r="G42" s="368"/>
      <c r="H42" s="4"/>
      <c r="I42" s="4"/>
      <c r="K42" t="e">
        <f t="shared" si="0"/>
        <v>#VALUE!</v>
      </c>
      <c r="L42" t="e">
        <f t="shared" si="2"/>
        <v>#VALUE!</v>
      </c>
      <c r="M42" t="str">
        <f t="shared" si="3"/>
        <v/>
      </c>
      <c r="N42" t="str">
        <f t="shared" si="4"/>
        <v/>
      </c>
      <c r="O42" t="e">
        <f t="shared" si="1"/>
        <v>#VALUE!</v>
      </c>
    </row>
    <row r="43" spans="1:15" x14ac:dyDescent="0.2">
      <c r="A43" s="222" t="str">
        <f t="array" ref="A43">IF(ISERROR(INDEX(Import1!$A$1:$I$201,SMALL(IF(Import1!$A$1:$I$201=$K$12,ROW(Import1!$A$1:$I$201)),ROW(20:20)),2)),"",INDEX(Import1!$A$1:$I$201,SMALL(IF(Import1!$A$1:$I$201=$K$12,ROW(Import1!$A$1:$I$201)),ROW(20:20)),2))</f>
        <v/>
      </c>
      <c r="B43" s="223" t="str">
        <f t="array" ref="B43">IF(ISERROR(INDEX(Import1!$A$1:$I$201,SMALL(IF(Import1!$A$1:$I$201=$K$12,ROW(Import1!$A$1:$I$201)),ROW(20:20)),5)),"",INDEX(Import1!$A$1:$I$201,SMALL(IF(Import1!$A$1:$I$201=$K$12,ROW(Import1!$A$1:$I$201)),ROW(20:20)),5))</f>
        <v/>
      </c>
      <c r="C43" s="224"/>
      <c r="D43" s="5"/>
      <c r="E43" s="80" t="s">
        <v>138</v>
      </c>
      <c r="F43" s="84"/>
      <c r="G43" s="22" t="str">
        <f>IF(Position=Defaults!L24,IF(ISNUMBER(G40),G16/3600/G40,""),IF(ISNUMBER(G40),G16/3600/G40,""))</f>
        <v/>
      </c>
      <c r="H43" s="4"/>
      <c r="I43" s="4"/>
      <c r="K43" t="e">
        <f t="shared" si="0"/>
        <v>#VALUE!</v>
      </c>
      <c r="L43" t="e">
        <f t="shared" si="2"/>
        <v>#VALUE!</v>
      </c>
      <c r="M43" t="str">
        <f t="shared" si="3"/>
        <v/>
      </c>
      <c r="N43" t="str">
        <f t="shared" si="4"/>
        <v/>
      </c>
      <c r="O43" t="e">
        <f t="shared" si="1"/>
        <v>#VALUE!</v>
      </c>
    </row>
    <row r="44" spans="1:15" x14ac:dyDescent="0.2">
      <c r="A44" s="222" t="str">
        <f t="array" ref="A44">IF(ISERROR(INDEX(Import1!$A$1:$I$201,SMALL(IF(Import1!$A$1:$I$201=$K$12,ROW(Import1!$A$1:$I$201)),ROW(21:21)),2)),"",INDEX(Import1!$A$1:$I$201,SMALL(IF(Import1!$A$1:$I$201=$K$12,ROW(Import1!$A$1:$I$201)),ROW(21:21)),2))</f>
        <v/>
      </c>
      <c r="B44" s="223" t="str">
        <f t="array" ref="B44">IF(ISERROR(INDEX(Import1!$A$1:$I$201,SMALL(IF(Import1!$A$1:$I$201=$K$12,ROW(Import1!$A$1:$I$201)),ROW(21:21)),5)),"",INDEX(Import1!$A$1:$I$201,SMALL(IF(Import1!$A$1:$I$201=$K$12,ROW(Import1!$A$1:$I$201)),ROW(21:21)),5))</f>
        <v/>
      </c>
      <c r="C44" s="224"/>
      <c r="D44" s="4"/>
      <c r="E44" s="368"/>
      <c r="F44" s="368"/>
      <c r="G44" s="368"/>
      <c r="H44" s="4"/>
      <c r="I44" s="4"/>
      <c r="K44" t="e">
        <f t="shared" si="0"/>
        <v>#VALUE!</v>
      </c>
      <c r="L44" t="e">
        <f t="shared" si="2"/>
        <v>#VALUE!</v>
      </c>
      <c r="M44" t="str">
        <f t="shared" si="3"/>
        <v/>
      </c>
      <c r="N44" t="str">
        <f t="shared" si="4"/>
        <v/>
      </c>
      <c r="O44" t="e">
        <f t="shared" si="1"/>
        <v>#VALUE!</v>
      </c>
    </row>
    <row r="45" spans="1:15" x14ac:dyDescent="0.2">
      <c r="A45" s="222" t="str">
        <f t="array" ref="A45">IF(ISERROR(INDEX(Import1!$A$1:$I$201,SMALL(IF(Import1!$A$1:$I$201=$K$12,ROW(Import1!$A$1:$I$201)),ROW(22:22)),2)),"",INDEX(Import1!$A$1:$I$201,SMALL(IF(Import1!$A$1:$I$201=$K$12,ROW(Import1!$A$1:$I$201)),ROW(22:22)),2))</f>
        <v/>
      </c>
      <c r="B45" s="223" t="str">
        <f t="array" ref="B45">IF(ISERROR(INDEX(Import1!$A$1:$I$201,SMALL(IF(Import1!$A$1:$I$201=$K$12,ROW(Import1!$A$1:$I$201)),ROW(22:22)),5)),"",INDEX(Import1!$A$1:$I$201,SMALL(IF(Import1!$A$1:$I$201=$K$12,ROW(Import1!$A$1:$I$201)),ROW(22:22)),5))</f>
        <v/>
      </c>
      <c r="C45" s="224"/>
      <c r="D45" s="122"/>
      <c r="E45" s="80" t="s">
        <v>139</v>
      </c>
      <c r="F45" s="27"/>
      <c r="G45" s="88" t="str">
        <f>IF(Position=Defaults!L24,IF(G38="YES",K47,IF(G38="NO",K48,K47)),K46)</f>
        <v/>
      </c>
      <c r="H45" s="4"/>
      <c r="I45" s="4"/>
      <c r="K45" t="e">
        <f t="shared" si="0"/>
        <v>#VALUE!</v>
      </c>
      <c r="L45" t="e">
        <f t="shared" si="2"/>
        <v>#VALUE!</v>
      </c>
      <c r="M45" t="str">
        <f t="shared" si="3"/>
        <v/>
      </c>
      <c r="N45" t="str">
        <f t="shared" si="4"/>
        <v/>
      </c>
      <c r="O45" t="e">
        <f t="shared" si="1"/>
        <v>#VALUE!</v>
      </c>
    </row>
    <row r="46" spans="1:15" x14ac:dyDescent="0.2">
      <c r="A46" s="125"/>
      <c r="B46" s="125"/>
      <c r="C46" s="125"/>
      <c r="D46" s="125"/>
      <c r="E46" s="5"/>
      <c r="F46" s="5"/>
      <c r="G46" s="125"/>
      <c r="H46" s="5"/>
      <c r="I46" s="5"/>
      <c r="K46" t="str">
        <f>IF(ISNUMBER(G38),IF(IF((IF(G38&lt;=3.5,6,IF(G38&lt;=5.5,8,IF(G38&lt;=6,10,12))))=6,0.37*(MIN(3,G31))^1.5042,IF((IF(G38&lt;=3.5,6,IF(G38&lt;=5.5,8,IF(G38&lt;=6,10,12))))=8,0.5208*(MIN(3.33,G31))^1.5003,IF((IF(G38&lt;=3.5,6,IF(G38&lt;=5.5,8,IF(G38&lt;=6,10,12))))=10,0.8386*(MIN(3.33,G31))^1.4969,1.0444*(MIN(3.5,G31))^1.5004)))&gt;=G40,(IF(G38&lt;=3.5,6,IF(G38&lt;=5.5,8,IF(G38&lt;=6,10,12)))),IF(IF((IF(G38&lt;=3.5,6,IF(G38&lt;=5.5,8,IF(G38&lt;=6,10,12))))+2=8,0.5208*(MIN(3.33,G31))^1.5003,IF((IF(G38&lt;=3.5,6,IF(G38&lt;=5.5,8,IF(G38&lt;=6,10,12))))+2=10,0.8386*(MIN(3.33,G31))^1.4969,1.0444*(MIN(3.5,G31))^1.5004))&gt;=G40,(IF(G38&lt;=3.5,8,IF(G38&lt;=5.5,10,IF(G38&lt;=6,12,"----------------")))),IF(IF((IF(G38&lt;=3.5,6,IF(G38&lt;=5.5,8,IF(G38&lt;=6,10,12))))+4=10,0.8386*(MIN(3.33,G31))^1.4969,1.0444*(MIN(3.5,G31))^1.5004)&gt;=G40,(IF(G38&lt;=3.5,10,IF(G38&lt;=5.5,12,"----------------"))),"----------------"))),"")</f>
        <v/>
      </c>
    </row>
    <row r="47" spans="1:15" x14ac:dyDescent="0.2">
      <c r="A47" s="125"/>
      <c r="B47" s="125"/>
      <c r="C47" s="125"/>
      <c r="D47" s="125"/>
      <c r="E47" s="125"/>
      <c r="F47" s="125"/>
      <c r="G47" s="125"/>
      <c r="H47" s="125"/>
      <c r="I47" s="125"/>
      <c r="K47" t="str">
        <f>IF(0.37*(MIN(3,G31))^1.5042&gt;=G40,6,IF(0.5208*(MIN(3,G31))^1.5003&gt;=G40,8,IF(0.6695*(MIN(3,G31))^1.5004&gt;=G40,10,IF(1.0444*(MIN(3,G31))^1.5004&gt;=G40,12,"----------------"))))</f>
        <v>----------------</v>
      </c>
    </row>
    <row r="48" spans="1:15" ht="16.5" customHeight="1" x14ac:dyDescent="0.2">
      <c r="A48" s="122"/>
      <c r="B48" s="122"/>
      <c r="C48" s="122"/>
      <c r="D48" s="122"/>
      <c r="E48" s="122"/>
      <c r="F48" s="122"/>
      <c r="G48" s="122"/>
      <c r="H48" s="122"/>
      <c r="I48" s="122"/>
      <c r="K48" t="e">
        <f>IF(0.6*PI()*6^2/576*(64.4*0.7*G31)^0.5&gt;=G40,6,IF(0.6*PI()*8^2/576*(64.4*0.7*G31)^0.5&gt;=G40,8,IF(0.6*PI()*10^2/576*(64.4*0.7*G31)^0.5&gt;=G40,10,IF(0.6*PI()*12^2/576*(64.4*0.7*G31)^0.5&gt;=G40,12,"----------------"))))</f>
        <v>#VALUE!</v>
      </c>
    </row>
    <row r="49" spans="1:12" x14ac:dyDescent="0.2">
      <c r="A49" s="122"/>
      <c r="B49" s="122"/>
      <c r="C49" s="122"/>
      <c r="D49" s="122"/>
      <c r="E49" s="122"/>
      <c r="F49" s="122"/>
      <c r="G49" s="122"/>
      <c r="H49" s="122"/>
      <c r="I49" s="122"/>
      <c r="J49" s="4"/>
      <c r="K49" s="4" t="str">
        <f>IF(G45=6,IF(0.37*(MIN(3,G31))^1.5042&lt;=0.6*PI()*G45^2/576*(64.4*G31)^0.5,0.37*(MIN(3,G31))^1.5042,0.6*PI()*G45^2/576*(64.4*G31)^0.5),IF(G45=8,IF(0.5208*(MIN(3,G31))^1.5003&lt;=0.6*PI()*G45^2/576*(64.4*G31)^0.5,0.5208*(MIN(3,G31))^1.5003,0.6*PI()*G45^2/576*(64.4*G31)^0.5),IF(G45=10,IF(0.6695*(MIN(3,G31))^1.5004&lt;=0.6*PI()*G45^2/576*(64.4*G31)^0.5,0.6695*(MIN(3,G31))^1.5004,0.6*PI()*G45^2/576*(64.4*G31)^0.5),IF(G45=12,IF(1.0444*(MIN(3,G31))^1.5004&lt;=0.6*PI()*G45^2/576*(64.4*G31)^0.5,1.0444*(MIN(3,G31))^1.5004),"Too Large"))))</f>
        <v>Too Large</v>
      </c>
      <c r="L49" s="4"/>
    </row>
    <row r="50" spans="1:12" x14ac:dyDescent="0.2">
      <c r="A50" s="122"/>
      <c r="B50" s="122"/>
      <c r="C50" s="122"/>
      <c r="D50" s="122"/>
      <c r="E50" s="122"/>
      <c r="F50" s="122"/>
      <c r="G50" s="122"/>
      <c r="H50" s="122"/>
      <c r="I50" s="122"/>
      <c r="J50" s="4"/>
      <c r="K50" s="4" t="e">
        <f>0.6*PI()*G45^2/576*(64.4*G31)^0.5</f>
        <v>#VALUE!</v>
      </c>
      <c r="L50" s="4"/>
    </row>
    <row r="51" spans="1:12" x14ac:dyDescent="0.2">
      <c r="A51" s="122"/>
      <c r="B51" s="122"/>
      <c r="C51" s="122"/>
      <c r="D51" s="122"/>
      <c r="E51" s="122"/>
      <c r="F51" s="122"/>
      <c r="G51" s="122"/>
      <c r="H51" s="122"/>
      <c r="I51" s="122"/>
      <c r="J51" s="4"/>
      <c r="K51" s="4"/>
      <c r="L51" s="4"/>
    </row>
    <row r="52" spans="1:12" x14ac:dyDescent="0.2">
      <c r="A52" s="122"/>
      <c r="B52" s="122"/>
      <c r="C52" s="122"/>
      <c r="D52" s="122"/>
      <c r="E52" s="122"/>
      <c r="F52" s="122"/>
      <c r="G52" s="122"/>
      <c r="H52" s="122"/>
      <c r="I52" s="122"/>
      <c r="K52" s="4"/>
      <c r="L52" s="4"/>
    </row>
    <row r="53" spans="1:12" x14ac:dyDescent="0.2">
      <c r="A53" s="122"/>
      <c r="B53" s="122"/>
      <c r="C53" s="122"/>
      <c r="D53" s="122"/>
      <c r="E53" s="122"/>
      <c r="F53" s="122"/>
      <c r="G53" s="122"/>
      <c r="H53" s="122"/>
      <c r="I53" s="122"/>
      <c r="J53" s="4"/>
      <c r="K53" s="4"/>
      <c r="L53" s="4"/>
    </row>
    <row r="54" spans="1:12" x14ac:dyDescent="0.2">
      <c r="A54" s="122"/>
      <c r="B54" s="122"/>
      <c r="C54" s="122"/>
      <c r="D54" s="122"/>
      <c r="E54" s="122"/>
      <c r="F54" s="122"/>
      <c r="G54" s="122"/>
      <c r="H54" s="122"/>
      <c r="I54" s="122"/>
    </row>
    <row r="55" spans="1:12" x14ac:dyDescent="0.2">
      <c r="A55" s="130"/>
      <c r="B55" s="4"/>
      <c r="C55" s="4"/>
      <c r="D55" s="4"/>
      <c r="E55" s="4"/>
      <c r="F55" s="122"/>
      <c r="G55" s="122"/>
      <c r="H55" s="122"/>
      <c r="I55" s="122"/>
    </row>
    <row r="56" spans="1:12" x14ac:dyDescent="0.2">
      <c r="A56" s="4"/>
      <c r="B56" s="4"/>
      <c r="C56" s="4"/>
      <c r="D56" s="4"/>
      <c r="E56" s="5"/>
      <c r="F56" s="122"/>
      <c r="G56" s="122"/>
      <c r="H56" s="122"/>
      <c r="I56" s="122"/>
    </row>
    <row r="57" spans="1:12" x14ac:dyDescent="0.2">
      <c r="A57" s="111"/>
      <c r="B57" s="111"/>
      <c r="C57" s="118"/>
      <c r="D57" s="5"/>
      <c r="E57" s="5"/>
      <c r="F57" s="122"/>
      <c r="G57" s="122"/>
      <c r="H57" s="122"/>
      <c r="I57" s="122"/>
    </row>
    <row r="58" spans="1:12" x14ac:dyDescent="0.2">
      <c r="A58" s="112"/>
      <c r="B58" s="5"/>
      <c r="C58" s="113"/>
      <c r="D58" s="110"/>
      <c r="E58" s="5"/>
      <c r="F58" s="122"/>
      <c r="G58" s="122"/>
      <c r="H58" s="122"/>
      <c r="I58" s="122"/>
    </row>
    <row r="59" spans="1:12" x14ac:dyDescent="0.2">
      <c r="A59" s="112"/>
      <c r="B59" s="5"/>
      <c r="C59" s="5"/>
      <c r="D59" s="110"/>
      <c r="E59" s="5"/>
      <c r="F59" s="122"/>
      <c r="G59" s="122"/>
      <c r="H59" s="122"/>
      <c r="I59" s="122"/>
    </row>
    <row r="60" spans="1:12" x14ac:dyDescent="0.2">
      <c r="A60" s="111"/>
      <c r="B60" s="111"/>
      <c r="C60" s="111"/>
      <c r="D60" s="99"/>
      <c r="E60" s="5"/>
      <c r="F60" s="122"/>
      <c r="G60" s="122"/>
      <c r="H60" s="122"/>
      <c r="I60" s="122"/>
    </row>
    <row r="61" spans="1:12" x14ac:dyDescent="0.2">
      <c r="A61" s="114"/>
      <c r="B61" s="5"/>
      <c r="C61" s="5"/>
      <c r="D61" s="99"/>
      <c r="E61" s="5"/>
      <c r="F61" s="122"/>
      <c r="G61" s="122"/>
      <c r="H61" s="122"/>
      <c r="I61" s="122"/>
    </row>
    <row r="62" spans="1:12" x14ac:dyDescent="0.2">
      <c r="A62" s="111"/>
      <c r="B62" s="111"/>
      <c r="C62" s="111"/>
      <c r="D62" s="115"/>
      <c r="E62" s="4"/>
      <c r="F62" s="122"/>
      <c r="G62" s="122"/>
      <c r="H62" s="122"/>
      <c r="I62" s="122"/>
    </row>
    <row r="63" spans="1:12" x14ac:dyDescent="0.2">
      <c r="A63" s="5"/>
      <c r="B63" s="5"/>
      <c r="C63" s="5"/>
      <c r="D63" s="5"/>
      <c r="E63" s="4"/>
      <c r="F63" s="122"/>
      <c r="G63" s="122"/>
      <c r="H63" s="122"/>
      <c r="I63" s="122"/>
    </row>
    <row r="64" spans="1:12" x14ac:dyDescent="0.2">
      <c r="A64" s="112"/>
      <c r="B64" s="5"/>
      <c r="C64" s="110"/>
      <c r="D64" s="5"/>
      <c r="E64" s="4"/>
      <c r="F64" s="122"/>
      <c r="G64" s="122"/>
      <c r="H64" s="122"/>
      <c r="I64" s="122"/>
    </row>
    <row r="65" spans="1:9" x14ac:dyDescent="0.2">
      <c r="A65" s="112"/>
      <c r="B65" s="5"/>
      <c r="C65" s="116"/>
      <c r="D65" s="5"/>
      <c r="E65" s="4"/>
      <c r="F65" s="122"/>
      <c r="G65" s="122"/>
      <c r="H65" s="122"/>
      <c r="I65" s="122"/>
    </row>
    <row r="66" spans="1:9" x14ac:dyDescent="0.2">
      <c r="A66" s="112"/>
      <c r="B66" s="5"/>
      <c r="C66" s="110"/>
      <c r="D66" s="5"/>
      <c r="E66" s="5"/>
      <c r="F66" s="122"/>
      <c r="G66" s="122"/>
      <c r="H66" s="122"/>
      <c r="I66" s="122"/>
    </row>
    <row r="67" spans="1:9" x14ac:dyDescent="0.2">
      <c r="A67" s="112"/>
      <c r="B67" s="5"/>
      <c r="C67" s="116"/>
      <c r="D67" s="5"/>
      <c r="E67" s="4"/>
      <c r="F67" s="122"/>
      <c r="G67" s="122"/>
      <c r="H67" s="122"/>
      <c r="I67" s="122"/>
    </row>
    <row r="68" spans="1:9" x14ac:dyDescent="0.2">
      <c r="A68" s="117"/>
      <c r="B68" s="117"/>
      <c r="C68" s="99"/>
      <c r="D68" s="5"/>
      <c r="E68" s="122"/>
      <c r="F68" s="122"/>
      <c r="G68" s="122"/>
      <c r="H68" s="122"/>
      <c r="I68" s="122"/>
    </row>
    <row r="69" spans="1:9" x14ac:dyDescent="0.2">
      <c r="A69" s="122"/>
      <c r="B69" s="122"/>
      <c r="C69" s="122"/>
      <c r="D69" s="122"/>
      <c r="E69" s="122"/>
      <c r="F69" s="122"/>
      <c r="G69" s="122"/>
      <c r="H69" s="122"/>
      <c r="I69" s="122"/>
    </row>
    <row r="70" spans="1:9" x14ac:dyDescent="0.2">
      <c r="A70" s="122"/>
      <c r="B70" s="122"/>
      <c r="C70" s="122"/>
      <c r="D70" s="122"/>
      <c r="E70" s="122"/>
      <c r="F70" s="122"/>
      <c r="G70" s="122"/>
      <c r="H70" s="122"/>
      <c r="I70" s="122"/>
    </row>
    <row r="71" spans="1:9" x14ac:dyDescent="0.2">
      <c r="A71" s="122"/>
      <c r="B71" s="122"/>
      <c r="C71" s="122"/>
      <c r="D71" s="122"/>
      <c r="E71" s="122"/>
      <c r="F71" s="122"/>
      <c r="G71" s="122"/>
      <c r="H71" s="122"/>
      <c r="I71" s="122"/>
    </row>
    <row r="72" spans="1:9" x14ac:dyDescent="0.2">
      <c r="A72" s="122"/>
      <c r="B72" s="122"/>
      <c r="C72" s="122"/>
      <c r="D72" s="122"/>
      <c r="E72" s="122"/>
      <c r="F72" s="122"/>
      <c r="G72" s="122"/>
      <c r="H72" s="122"/>
      <c r="I72" s="122"/>
    </row>
    <row r="73" spans="1:9" x14ac:dyDescent="0.2">
      <c r="A73" s="122"/>
      <c r="B73" s="122"/>
      <c r="C73" s="122"/>
      <c r="D73" s="122"/>
      <c r="E73" s="122"/>
      <c r="F73" s="122"/>
      <c r="G73" s="122"/>
      <c r="H73" s="122"/>
      <c r="I73" s="122"/>
    </row>
    <row r="74" spans="1:9" x14ac:dyDescent="0.2">
      <c r="A74" s="122"/>
      <c r="B74" s="122"/>
      <c r="C74" s="122"/>
      <c r="D74" s="122"/>
      <c r="E74" s="122"/>
      <c r="F74" s="122"/>
      <c r="G74" s="122"/>
      <c r="H74" s="122"/>
      <c r="I74" s="122"/>
    </row>
    <row r="75" spans="1:9" x14ac:dyDescent="0.2">
      <c r="A75" s="122"/>
      <c r="B75" s="122"/>
      <c r="C75" s="122"/>
      <c r="D75" s="122"/>
      <c r="E75" s="122"/>
      <c r="F75" s="122"/>
      <c r="G75" s="122"/>
      <c r="H75" s="122"/>
      <c r="I75" s="122"/>
    </row>
    <row r="76" spans="1:9" x14ac:dyDescent="0.2">
      <c r="A76" s="122"/>
      <c r="B76" s="122"/>
      <c r="C76" s="122"/>
      <c r="D76" s="122"/>
      <c r="E76" s="122"/>
      <c r="F76" s="122"/>
      <c r="G76" s="122"/>
      <c r="H76" s="122"/>
      <c r="I76" s="122"/>
    </row>
    <row r="77" spans="1:9" x14ac:dyDescent="0.2">
      <c r="A77" s="122"/>
      <c r="B77" s="122"/>
      <c r="C77" s="122"/>
      <c r="D77" s="122"/>
      <c r="E77" s="122"/>
      <c r="F77" s="122"/>
      <c r="G77" s="122"/>
      <c r="H77" s="122"/>
      <c r="I77" s="122"/>
    </row>
    <row r="78" spans="1:9" x14ac:dyDescent="0.2">
      <c r="A78" s="122"/>
      <c r="B78" s="122"/>
      <c r="C78" s="122"/>
      <c r="D78" s="122"/>
      <c r="E78" s="122"/>
      <c r="F78" s="122"/>
      <c r="G78" s="122"/>
      <c r="H78" s="122"/>
      <c r="I78" s="122"/>
    </row>
    <row r="79" spans="1:9" x14ac:dyDescent="0.2">
      <c r="A79" s="122"/>
      <c r="B79" s="122"/>
      <c r="C79" s="122"/>
      <c r="D79" s="122"/>
      <c r="E79" s="122"/>
      <c r="F79" s="122"/>
      <c r="G79" s="122"/>
      <c r="H79" s="122"/>
      <c r="I79" s="122"/>
    </row>
    <row r="80" spans="1:9" x14ac:dyDescent="0.2">
      <c r="A80" s="122"/>
      <c r="B80" s="122"/>
      <c r="C80" s="122"/>
      <c r="D80" s="122"/>
      <c r="E80" s="122"/>
      <c r="F80" s="122"/>
      <c r="G80" s="122"/>
      <c r="H80" s="122"/>
      <c r="I80" s="122"/>
    </row>
    <row r="81" spans="1:9" x14ac:dyDescent="0.2">
      <c r="A81" s="122"/>
      <c r="B81" s="122"/>
      <c r="C81" s="122"/>
      <c r="D81" s="122"/>
      <c r="E81" s="122"/>
      <c r="F81" s="122"/>
      <c r="G81" s="122"/>
      <c r="H81" s="122"/>
      <c r="I81" s="122"/>
    </row>
    <row r="82" spans="1:9" x14ac:dyDescent="0.2">
      <c r="A82" s="122"/>
      <c r="B82" s="122"/>
      <c r="C82" s="122"/>
      <c r="D82" s="122"/>
      <c r="E82" s="122"/>
      <c r="F82" s="122"/>
      <c r="G82" s="122"/>
      <c r="H82" s="122"/>
      <c r="I82" s="122"/>
    </row>
    <row r="83" spans="1:9" x14ac:dyDescent="0.2">
      <c r="A83" s="122"/>
      <c r="B83" s="122"/>
      <c r="C83" s="122"/>
      <c r="D83" s="122"/>
      <c r="E83" s="122"/>
      <c r="F83" s="122"/>
      <c r="G83" s="122"/>
      <c r="H83" s="122"/>
      <c r="I83" s="122"/>
    </row>
    <row r="84" spans="1:9" x14ac:dyDescent="0.2">
      <c r="A84" s="122"/>
      <c r="B84" s="122"/>
      <c r="C84" s="122"/>
      <c r="D84" s="122"/>
      <c r="E84" s="122"/>
      <c r="F84" s="122"/>
      <c r="G84" s="122"/>
      <c r="H84" s="122"/>
      <c r="I84" s="122"/>
    </row>
    <row r="85" spans="1:9" x14ac:dyDescent="0.2">
      <c r="A85" s="122"/>
      <c r="B85" s="122"/>
      <c r="C85" s="122"/>
      <c r="D85" s="122"/>
      <c r="E85" s="122"/>
      <c r="F85" s="122"/>
      <c r="G85" s="122"/>
      <c r="H85" s="122"/>
      <c r="I85" s="122"/>
    </row>
    <row r="86" spans="1:9" x14ac:dyDescent="0.2">
      <c r="A86" s="122"/>
      <c r="B86" s="122"/>
      <c r="C86" s="122"/>
      <c r="D86" s="122"/>
      <c r="E86" s="122"/>
      <c r="F86" s="122"/>
      <c r="G86" s="122"/>
      <c r="H86" s="122"/>
      <c r="I86" s="122"/>
    </row>
    <row r="87" spans="1:9" x14ac:dyDescent="0.2">
      <c r="A87" s="122"/>
      <c r="B87" s="122"/>
      <c r="C87" s="122"/>
      <c r="D87" s="122"/>
      <c r="E87" s="122"/>
      <c r="F87" s="122"/>
      <c r="G87" s="122"/>
      <c r="H87" s="122"/>
      <c r="I87" s="122"/>
    </row>
    <row r="88" spans="1:9" x14ac:dyDescent="0.2">
      <c r="A88" s="122"/>
      <c r="B88" s="122"/>
      <c r="C88" s="122"/>
      <c r="D88" s="122"/>
      <c r="E88" s="122"/>
      <c r="F88" s="122"/>
      <c r="G88" s="122"/>
      <c r="H88" s="122"/>
      <c r="I88" s="122"/>
    </row>
    <row r="89" spans="1:9" x14ac:dyDescent="0.2">
      <c r="A89" s="122"/>
      <c r="B89" s="122"/>
      <c r="C89" s="122"/>
      <c r="D89" s="122"/>
      <c r="E89" s="122"/>
      <c r="F89" s="122"/>
      <c r="G89" s="122"/>
      <c r="H89" s="122"/>
      <c r="I89" s="122"/>
    </row>
    <row r="90" spans="1:9" x14ac:dyDescent="0.2">
      <c r="A90" s="122"/>
      <c r="B90" s="122"/>
      <c r="C90" s="122"/>
      <c r="D90" s="122"/>
      <c r="E90" s="122"/>
      <c r="F90" s="122"/>
      <c r="G90" s="122"/>
      <c r="H90" s="122"/>
      <c r="I90" s="122"/>
    </row>
    <row r="91" spans="1:9" x14ac:dyDescent="0.2">
      <c r="A91" s="122"/>
      <c r="B91" s="122"/>
      <c r="C91" s="122"/>
      <c r="D91" s="122"/>
      <c r="E91" s="122"/>
      <c r="F91" s="122"/>
      <c r="G91" s="122"/>
      <c r="H91" s="122"/>
      <c r="I91" s="122"/>
    </row>
    <row r="92" spans="1:9" x14ac:dyDescent="0.2">
      <c r="A92" s="122"/>
      <c r="B92" s="122"/>
      <c r="C92" s="122"/>
      <c r="D92" s="122"/>
      <c r="E92" s="122"/>
      <c r="F92" s="122"/>
      <c r="G92" s="122"/>
      <c r="H92" s="122"/>
      <c r="I92" s="122"/>
    </row>
    <row r="93" spans="1:9" x14ac:dyDescent="0.2">
      <c r="A93" s="122"/>
      <c r="B93" s="122"/>
      <c r="C93" s="122"/>
      <c r="D93" s="122"/>
      <c r="E93" s="122"/>
      <c r="F93" s="122"/>
      <c r="G93" s="122"/>
      <c r="H93" s="122"/>
      <c r="I93" s="122"/>
    </row>
    <row r="94" spans="1:9" x14ac:dyDescent="0.2">
      <c r="A94" s="122"/>
      <c r="B94" s="122"/>
      <c r="C94" s="122"/>
      <c r="D94" s="122"/>
      <c r="E94" s="122"/>
      <c r="F94" s="122"/>
      <c r="G94" s="122"/>
      <c r="H94" s="122"/>
      <c r="I94" s="122"/>
    </row>
    <row r="95" spans="1:9" x14ac:dyDescent="0.2">
      <c r="A95" s="122"/>
      <c r="B95" s="122"/>
      <c r="C95" s="122"/>
      <c r="D95" s="122"/>
      <c r="E95" s="122"/>
      <c r="F95" s="122"/>
      <c r="G95" s="122"/>
      <c r="H95" s="122"/>
      <c r="I95" s="122"/>
    </row>
    <row r="96" spans="1:9" x14ac:dyDescent="0.2">
      <c r="A96" s="122"/>
      <c r="B96" s="122"/>
      <c r="C96" s="122"/>
      <c r="D96" s="122"/>
      <c r="E96" s="122"/>
      <c r="F96" s="122"/>
      <c r="G96" s="122"/>
      <c r="H96" s="122"/>
      <c r="I96" s="122"/>
    </row>
    <row r="97" spans="1:9" x14ac:dyDescent="0.2">
      <c r="A97" s="122"/>
      <c r="B97" s="122"/>
      <c r="C97" s="122"/>
      <c r="D97" s="122"/>
      <c r="E97" s="122"/>
      <c r="F97" s="122"/>
      <c r="G97" s="122"/>
      <c r="H97" s="122"/>
      <c r="I97" s="122"/>
    </row>
    <row r="98" spans="1:9" x14ac:dyDescent="0.2">
      <c r="A98" s="122"/>
      <c r="B98" s="122"/>
      <c r="C98" s="122"/>
      <c r="D98" s="122"/>
      <c r="E98" s="122"/>
      <c r="F98" s="122"/>
      <c r="G98" s="122"/>
      <c r="H98" s="122"/>
      <c r="I98" s="122"/>
    </row>
    <row r="99" spans="1:9" x14ac:dyDescent="0.2">
      <c r="A99" s="122"/>
      <c r="B99" s="122"/>
      <c r="C99" s="122"/>
      <c r="D99" s="122"/>
      <c r="E99" s="122"/>
      <c r="F99" s="122"/>
      <c r="G99" s="122"/>
      <c r="H99" s="122"/>
      <c r="I99" s="122"/>
    </row>
    <row r="100" spans="1:9" x14ac:dyDescent="0.2">
      <c r="A100" s="122"/>
      <c r="B100" s="122"/>
      <c r="C100" s="122"/>
      <c r="D100" s="122"/>
      <c r="E100" s="122"/>
      <c r="F100" s="122"/>
      <c r="G100" s="122"/>
      <c r="H100" s="122"/>
      <c r="I100" s="122"/>
    </row>
    <row r="101" spans="1:9" x14ac:dyDescent="0.2">
      <c r="A101" s="122"/>
      <c r="B101" s="122"/>
      <c r="C101" s="122"/>
      <c r="D101" s="122"/>
      <c r="E101" s="122"/>
      <c r="F101" s="122"/>
      <c r="G101" s="122"/>
      <c r="H101" s="122"/>
      <c r="I101" s="122"/>
    </row>
    <row r="102" spans="1:9" x14ac:dyDescent="0.2">
      <c r="A102" s="122"/>
      <c r="B102" s="122"/>
      <c r="C102" s="122"/>
      <c r="D102" s="122"/>
      <c r="E102" s="122"/>
      <c r="F102" s="122"/>
      <c r="G102" s="122"/>
      <c r="H102" s="122"/>
      <c r="I102" s="122"/>
    </row>
    <row r="103" spans="1:9" x14ac:dyDescent="0.2">
      <c r="A103" s="122"/>
      <c r="B103" s="122"/>
      <c r="C103" s="122"/>
      <c r="D103" s="122"/>
      <c r="E103" s="122"/>
      <c r="F103" s="122"/>
      <c r="G103" s="122"/>
      <c r="H103" s="122"/>
      <c r="I103" s="122"/>
    </row>
    <row r="104" spans="1:9" x14ac:dyDescent="0.2">
      <c r="A104" s="122"/>
      <c r="B104" s="122"/>
      <c r="C104" s="122"/>
      <c r="D104" s="122"/>
      <c r="E104" s="122"/>
      <c r="F104" s="122"/>
      <c r="G104" s="122"/>
      <c r="H104" s="122"/>
      <c r="I104" s="122"/>
    </row>
    <row r="105" spans="1:9" x14ac:dyDescent="0.2">
      <c r="A105" s="122"/>
      <c r="B105" s="122"/>
      <c r="C105" s="122"/>
      <c r="D105" s="122"/>
      <c r="E105" s="122"/>
      <c r="F105" s="122"/>
      <c r="G105" s="122"/>
      <c r="H105" s="122"/>
      <c r="I105" s="122"/>
    </row>
    <row r="106" spans="1:9" x14ac:dyDescent="0.2">
      <c r="A106" s="122"/>
      <c r="B106" s="122"/>
      <c r="C106" s="122"/>
      <c r="D106" s="122"/>
      <c r="E106" s="122"/>
      <c r="F106" s="122"/>
      <c r="G106" s="122"/>
      <c r="H106" s="122"/>
      <c r="I106" s="122"/>
    </row>
    <row r="107" spans="1:9" x14ac:dyDescent="0.2">
      <c r="A107" s="122"/>
      <c r="B107" s="122"/>
      <c r="C107" s="122"/>
      <c r="D107" s="122"/>
      <c r="E107" s="122"/>
      <c r="F107" s="122"/>
      <c r="G107" s="122"/>
      <c r="H107" s="122"/>
      <c r="I107" s="122"/>
    </row>
    <row r="108" spans="1:9" x14ac:dyDescent="0.2">
      <c r="A108" s="122"/>
      <c r="B108" s="122"/>
      <c r="C108" s="122"/>
      <c r="D108" s="122"/>
      <c r="E108" s="122"/>
      <c r="F108" s="122"/>
      <c r="G108" s="122"/>
      <c r="H108" s="122"/>
      <c r="I108" s="122"/>
    </row>
    <row r="109" spans="1:9" x14ac:dyDescent="0.2">
      <c r="A109" s="122"/>
      <c r="B109" s="122"/>
      <c r="C109" s="122"/>
      <c r="D109" s="122"/>
      <c r="E109" s="122"/>
      <c r="F109" s="122"/>
      <c r="G109" s="122"/>
      <c r="H109" s="122"/>
      <c r="I109" s="122"/>
    </row>
    <row r="110" spans="1:9" x14ac:dyDescent="0.2">
      <c r="A110" s="122"/>
      <c r="B110" s="122"/>
      <c r="C110" s="122"/>
      <c r="D110" s="122"/>
      <c r="E110" s="122"/>
      <c r="F110" s="122"/>
      <c r="G110" s="122"/>
      <c r="H110" s="122"/>
      <c r="I110" s="122"/>
    </row>
    <row r="111" spans="1:9" x14ac:dyDescent="0.2">
      <c r="A111" s="122"/>
      <c r="B111" s="122"/>
      <c r="C111" s="122"/>
      <c r="D111" s="122"/>
      <c r="E111" s="122"/>
      <c r="F111" s="122"/>
      <c r="G111" s="122"/>
      <c r="H111" s="122"/>
      <c r="I111" s="122"/>
    </row>
    <row r="112" spans="1:9" x14ac:dyDescent="0.2">
      <c r="A112" s="122"/>
      <c r="B112" s="122"/>
      <c r="C112" s="122"/>
      <c r="D112" s="122"/>
      <c r="E112" s="122"/>
      <c r="F112" s="122"/>
      <c r="G112" s="122"/>
      <c r="H112" s="122"/>
      <c r="I112" s="122"/>
    </row>
    <row r="113" spans="1:9" x14ac:dyDescent="0.2">
      <c r="A113" s="122"/>
      <c r="B113" s="122"/>
      <c r="C113" s="122"/>
      <c r="D113" s="122"/>
      <c r="E113" s="122"/>
      <c r="F113" s="122"/>
      <c r="G113" s="122"/>
      <c r="H113" s="122"/>
      <c r="I113" s="122"/>
    </row>
    <row r="114" spans="1:9" x14ac:dyDescent="0.2">
      <c r="A114" s="122"/>
      <c r="B114" s="122"/>
      <c r="C114" s="122"/>
      <c r="D114" s="122"/>
      <c r="E114" s="122"/>
      <c r="F114" s="122"/>
      <c r="G114" s="122"/>
      <c r="H114" s="122"/>
      <c r="I114" s="122"/>
    </row>
    <row r="115" spans="1:9" x14ac:dyDescent="0.2">
      <c r="A115" s="122"/>
      <c r="B115" s="122"/>
      <c r="C115" s="122"/>
      <c r="D115" s="122"/>
      <c r="E115" s="122"/>
      <c r="F115" s="122"/>
      <c r="G115" s="122"/>
      <c r="H115" s="122"/>
      <c r="I115" s="122"/>
    </row>
    <row r="116" spans="1:9" x14ac:dyDescent="0.2">
      <c r="A116" s="122"/>
      <c r="B116" s="122"/>
      <c r="C116" s="122"/>
      <c r="D116" s="122"/>
      <c r="E116" s="122"/>
      <c r="F116" s="122"/>
      <c r="G116" s="122"/>
      <c r="H116" s="122"/>
      <c r="I116" s="122"/>
    </row>
    <row r="117" spans="1:9" x14ac:dyDescent="0.2">
      <c r="A117" s="122"/>
      <c r="B117" s="122"/>
      <c r="C117" s="122"/>
      <c r="D117" s="122"/>
      <c r="E117" s="122"/>
      <c r="F117" s="122"/>
      <c r="G117" s="122"/>
      <c r="H117" s="122"/>
      <c r="I117" s="122"/>
    </row>
    <row r="118" spans="1:9" x14ac:dyDescent="0.2">
      <c r="A118" s="122"/>
      <c r="B118" s="122"/>
      <c r="C118" s="122"/>
      <c r="D118" s="122"/>
      <c r="E118" s="122"/>
      <c r="F118" s="122"/>
      <c r="G118" s="122"/>
      <c r="H118" s="122"/>
      <c r="I118" s="122"/>
    </row>
    <row r="119" spans="1:9" x14ac:dyDescent="0.2">
      <c r="A119" s="122"/>
      <c r="B119" s="122"/>
      <c r="C119" s="122"/>
      <c r="D119" s="122"/>
      <c r="E119" s="122"/>
      <c r="F119" s="122"/>
      <c r="G119" s="122"/>
      <c r="H119" s="122"/>
      <c r="I119" s="122"/>
    </row>
    <row r="120" spans="1:9" x14ac:dyDescent="0.2">
      <c r="A120" s="122"/>
      <c r="B120" s="122"/>
      <c r="C120" s="122"/>
      <c r="D120" s="122"/>
      <c r="E120" s="122"/>
      <c r="F120" s="122"/>
      <c r="G120" s="122"/>
      <c r="H120" s="122"/>
      <c r="I120" s="122"/>
    </row>
    <row r="121" spans="1:9" x14ac:dyDescent="0.2">
      <c r="A121" s="122"/>
      <c r="B121" s="122"/>
      <c r="C121" s="122"/>
      <c r="D121" s="122"/>
      <c r="E121" s="122"/>
      <c r="F121" s="122"/>
      <c r="G121" s="122"/>
      <c r="H121" s="122"/>
      <c r="I121" s="122"/>
    </row>
    <row r="122" spans="1:9" x14ac:dyDescent="0.2">
      <c r="A122" s="122"/>
      <c r="B122" s="122"/>
      <c r="C122" s="122"/>
      <c r="D122" s="122"/>
      <c r="E122" s="122"/>
      <c r="F122" s="122"/>
      <c r="G122" s="122"/>
      <c r="H122" s="122"/>
      <c r="I122" s="122"/>
    </row>
    <row r="123" spans="1:9" x14ac:dyDescent="0.2">
      <c r="A123" s="122"/>
      <c r="B123" s="122"/>
      <c r="C123" s="122"/>
      <c r="D123" s="122"/>
      <c r="E123" s="122"/>
      <c r="F123" s="122"/>
      <c r="G123" s="122"/>
      <c r="H123" s="122"/>
      <c r="I123" s="122"/>
    </row>
    <row r="124" spans="1:9" x14ac:dyDescent="0.2">
      <c r="A124" s="122"/>
      <c r="B124" s="122"/>
      <c r="C124" s="122"/>
      <c r="D124" s="122"/>
      <c r="E124" s="122"/>
      <c r="F124" s="122"/>
      <c r="G124" s="122"/>
      <c r="H124" s="122"/>
      <c r="I124" s="122"/>
    </row>
    <row r="125" spans="1:9" x14ac:dyDescent="0.2">
      <c r="A125" s="122"/>
      <c r="B125" s="122"/>
      <c r="C125" s="122"/>
      <c r="D125" s="122"/>
      <c r="E125" s="122"/>
      <c r="F125" s="122"/>
      <c r="G125" s="122"/>
      <c r="H125" s="122"/>
      <c r="I125" s="122"/>
    </row>
    <row r="126" spans="1:9" x14ac:dyDescent="0.2">
      <c r="A126" s="122"/>
      <c r="B126" s="122"/>
      <c r="C126" s="122"/>
      <c r="D126" s="122"/>
      <c r="E126" s="122"/>
      <c r="F126" s="122"/>
      <c r="G126" s="122"/>
      <c r="H126" s="122"/>
      <c r="I126" s="122"/>
    </row>
    <row r="127" spans="1:9" x14ac:dyDescent="0.2">
      <c r="A127" s="122"/>
      <c r="B127" s="122"/>
      <c r="C127" s="122"/>
      <c r="D127" s="122"/>
      <c r="E127" s="122"/>
      <c r="F127" s="122"/>
      <c r="G127" s="122"/>
      <c r="H127" s="122"/>
      <c r="I127" s="122"/>
    </row>
    <row r="128" spans="1:9" x14ac:dyDescent="0.2">
      <c r="A128" s="122"/>
      <c r="B128" s="122"/>
      <c r="C128" s="122"/>
      <c r="D128" s="122"/>
      <c r="E128" s="122"/>
      <c r="F128" s="122"/>
      <c r="G128" s="122"/>
      <c r="H128" s="122"/>
      <c r="I128" s="122"/>
    </row>
    <row r="129" spans="1:9" x14ac:dyDescent="0.2">
      <c r="A129" s="122"/>
      <c r="B129" s="122"/>
      <c r="C129" s="122"/>
      <c r="D129" s="122"/>
      <c r="E129" s="122"/>
      <c r="F129" s="122"/>
      <c r="G129" s="122"/>
      <c r="H129" s="122"/>
      <c r="I129" s="122"/>
    </row>
    <row r="130" spans="1:9" x14ac:dyDescent="0.2">
      <c r="A130" s="122"/>
      <c r="B130" s="122"/>
      <c r="C130" s="122"/>
      <c r="D130" s="122"/>
      <c r="E130" s="122"/>
      <c r="F130" s="122"/>
      <c r="G130" s="122"/>
      <c r="H130" s="122"/>
      <c r="I130" s="122"/>
    </row>
    <row r="131" spans="1:9" x14ac:dyDescent="0.2">
      <c r="A131" s="122"/>
      <c r="B131" s="122"/>
      <c r="C131" s="122"/>
      <c r="D131" s="122"/>
      <c r="E131" s="122"/>
      <c r="F131" s="122"/>
      <c r="G131" s="122"/>
      <c r="H131" s="122"/>
      <c r="I131" s="122"/>
    </row>
    <row r="132" spans="1:9" x14ac:dyDescent="0.2">
      <c r="A132" s="122"/>
      <c r="B132" s="122"/>
      <c r="C132" s="122"/>
      <c r="D132" s="122"/>
      <c r="E132" s="122"/>
      <c r="F132" s="122"/>
      <c r="G132" s="122"/>
      <c r="H132" s="122"/>
      <c r="I132" s="122"/>
    </row>
    <row r="133" spans="1:9" x14ac:dyDescent="0.2">
      <c r="A133" s="122"/>
      <c r="B133" s="122"/>
      <c r="C133" s="122"/>
      <c r="D133" s="122"/>
      <c r="E133" s="122"/>
      <c r="F133" s="122"/>
      <c r="G133" s="122"/>
      <c r="H133" s="122"/>
      <c r="I133" s="122"/>
    </row>
    <row r="134" spans="1:9" x14ac:dyDescent="0.2">
      <c r="A134" s="122"/>
      <c r="B134" s="122"/>
      <c r="C134" s="122"/>
      <c r="D134" s="122"/>
      <c r="E134" s="122"/>
      <c r="F134" s="122"/>
      <c r="G134" s="122"/>
      <c r="H134" s="122"/>
      <c r="I134" s="122"/>
    </row>
    <row r="135" spans="1:9" x14ac:dyDescent="0.2">
      <c r="A135" s="122"/>
      <c r="B135" s="122"/>
      <c r="C135" s="122"/>
      <c r="D135" s="122"/>
      <c r="E135" s="122"/>
      <c r="F135" s="122"/>
      <c r="G135" s="122"/>
      <c r="H135" s="122"/>
      <c r="I135" s="122"/>
    </row>
    <row r="136" spans="1:9" x14ac:dyDescent="0.2">
      <c r="A136" s="122"/>
      <c r="B136" s="122"/>
      <c r="C136" s="122"/>
      <c r="D136" s="122"/>
      <c r="E136" s="122"/>
      <c r="F136" s="122"/>
      <c r="G136" s="122"/>
      <c r="H136" s="122"/>
      <c r="I136" s="122"/>
    </row>
    <row r="137" spans="1:9" x14ac:dyDescent="0.2">
      <c r="A137" s="122"/>
      <c r="B137" s="122"/>
      <c r="C137" s="122"/>
      <c r="D137" s="122"/>
      <c r="E137" s="122"/>
      <c r="F137" s="122"/>
      <c r="G137" s="122"/>
      <c r="H137" s="122"/>
      <c r="I137" s="122"/>
    </row>
    <row r="138" spans="1:9" x14ac:dyDescent="0.2">
      <c r="A138" s="122"/>
      <c r="B138" s="122"/>
      <c r="C138" s="122"/>
      <c r="D138" s="122"/>
      <c r="E138" s="122"/>
      <c r="F138" s="122"/>
      <c r="G138" s="122"/>
      <c r="H138" s="122"/>
      <c r="I138" s="122"/>
    </row>
    <row r="139" spans="1:9" x14ac:dyDescent="0.2">
      <c r="A139" s="122"/>
      <c r="B139" s="122"/>
      <c r="C139" s="122"/>
      <c r="D139" s="122"/>
      <c r="E139" s="122"/>
      <c r="F139" s="122"/>
      <c r="G139" s="122"/>
      <c r="H139" s="122"/>
      <c r="I139" s="122"/>
    </row>
    <row r="140" spans="1:9" x14ac:dyDescent="0.2">
      <c r="A140" s="122"/>
      <c r="B140" s="122"/>
      <c r="C140" s="122"/>
      <c r="D140" s="122"/>
      <c r="E140" s="122"/>
      <c r="F140" s="122"/>
      <c r="G140" s="122"/>
      <c r="H140" s="122"/>
      <c r="I140" s="122"/>
    </row>
    <row r="141" spans="1:9" x14ac:dyDescent="0.2">
      <c r="A141" s="122"/>
      <c r="B141" s="122"/>
      <c r="C141" s="122"/>
      <c r="D141" s="122"/>
      <c r="E141" s="122"/>
      <c r="F141" s="122"/>
      <c r="G141" s="122"/>
      <c r="H141" s="122"/>
      <c r="I141" s="122"/>
    </row>
    <row r="142" spans="1:9" x14ac:dyDescent="0.2">
      <c r="A142" s="122"/>
      <c r="B142" s="122"/>
      <c r="C142" s="122"/>
      <c r="D142" s="122"/>
      <c r="E142" s="122"/>
      <c r="F142" s="122"/>
      <c r="G142" s="122"/>
      <c r="H142" s="122"/>
      <c r="I142" s="122"/>
    </row>
    <row r="143" spans="1:9" x14ac:dyDescent="0.2">
      <c r="A143" s="122"/>
      <c r="B143" s="122"/>
      <c r="C143" s="122"/>
      <c r="D143" s="122"/>
      <c r="E143" s="122"/>
      <c r="F143" s="122"/>
      <c r="G143" s="122"/>
      <c r="H143" s="122"/>
      <c r="I143" s="122"/>
    </row>
    <row r="144" spans="1:9" x14ac:dyDescent="0.2">
      <c r="A144" s="122"/>
      <c r="B144" s="122"/>
      <c r="C144" s="122"/>
      <c r="D144" s="122"/>
      <c r="E144" s="122"/>
      <c r="F144" s="122"/>
      <c r="G144" s="122"/>
      <c r="H144" s="122"/>
      <c r="I144" s="122"/>
    </row>
    <row r="145" spans="1:9" x14ac:dyDescent="0.2">
      <c r="A145" s="122"/>
      <c r="B145" s="122"/>
      <c r="C145" s="122"/>
      <c r="D145" s="122"/>
      <c r="E145" s="122"/>
      <c r="F145" s="122"/>
      <c r="G145" s="122"/>
      <c r="H145" s="122"/>
      <c r="I145" s="122"/>
    </row>
    <row r="146" spans="1:9" x14ac:dyDescent="0.2">
      <c r="A146" s="122"/>
      <c r="B146" s="122"/>
      <c r="C146" s="122"/>
      <c r="D146" s="122"/>
      <c r="E146" s="122"/>
      <c r="F146" s="122"/>
      <c r="G146" s="122"/>
      <c r="H146" s="122"/>
      <c r="I146" s="122"/>
    </row>
    <row r="147" spans="1:9" x14ac:dyDescent="0.2">
      <c r="A147" s="122"/>
      <c r="B147" s="122"/>
      <c r="C147" s="122"/>
      <c r="D147" s="122"/>
      <c r="E147" s="122"/>
      <c r="F147" s="122"/>
      <c r="G147" s="122"/>
      <c r="H147" s="122"/>
      <c r="I147" s="122"/>
    </row>
    <row r="148" spans="1:9" x14ac:dyDescent="0.2">
      <c r="A148" s="122"/>
      <c r="B148" s="122"/>
      <c r="C148" s="122"/>
      <c r="D148" s="122"/>
      <c r="E148" s="122"/>
      <c r="F148" s="122"/>
      <c r="G148" s="122"/>
      <c r="H148" s="122"/>
      <c r="I148" s="122"/>
    </row>
    <row r="149" spans="1:9" x14ac:dyDescent="0.2">
      <c r="A149" s="122"/>
      <c r="B149" s="122"/>
      <c r="C149" s="122"/>
      <c r="D149" s="122"/>
      <c r="E149" s="122"/>
      <c r="F149" s="122"/>
      <c r="G149" s="122"/>
      <c r="H149" s="122"/>
      <c r="I149" s="122"/>
    </row>
    <row r="150" spans="1:9" x14ac:dyDescent="0.2">
      <c r="A150" s="122"/>
      <c r="B150" s="122"/>
      <c r="C150" s="122"/>
      <c r="D150" s="122"/>
      <c r="E150" s="122"/>
      <c r="F150" s="122"/>
      <c r="G150" s="122"/>
      <c r="H150" s="122"/>
      <c r="I150" s="122"/>
    </row>
    <row r="151" spans="1:9" x14ac:dyDescent="0.2">
      <c r="A151" s="122"/>
      <c r="B151" s="122"/>
      <c r="C151" s="122"/>
      <c r="D151" s="122"/>
      <c r="E151" s="122"/>
      <c r="F151" s="122"/>
      <c r="G151" s="122"/>
      <c r="H151" s="122"/>
      <c r="I151" s="122"/>
    </row>
    <row r="152" spans="1:9" x14ac:dyDescent="0.2">
      <c r="A152" s="122"/>
      <c r="B152" s="122"/>
      <c r="C152" s="122"/>
      <c r="D152" s="122"/>
      <c r="E152" s="122"/>
      <c r="F152" s="122"/>
      <c r="G152" s="122"/>
      <c r="H152" s="122"/>
      <c r="I152" s="122"/>
    </row>
    <row r="153" spans="1:9" x14ac:dyDescent="0.2">
      <c r="A153" s="122"/>
      <c r="B153" s="122"/>
      <c r="C153" s="122"/>
      <c r="D153" s="122"/>
      <c r="E153" s="122"/>
      <c r="F153" s="122"/>
      <c r="G153" s="122"/>
      <c r="H153" s="122"/>
      <c r="I153" s="122"/>
    </row>
    <row r="154" spans="1:9" x14ac:dyDescent="0.2">
      <c r="A154" s="122"/>
      <c r="B154" s="122"/>
      <c r="C154" s="122"/>
      <c r="D154" s="122"/>
      <c r="E154" s="122"/>
      <c r="F154" s="122"/>
      <c r="G154" s="122"/>
      <c r="H154" s="122"/>
      <c r="I154" s="122"/>
    </row>
    <row r="155" spans="1:9" x14ac:dyDescent="0.2">
      <c r="A155" s="122"/>
      <c r="B155" s="122"/>
      <c r="C155" s="122"/>
      <c r="D155" s="122"/>
      <c r="E155" s="122"/>
      <c r="F155" s="122"/>
      <c r="G155" s="122"/>
      <c r="H155" s="122"/>
      <c r="I155" s="122"/>
    </row>
    <row r="156" spans="1:9" x14ac:dyDescent="0.2">
      <c r="A156" s="122"/>
      <c r="B156" s="122"/>
      <c r="C156" s="122"/>
      <c r="D156" s="122"/>
      <c r="E156" s="122"/>
      <c r="F156" s="122"/>
      <c r="G156" s="122"/>
      <c r="H156" s="122"/>
      <c r="I156" s="122"/>
    </row>
    <row r="157" spans="1:9" x14ac:dyDescent="0.2">
      <c r="A157" s="122"/>
      <c r="B157" s="122"/>
      <c r="C157" s="122"/>
      <c r="D157" s="122"/>
      <c r="E157" s="122"/>
      <c r="F157" s="122"/>
      <c r="G157" s="122"/>
      <c r="H157" s="122"/>
      <c r="I157" s="122"/>
    </row>
    <row r="158" spans="1:9" x14ac:dyDescent="0.2">
      <c r="A158" s="122"/>
      <c r="B158" s="122"/>
      <c r="C158" s="122"/>
      <c r="D158" s="122"/>
      <c r="E158" s="122"/>
      <c r="F158" s="122"/>
      <c r="G158" s="122"/>
      <c r="H158" s="122"/>
      <c r="I158" s="122"/>
    </row>
    <row r="159" spans="1:9" x14ac:dyDescent="0.2">
      <c r="A159" s="122"/>
      <c r="B159" s="122"/>
      <c r="C159" s="122"/>
      <c r="D159" s="122"/>
      <c r="E159" s="122"/>
      <c r="F159" s="122"/>
      <c r="G159" s="122"/>
      <c r="H159" s="122"/>
      <c r="I159" s="122"/>
    </row>
    <row r="160" spans="1:9" x14ac:dyDescent="0.2">
      <c r="A160" s="122"/>
      <c r="B160" s="122"/>
      <c r="C160" s="122"/>
      <c r="D160" s="122"/>
      <c r="E160" s="122"/>
      <c r="F160" s="122"/>
      <c r="G160" s="122"/>
      <c r="H160" s="122"/>
      <c r="I160" s="122"/>
    </row>
    <row r="161" spans="1:9" x14ac:dyDescent="0.2">
      <c r="A161" s="122"/>
      <c r="B161" s="122"/>
      <c r="C161" s="122"/>
      <c r="D161" s="122"/>
      <c r="E161" s="122"/>
      <c r="F161" s="122"/>
      <c r="G161" s="122"/>
      <c r="H161" s="122"/>
      <c r="I161" s="122"/>
    </row>
    <row r="162" spans="1:9" x14ac:dyDescent="0.2">
      <c r="A162" s="122"/>
      <c r="B162" s="122"/>
      <c r="C162" s="122"/>
      <c r="D162" s="122"/>
      <c r="E162" s="122"/>
      <c r="F162" s="122"/>
      <c r="G162" s="122"/>
      <c r="H162" s="122"/>
      <c r="I162" s="122"/>
    </row>
    <row r="163" spans="1:9" x14ac:dyDescent="0.2">
      <c r="A163" s="122"/>
      <c r="B163" s="122"/>
      <c r="C163" s="122"/>
      <c r="D163" s="122"/>
      <c r="E163" s="122"/>
      <c r="F163" s="122"/>
      <c r="G163" s="122"/>
      <c r="H163" s="122"/>
      <c r="I163" s="122"/>
    </row>
    <row r="164" spans="1:9" x14ac:dyDescent="0.2">
      <c r="A164" s="122"/>
      <c r="B164" s="122"/>
      <c r="C164" s="122"/>
      <c r="D164" s="122"/>
      <c r="E164" s="122"/>
      <c r="F164" s="122"/>
      <c r="G164" s="122"/>
      <c r="H164" s="122"/>
      <c r="I164" s="122"/>
    </row>
    <row r="165" spans="1:9" x14ac:dyDescent="0.2">
      <c r="A165" s="122"/>
      <c r="B165" s="122"/>
      <c r="C165" s="122"/>
      <c r="D165" s="122"/>
      <c r="E165" s="122"/>
      <c r="F165" s="122"/>
      <c r="G165" s="122"/>
      <c r="H165" s="122"/>
      <c r="I165" s="122"/>
    </row>
    <row r="166" spans="1:9" x14ac:dyDescent="0.2">
      <c r="A166" s="122"/>
      <c r="B166" s="122"/>
      <c r="C166" s="122"/>
      <c r="D166" s="122"/>
      <c r="E166" s="122"/>
      <c r="F166" s="122"/>
      <c r="G166" s="122"/>
      <c r="H166" s="122"/>
      <c r="I166" s="122"/>
    </row>
    <row r="167" spans="1:9" x14ac:dyDescent="0.2">
      <c r="A167" s="122"/>
      <c r="B167" s="122"/>
      <c r="C167" s="122"/>
      <c r="D167" s="122"/>
      <c r="E167" s="122"/>
      <c r="F167" s="122"/>
      <c r="G167" s="122"/>
      <c r="H167" s="122"/>
      <c r="I167" s="122"/>
    </row>
    <row r="168" spans="1:9" x14ac:dyDescent="0.2">
      <c r="A168" s="122"/>
      <c r="B168" s="122"/>
      <c r="C168" s="122"/>
      <c r="D168" s="122"/>
      <c r="E168" s="122"/>
      <c r="F168" s="122"/>
      <c r="G168" s="122"/>
      <c r="H168" s="122"/>
      <c r="I168" s="122"/>
    </row>
    <row r="169" spans="1:9" x14ac:dyDescent="0.2">
      <c r="A169" s="122"/>
      <c r="B169" s="122"/>
      <c r="C169" s="122"/>
      <c r="D169" s="122"/>
      <c r="E169" s="122"/>
      <c r="F169" s="122"/>
      <c r="G169" s="122"/>
      <c r="H169" s="122"/>
      <c r="I169" s="122"/>
    </row>
    <row r="170" spans="1:9" x14ac:dyDescent="0.2">
      <c r="A170" s="122"/>
      <c r="B170" s="122"/>
      <c r="C170" s="122"/>
      <c r="D170" s="122"/>
      <c r="E170" s="122"/>
      <c r="F170" s="122"/>
      <c r="G170" s="122"/>
      <c r="H170" s="122"/>
      <c r="I170" s="122"/>
    </row>
    <row r="171" spans="1:9" x14ac:dyDescent="0.2">
      <c r="A171" s="122"/>
      <c r="B171" s="122"/>
      <c r="C171" s="122"/>
      <c r="D171" s="122"/>
      <c r="E171" s="122"/>
      <c r="F171" s="122"/>
      <c r="G171" s="122"/>
      <c r="H171" s="122"/>
      <c r="I171" s="122"/>
    </row>
    <row r="172" spans="1:9" x14ac:dyDescent="0.2">
      <c r="A172" s="122"/>
      <c r="B172" s="122"/>
      <c r="C172" s="122"/>
      <c r="D172" s="122"/>
      <c r="E172" s="122"/>
      <c r="F172" s="122"/>
      <c r="G172" s="122"/>
      <c r="H172" s="122"/>
      <c r="I172" s="122"/>
    </row>
    <row r="173" spans="1:9" x14ac:dyDescent="0.2">
      <c r="A173" s="122"/>
      <c r="B173" s="122"/>
      <c r="C173" s="122"/>
      <c r="D173" s="122"/>
      <c r="E173" s="122"/>
      <c r="F173" s="122"/>
      <c r="G173" s="122"/>
      <c r="H173" s="122"/>
      <c r="I173" s="122"/>
    </row>
    <row r="174" spans="1:9" x14ac:dyDescent="0.2">
      <c r="A174" s="122"/>
      <c r="B174" s="122"/>
      <c r="C174" s="122"/>
      <c r="D174" s="122"/>
      <c r="E174" s="122"/>
      <c r="F174" s="122"/>
      <c r="G174" s="122"/>
      <c r="H174" s="122"/>
      <c r="I174" s="122"/>
    </row>
    <row r="175" spans="1:9" x14ac:dyDescent="0.2">
      <c r="A175" s="122"/>
      <c r="B175" s="122"/>
      <c r="C175" s="122"/>
      <c r="D175" s="122"/>
      <c r="E175" s="122"/>
      <c r="F175" s="122"/>
      <c r="G175" s="122"/>
      <c r="H175" s="122"/>
      <c r="I175" s="122"/>
    </row>
    <row r="176" spans="1:9" x14ac:dyDescent="0.2">
      <c r="A176" s="122"/>
      <c r="B176" s="122"/>
      <c r="C176" s="122"/>
      <c r="D176" s="122"/>
      <c r="E176" s="122"/>
      <c r="F176" s="122"/>
      <c r="G176" s="122"/>
      <c r="H176" s="122"/>
      <c r="I176" s="122"/>
    </row>
    <row r="177" spans="1:9" x14ac:dyDescent="0.2">
      <c r="A177" s="122"/>
      <c r="B177" s="122"/>
      <c r="C177" s="122"/>
      <c r="D177" s="122"/>
      <c r="E177" s="122"/>
      <c r="F177" s="122"/>
      <c r="G177" s="122"/>
      <c r="H177" s="122"/>
      <c r="I177" s="122"/>
    </row>
    <row r="178" spans="1:9" x14ac:dyDescent="0.2">
      <c r="A178" s="122"/>
      <c r="B178" s="122"/>
      <c r="C178" s="122"/>
      <c r="D178" s="122"/>
      <c r="E178" s="122"/>
      <c r="F178" s="122"/>
      <c r="G178" s="122"/>
      <c r="H178" s="122"/>
      <c r="I178" s="122"/>
    </row>
    <row r="179" spans="1:9" x14ac:dyDescent="0.2">
      <c r="A179" s="122"/>
      <c r="B179" s="122"/>
      <c r="C179" s="122"/>
      <c r="D179" s="122"/>
      <c r="E179" s="122"/>
      <c r="F179" s="122"/>
      <c r="G179" s="122"/>
      <c r="H179" s="122"/>
      <c r="I179" s="122"/>
    </row>
    <row r="180" spans="1:9" x14ac:dyDescent="0.2">
      <c r="A180" s="122"/>
      <c r="B180" s="122"/>
      <c r="C180" s="122"/>
      <c r="D180" s="122"/>
      <c r="E180" s="122"/>
      <c r="F180" s="122"/>
      <c r="G180" s="122"/>
      <c r="H180" s="122"/>
      <c r="I180" s="122"/>
    </row>
    <row r="181" spans="1:9" x14ac:dyDescent="0.2">
      <c r="A181" s="122"/>
      <c r="B181" s="122"/>
      <c r="C181" s="122"/>
      <c r="D181" s="122"/>
      <c r="E181" s="122"/>
      <c r="F181" s="122"/>
      <c r="G181" s="122"/>
      <c r="H181" s="122"/>
      <c r="I181" s="122"/>
    </row>
    <row r="182" spans="1:9" x14ac:dyDescent="0.2">
      <c r="A182" s="122"/>
      <c r="B182" s="122"/>
      <c r="C182" s="122"/>
      <c r="D182" s="122"/>
      <c r="E182" s="122"/>
      <c r="F182" s="122"/>
      <c r="G182" s="122"/>
      <c r="H182" s="122"/>
      <c r="I182" s="122"/>
    </row>
    <row r="183" spans="1:9" x14ac:dyDescent="0.2">
      <c r="A183" s="122"/>
      <c r="B183" s="122"/>
      <c r="C183" s="122"/>
      <c r="D183" s="122"/>
      <c r="E183" s="122"/>
      <c r="F183" s="122"/>
      <c r="G183" s="122"/>
      <c r="H183" s="122"/>
      <c r="I183" s="122"/>
    </row>
    <row r="184" spans="1:9" x14ac:dyDescent="0.2">
      <c r="A184" s="122"/>
      <c r="B184" s="122"/>
      <c r="C184" s="122"/>
      <c r="D184" s="122"/>
      <c r="E184" s="122"/>
      <c r="F184" s="122"/>
      <c r="G184" s="122"/>
      <c r="H184" s="122"/>
      <c r="I184" s="122"/>
    </row>
    <row r="185" spans="1:9" x14ac:dyDescent="0.2">
      <c r="A185" s="122"/>
      <c r="B185" s="122"/>
      <c r="C185" s="122"/>
      <c r="D185" s="122"/>
      <c r="E185" s="122"/>
      <c r="F185" s="122"/>
      <c r="G185" s="122"/>
      <c r="H185" s="122"/>
      <c r="I185" s="122"/>
    </row>
    <row r="186" spans="1:9" x14ac:dyDescent="0.2">
      <c r="A186" s="122"/>
      <c r="B186" s="122"/>
      <c r="C186" s="122"/>
      <c r="D186" s="122"/>
      <c r="E186" s="122"/>
      <c r="F186" s="122"/>
      <c r="G186" s="122"/>
      <c r="H186" s="122"/>
      <c r="I186" s="122"/>
    </row>
    <row r="187" spans="1:9" x14ac:dyDescent="0.2">
      <c r="A187" s="122"/>
      <c r="B187" s="122"/>
      <c r="C187" s="122"/>
      <c r="D187" s="122"/>
      <c r="E187" s="122"/>
      <c r="F187" s="122"/>
      <c r="G187" s="122"/>
      <c r="H187" s="122"/>
      <c r="I187" s="122"/>
    </row>
    <row r="188" spans="1:9" x14ac:dyDescent="0.2">
      <c r="A188" s="122"/>
      <c r="B188" s="122"/>
      <c r="C188" s="122"/>
      <c r="D188" s="122"/>
      <c r="E188" s="122"/>
      <c r="F188" s="122"/>
      <c r="G188" s="122"/>
      <c r="H188" s="122"/>
      <c r="I188" s="122"/>
    </row>
    <row r="189" spans="1:9" x14ac:dyDescent="0.2">
      <c r="A189" s="122"/>
      <c r="B189" s="122"/>
      <c r="C189" s="122"/>
      <c r="D189" s="122"/>
      <c r="E189" s="122"/>
      <c r="F189" s="122"/>
      <c r="G189" s="122"/>
      <c r="H189" s="122"/>
      <c r="I189" s="122"/>
    </row>
    <row r="190" spans="1:9" x14ac:dyDescent="0.2">
      <c r="A190" s="122"/>
      <c r="B190" s="122"/>
      <c r="C190" s="122"/>
      <c r="D190" s="122"/>
      <c r="E190" s="122"/>
      <c r="F190" s="122"/>
      <c r="G190" s="122"/>
      <c r="H190" s="122"/>
      <c r="I190" s="122"/>
    </row>
    <row r="191" spans="1:9" x14ac:dyDescent="0.2">
      <c r="A191" s="122"/>
      <c r="B191" s="122"/>
      <c r="C191" s="122"/>
      <c r="D191" s="122"/>
      <c r="E191" s="122"/>
      <c r="F191" s="122"/>
      <c r="G191" s="122"/>
      <c r="H191" s="122"/>
      <c r="I191" s="122"/>
    </row>
    <row r="192" spans="1:9" x14ac:dyDescent="0.2">
      <c r="A192" s="122"/>
      <c r="B192" s="122"/>
      <c r="C192" s="122"/>
      <c r="D192" s="122"/>
      <c r="E192" s="122"/>
      <c r="F192" s="122"/>
      <c r="G192" s="122"/>
      <c r="H192" s="122"/>
      <c r="I192" s="122"/>
    </row>
    <row r="193" spans="1:9" x14ac:dyDescent="0.2">
      <c r="A193" s="122"/>
      <c r="B193" s="122"/>
      <c r="C193" s="122"/>
      <c r="D193" s="122"/>
      <c r="E193" s="122"/>
      <c r="F193" s="122"/>
      <c r="G193" s="122"/>
      <c r="H193" s="122"/>
      <c r="I193" s="122"/>
    </row>
    <row r="194" spans="1:9" x14ac:dyDescent="0.2">
      <c r="A194" s="122"/>
      <c r="B194" s="122"/>
      <c r="C194" s="122"/>
      <c r="D194" s="122"/>
      <c r="E194" s="122"/>
      <c r="F194" s="122"/>
      <c r="G194" s="122"/>
      <c r="H194" s="122"/>
      <c r="I194" s="122"/>
    </row>
    <row r="195" spans="1:9" x14ac:dyDescent="0.2">
      <c r="A195" s="122"/>
      <c r="B195" s="122"/>
      <c r="C195" s="122"/>
      <c r="D195" s="122"/>
      <c r="E195" s="122"/>
      <c r="F195" s="122"/>
      <c r="G195" s="122"/>
      <c r="H195" s="122"/>
      <c r="I195" s="122"/>
    </row>
    <row r="196" spans="1:9" x14ac:dyDescent="0.2">
      <c r="A196" s="122"/>
      <c r="B196" s="122"/>
      <c r="C196" s="122"/>
      <c r="D196" s="122"/>
      <c r="E196" s="122"/>
      <c r="F196" s="122"/>
      <c r="G196" s="122"/>
      <c r="H196" s="122"/>
      <c r="I196" s="122"/>
    </row>
    <row r="197" spans="1:9" x14ac:dyDescent="0.2">
      <c r="A197" s="122"/>
      <c r="B197" s="122"/>
      <c r="C197" s="122"/>
      <c r="D197" s="122"/>
      <c r="E197" s="122"/>
      <c r="F197" s="122"/>
      <c r="G197" s="122"/>
      <c r="H197" s="122"/>
      <c r="I197" s="122"/>
    </row>
    <row r="198" spans="1:9" x14ac:dyDescent="0.2">
      <c r="A198" s="122"/>
      <c r="B198" s="122"/>
      <c r="C198" s="122"/>
      <c r="D198" s="122"/>
      <c r="E198" s="122"/>
      <c r="F198" s="122"/>
      <c r="G198" s="122"/>
      <c r="H198" s="122"/>
      <c r="I198" s="122"/>
    </row>
    <row r="199" spans="1:9" x14ac:dyDescent="0.2">
      <c r="A199" s="122"/>
      <c r="B199" s="122"/>
      <c r="C199" s="122"/>
      <c r="D199" s="122"/>
      <c r="E199" s="122"/>
      <c r="F199" s="122"/>
      <c r="G199" s="122"/>
      <c r="H199" s="122"/>
      <c r="I199" s="122"/>
    </row>
    <row r="200" spans="1:9" x14ac:dyDescent="0.2">
      <c r="A200" s="122"/>
      <c r="B200" s="122"/>
      <c r="C200" s="122"/>
      <c r="D200" s="122"/>
      <c r="E200" s="122"/>
      <c r="F200" s="122"/>
      <c r="G200" s="122"/>
      <c r="H200" s="122"/>
      <c r="I200" s="122"/>
    </row>
    <row r="201" spans="1:9" x14ac:dyDescent="0.2">
      <c r="A201" s="122"/>
      <c r="B201" s="122"/>
      <c r="C201" s="122"/>
      <c r="D201" s="122"/>
      <c r="E201" s="122"/>
      <c r="F201" s="122"/>
      <c r="G201" s="122"/>
      <c r="H201" s="122"/>
      <c r="I201" s="122"/>
    </row>
    <row r="202" spans="1:9" x14ac:dyDescent="0.2">
      <c r="A202" s="122"/>
      <c r="B202" s="122"/>
      <c r="C202" s="122"/>
      <c r="D202" s="122"/>
      <c r="E202" s="122"/>
      <c r="F202" s="122"/>
      <c r="G202" s="122"/>
      <c r="H202" s="122"/>
      <c r="I202" s="122"/>
    </row>
    <row r="203" spans="1:9" x14ac:dyDescent="0.2">
      <c r="A203" s="122"/>
      <c r="B203" s="122"/>
      <c r="C203" s="122"/>
      <c r="D203" s="122"/>
      <c r="E203" s="122"/>
      <c r="F203" s="122"/>
      <c r="G203" s="122"/>
      <c r="H203" s="122"/>
      <c r="I203" s="122"/>
    </row>
    <row r="204" spans="1:9" x14ac:dyDescent="0.2">
      <c r="A204" s="122"/>
      <c r="B204" s="122"/>
      <c r="C204" s="122"/>
      <c r="D204" s="122"/>
      <c r="E204" s="122"/>
      <c r="F204" s="122"/>
      <c r="G204" s="122"/>
      <c r="H204" s="122"/>
      <c r="I204" s="122"/>
    </row>
    <row r="205" spans="1:9" x14ac:dyDescent="0.2">
      <c r="A205" s="122"/>
      <c r="B205" s="122"/>
      <c r="C205" s="122"/>
      <c r="D205" s="122"/>
      <c r="E205" s="122"/>
      <c r="F205" s="122"/>
      <c r="G205" s="122"/>
      <c r="H205" s="122"/>
      <c r="I205" s="122"/>
    </row>
    <row r="206" spans="1:9" x14ac:dyDescent="0.2">
      <c r="A206" s="122"/>
      <c r="B206" s="122"/>
      <c r="C206" s="122"/>
      <c r="D206" s="122"/>
      <c r="E206" s="122"/>
      <c r="F206" s="122"/>
      <c r="G206" s="122"/>
      <c r="H206" s="122"/>
      <c r="I206" s="122"/>
    </row>
    <row r="207" spans="1:9" x14ac:dyDescent="0.2">
      <c r="A207" s="122"/>
      <c r="B207" s="122"/>
      <c r="C207" s="122"/>
      <c r="D207" s="122"/>
      <c r="E207" s="122"/>
      <c r="F207" s="122"/>
      <c r="G207" s="122"/>
      <c r="H207" s="122"/>
      <c r="I207" s="122"/>
    </row>
    <row r="208" spans="1:9" x14ac:dyDescent="0.2">
      <c r="A208" s="122"/>
      <c r="B208" s="122"/>
      <c r="C208" s="122"/>
      <c r="D208" s="122"/>
      <c r="E208" s="122"/>
      <c r="F208" s="122"/>
      <c r="G208" s="122"/>
      <c r="H208" s="122"/>
      <c r="I208" s="122"/>
    </row>
    <row r="209" spans="1:9" x14ac:dyDescent="0.2">
      <c r="A209" s="122"/>
      <c r="B209" s="122"/>
      <c r="C209" s="122"/>
      <c r="D209" s="122"/>
      <c r="E209" s="122"/>
      <c r="F209" s="122"/>
      <c r="G209" s="122"/>
      <c r="H209" s="122"/>
      <c r="I209" s="122"/>
    </row>
    <row r="210" spans="1:9" x14ac:dyDescent="0.2">
      <c r="A210" s="122"/>
      <c r="B210" s="122"/>
      <c r="C210" s="122"/>
      <c r="D210" s="122"/>
      <c r="E210" s="122"/>
      <c r="F210" s="122"/>
      <c r="G210" s="122"/>
      <c r="H210" s="122"/>
      <c r="I210" s="122"/>
    </row>
    <row r="211" spans="1:9" x14ac:dyDescent="0.2">
      <c r="A211" s="122"/>
      <c r="B211" s="122"/>
      <c r="C211" s="122"/>
      <c r="D211" s="122"/>
      <c r="E211" s="122"/>
      <c r="F211" s="122"/>
      <c r="G211" s="122"/>
      <c r="H211" s="122"/>
      <c r="I211" s="122"/>
    </row>
    <row r="212" spans="1:9" x14ac:dyDescent="0.2">
      <c r="A212" s="122"/>
      <c r="B212" s="122"/>
      <c r="C212" s="122"/>
      <c r="D212" s="122"/>
      <c r="E212" s="122"/>
      <c r="F212" s="122"/>
      <c r="G212" s="122"/>
      <c r="H212" s="122"/>
      <c r="I212" s="122"/>
    </row>
    <row r="213" spans="1:9" x14ac:dyDescent="0.2">
      <c r="A213" s="122"/>
      <c r="B213" s="122"/>
      <c r="C213" s="122"/>
      <c r="D213" s="122"/>
      <c r="E213" s="122"/>
      <c r="F213" s="122"/>
      <c r="G213" s="122"/>
      <c r="H213" s="122"/>
      <c r="I213" s="122"/>
    </row>
    <row r="214" spans="1:9" x14ac:dyDescent="0.2">
      <c r="A214" s="122"/>
      <c r="B214" s="122"/>
      <c r="C214" s="122"/>
      <c r="D214" s="122"/>
      <c r="E214" s="122"/>
      <c r="F214" s="122"/>
      <c r="G214" s="122"/>
      <c r="H214" s="122"/>
      <c r="I214" s="122"/>
    </row>
    <row r="215" spans="1:9" x14ac:dyDescent="0.2">
      <c r="A215" s="122"/>
      <c r="B215" s="122"/>
      <c r="C215" s="122"/>
      <c r="D215" s="122"/>
      <c r="E215" s="122"/>
      <c r="F215" s="122"/>
      <c r="G215" s="122"/>
      <c r="H215" s="122"/>
      <c r="I215" s="122"/>
    </row>
    <row r="216" spans="1:9" x14ac:dyDescent="0.2">
      <c r="A216" s="122"/>
      <c r="B216" s="122"/>
      <c r="C216" s="122"/>
      <c r="D216" s="122"/>
      <c r="E216" s="122"/>
      <c r="F216" s="122"/>
      <c r="G216" s="122"/>
      <c r="H216" s="122"/>
      <c r="I216" s="122"/>
    </row>
    <row r="217" spans="1:9" x14ac:dyDescent="0.2">
      <c r="A217" s="122"/>
      <c r="B217" s="122"/>
      <c r="C217" s="122"/>
      <c r="D217" s="122"/>
      <c r="E217" s="122"/>
      <c r="F217" s="122"/>
      <c r="G217" s="122"/>
      <c r="H217" s="122"/>
      <c r="I217" s="122"/>
    </row>
    <row r="218" spans="1:9" x14ac:dyDescent="0.2">
      <c r="A218" s="122"/>
      <c r="B218" s="122"/>
      <c r="C218" s="122"/>
      <c r="D218" s="122"/>
      <c r="E218" s="122"/>
      <c r="F218" s="122"/>
      <c r="G218" s="122"/>
      <c r="H218" s="122"/>
      <c r="I218" s="122"/>
    </row>
    <row r="219" spans="1:9" x14ac:dyDescent="0.2">
      <c r="A219" s="122"/>
      <c r="B219" s="122"/>
      <c r="C219" s="122"/>
      <c r="D219" s="122"/>
      <c r="E219" s="122"/>
      <c r="F219" s="122"/>
      <c r="G219" s="122"/>
      <c r="H219" s="122"/>
      <c r="I219" s="122"/>
    </row>
    <row r="220" spans="1:9" x14ac:dyDescent="0.2">
      <c r="A220" s="122"/>
      <c r="B220" s="122"/>
      <c r="C220" s="122"/>
      <c r="D220" s="122"/>
      <c r="E220" s="122"/>
      <c r="F220" s="122"/>
      <c r="G220" s="122"/>
      <c r="H220" s="122"/>
      <c r="I220" s="122"/>
    </row>
    <row r="221" spans="1:9" x14ac:dyDescent="0.2">
      <c r="A221" s="122"/>
      <c r="B221" s="122"/>
      <c r="C221" s="122"/>
      <c r="D221" s="122"/>
      <c r="E221" s="122"/>
      <c r="F221" s="122"/>
      <c r="G221" s="122"/>
      <c r="H221" s="122"/>
      <c r="I221" s="122"/>
    </row>
    <row r="222" spans="1:9" x14ac:dyDescent="0.2">
      <c r="A222" s="122"/>
      <c r="B222" s="122"/>
      <c r="C222" s="122"/>
      <c r="D222" s="122"/>
      <c r="E222" s="122"/>
      <c r="F222" s="122"/>
      <c r="G222" s="122"/>
      <c r="H222" s="122"/>
      <c r="I222" s="122"/>
    </row>
    <row r="223" spans="1:9" x14ac:dyDescent="0.2">
      <c r="A223" s="122"/>
      <c r="B223" s="122"/>
      <c r="C223" s="122"/>
      <c r="D223" s="122"/>
      <c r="E223" s="122"/>
      <c r="F223" s="122"/>
      <c r="G223" s="122"/>
      <c r="H223" s="122"/>
      <c r="I223" s="122"/>
    </row>
  </sheetData>
  <sheetProtection selectLockedCells="1"/>
  <mergeCells count="18">
    <mergeCell ref="E38:F38"/>
    <mergeCell ref="E36:G36"/>
    <mergeCell ref="E39:G39"/>
    <mergeCell ref="E42:G42"/>
    <mergeCell ref="E44:G44"/>
    <mergeCell ref="H5:I5"/>
    <mergeCell ref="B5:C5"/>
    <mergeCell ref="B23:C23"/>
    <mergeCell ref="H15:I15"/>
    <mergeCell ref="E34:G34"/>
    <mergeCell ref="E30:G30"/>
    <mergeCell ref="E24:G24"/>
    <mergeCell ref="F12:G12"/>
    <mergeCell ref="A1:C1"/>
    <mergeCell ref="A15:D15"/>
    <mergeCell ref="E27:G27"/>
    <mergeCell ref="B3:E3"/>
    <mergeCell ref="B7:C7"/>
  </mergeCells>
  <phoneticPr fontId="2" type="noConversion"/>
  <conditionalFormatting sqref="E66">
    <cfRule type="expression" dxfId="49" priority="1" stopIfTrue="1">
      <formula>E61&gt;D68</formula>
    </cfRule>
  </conditionalFormatting>
  <conditionalFormatting sqref="D67">
    <cfRule type="expression" dxfId="48" priority="2" stopIfTrue="1">
      <formula>D62&gt;C68</formula>
    </cfRule>
  </conditionalFormatting>
  <conditionalFormatting sqref="D59">
    <cfRule type="cellIs" dxfId="47" priority="3" stopIfTrue="1" operator="lessThan">
      <formula>$D$58</formula>
    </cfRule>
  </conditionalFormatting>
  <conditionalFormatting sqref="I26">
    <cfRule type="cellIs" dxfId="46" priority="4" stopIfTrue="1" operator="lessThan">
      <formula>1</formula>
    </cfRule>
  </conditionalFormatting>
  <conditionalFormatting sqref="C14">
    <cfRule type="expression" dxfId="45" priority="5" stopIfTrue="1">
      <formula>$J$18&gt;0</formula>
    </cfRule>
  </conditionalFormatting>
  <conditionalFormatting sqref="E34:G34">
    <cfRule type="expression" dxfId="44" priority="6" stopIfTrue="1">
      <formula>AND($G$32&gt;15,ISNUMBER($G$32))</formula>
    </cfRule>
  </conditionalFormatting>
  <conditionalFormatting sqref="E30:G30">
    <cfRule type="expression" dxfId="43" priority="7" stopIfTrue="1">
      <formula>$P$30=TRUE</formula>
    </cfRule>
  </conditionalFormatting>
  <conditionalFormatting sqref="A15:D15">
    <cfRule type="expression" dxfId="42" priority="8" stopIfTrue="1">
      <formula>$C$14&gt;40</formula>
    </cfRule>
  </conditionalFormatting>
  <conditionalFormatting sqref="G38">
    <cfRule type="expression" dxfId="41" priority="9" stopIfTrue="1">
      <formula>Position="No Orifice"</formula>
    </cfRule>
  </conditionalFormatting>
  <pageMargins left="0.6" right="0.6" top="1" bottom="0.75" header="0.5" footer="0.5"/>
  <pageSetup scale="99" orientation="portrait" r:id="rId1"/>
  <headerFooter alignWithMargins="0"/>
  <colBreaks count="1" manualBreakCount="1">
    <brk id="9" max="50" man="1"/>
  </colBreaks>
  <drawing r:id="rId2"/>
  <legacyDrawing r:id="rId3"/>
  <controls>
    <mc:AlternateContent xmlns:mc="http://schemas.openxmlformats.org/markup-compatibility/2006">
      <mc:Choice Requires="x14">
        <control shapeId="2091" r:id="rId4" name="ComboBox3">
          <controlPr locked="0" defaultSize="0" autoLine="0" linkedCell="Position" listFillRange="Defaults!L22:L24" r:id="rId5">
            <anchor moveWithCells="1">
              <from>
                <xdr:col>6</xdr:col>
                <xdr:colOff>9525</xdr:colOff>
                <xdr:row>21</xdr:row>
                <xdr:rowOff>142875</xdr:rowOff>
              </from>
              <to>
                <xdr:col>7</xdr:col>
                <xdr:colOff>200025</xdr:colOff>
                <xdr:row>23</xdr:row>
                <xdr:rowOff>28575</xdr:rowOff>
              </to>
            </anchor>
          </controlPr>
        </control>
      </mc:Choice>
      <mc:Fallback>
        <control shapeId="2091" r:id="rId4" name="ComboBox3"/>
      </mc:Fallback>
    </mc:AlternateContent>
    <mc:AlternateContent xmlns:mc="http://schemas.openxmlformats.org/markup-compatibility/2006">
      <mc:Choice Requires="x14">
        <control shapeId="2087" r:id="rId6" name="ComboBox2">
          <controlPr locked="0" defaultSize="0" autoLine="0" linkedCell="Storm" listFillRange="Defaults!L18:L19" r:id="rId7">
            <anchor moveWithCells="1">
              <from>
                <xdr:col>1</xdr:col>
                <xdr:colOff>142875</xdr:colOff>
                <xdr:row>10</xdr:row>
                <xdr:rowOff>133350</xdr:rowOff>
              </from>
              <to>
                <xdr:col>2</xdr:col>
                <xdr:colOff>190500</xdr:colOff>
                <xdr:row>12</xdr:row>
                <xdr:rowOff>47625</xdr:rowOff>
              </to>
            </anchor>
          </controlPr>
        </control>
      </mc:Choice>
      <mc:Fallback>
        <control shapeId="2087" r:id="rId6" name="ComboBox2"/>
      </mc:Fallback>
    </mc:AlternateContent>
    <mc:AlternateContent xmlns:mc="http://schemas.openxmlformats.org/markup-compatibility/2006">
      <mc:Choice Requires="x14">
        <control shapeId="2085" r:id="rId8" name="ComboBox1">
          <controlPr locked="0" defaultSize="0" autoFill="0" autoLine="0" linkedCell="County" listFillRange="Defaults!B2:B93" r:id="rId9">
            <anchor moveWithCells="1">
              <from>
                <xdr:col>1</xdr:col>
                <xdr:colOff>0</xdr:colOff>
                <xdr:row>3</xdr:row>
                <xdr:rowOff>142875</xdr:rowOff>
              </from>
              <to>
                <xdr:col>3</xdr:col>
                <xdr:colOff>28575</xdr:colOff>
                <xdr:row>5</xdr:row>
                <xdr:rowOff>38100</xdr:rowOff>
              </to>
            </anchor>
          </controlPr>
        </control>
      </mc:Choice>
      <mc:Fallback>
        <control shapeId="2085" r:id="rId8" name="ComboBox1"/>
      </mc:Fallback>
    </mc:AlternateContent>
    <mc:AlternateContent xmlns:mc="http://schemas.openxmlformats.org/markup-compatibility/2006">
      <mc:Choice Requires="x14">
        <control shapeId="2080" r:id="rId10" name="CommandButton1">
          <controlPr defaultSize="0" print="0" autoLine="0" r:id="rId11">
            <anchor moveWithCells="1">
              <from>
                <xdr:col>7</xdr:col>
                <xdr:colOff>371475</xdr:colOff>
                <xdr:row>7</xdr:row>
                <xdr:rowOff>104775</xdr:rowOff>
              </from>
              <to>
                <xdr:col>8</xdr:col>
                <xdr:colOff>390525</xdr:colOff>
                <xdr:row>9</xdr:row>
                <xdr:rowOff>57150</xdr:rowOff>
              </to>
            </anchor>
          </controlPr>
        </control>
      </mc:Choice>
      <mc:Fallback>
        <control shapeId="2080" r:id="rId10" name="CommandButton1"/>
      </mc:Fallback>
    </mc:AlternateContent>
    <mc:AlternateContent xmlns:mc="http://schemas.openxmlformats.org/markup-compatibility/2006">
      <mc:Choice Requires="x14">
        <control shapeId="2122" r:id="rId12" name="OptionButton1">
          <controlPr autoLine="0" linkedCell="Defaults!M67" r:id="rId13">
            <anchor moveWithCells="1">
              <from>
                <xdr:col>7</xdr:col>
                <xdr:colOff>266700</xdr:colOff>
                <xdr:row>15</xdr:row>
                <xdr:rowOff>28575</xdr:rowOff>
              </from>
              <to>
                <xdr:col>9</xdr:col>
                <xdr:colOff>0</xdr:colOff>
                <xdr:row>16</xdr:row>
                <xdr:rowOff>152400</xdr:rowOff>
              </to>
            </anchor>
          </controlPr>
        </control>
      </mc:Choice>
      <mc:Fallback>
        <control shapeId="2122" r:id="rId12" name="OptionButton1"/>
      </mc:Fallback>
    </mc:AlternateContent>
    <mc:AlternateContent xmlns:mc="http://schemas.openxmlformats.org/markup-compatibility/2006">
      <mc:Choice Requires="x14">
        <control shapeId="2123" r:id="rId14" name="OptionButton2">
          <controlPr autoLine="0" linkedCell="Defaults!M68" r:id="rId15">
            <anchor moveWithCells="1">
              <from>
                <xdr:col>7</xdr:col>
                <xdr:colOff>266700</xdr:colOff>
                <xdr:row>16</xdr:row>
                <xdr:rowOff>142875</xdr:rowOff>
              </from>
              <to>
                <xdr:col>8</xdr:col>
                <xdr:colOff>609600</xdr:colOff>
                <xdr:row>18</xdr:row>
                <xdr:rowOff>28575</xdr:rowOff>
              </to>
            </anchor>
          </controlPr>
        </control>
      </mc:Choice>
      <mc:Fallback>
        <control shapeId="2123" r:id="rId14" name="OptionButton2"/>
      </mc:Fallback>
    </mc:AlternateContent>
    <mc:AlternateContent xmlns:mc="http://schemas.openxmlformats.org/markup-compatibility/2006">
      <mc:Choice Requires="x14">
        <control shapeId="2126" r:id="rId16" name="Button 78">
          <controlPr defaultSize="0" print="0" autoFill="0" autoPict="0" macro="[0]!path">
            <anchor moveWithCells="1">
              <from>
                <xdr:col>7</xdr:col>
                <xdr:colOff>323850</xdr:colOff>
                <xdr:row>11</xdr:row>
                <xdr:rowOff>19050</xdr:rowOff>
              </from>
              <to>
                <xdr:col>8</xdr:col>
                <xdr:colOff>409575</xdr:colOff>
                <xdr:row>12</xdr:row>
                <xdr:rowOff>57150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indexed="42"/>
  </sheetPr>
  <dimension ref="A1:P223"/>
  <sheetViews>
    <sheetView showGridLines="0" zoomScaleNormal="100" workbookViewId="0">
      <selection activeCell="K1" sqref="K1:P1048576"/>
    </sheetView>
  </sheetViews>
  <sheetFormatPr defaultRowHeight="12.75" x14ac:dyDescent="0.2"/>
  <cols>
    <col min="1" max="1" width="13.28515625" customWidth="1"/>
    <col min="2" max="2" width="11.42578125" customWidth="1"/>
    <col min="3" max="3" width="9.42578125" customWidth="1"/>
    <col min="5" max="5" width="10" customWidth="1"/>
    <col min="6" max="6" width="11.28515625" customWidth="1"/>
    <col min="7" max="7" width="10.28515625" customWidth="1"/>
    <col min="8" max="8" width="10.7109375" customWidth="1"/>
    <col min="9" max="9" width="10.28515625" customWidth="1"/>
    <col min="10" max="10" width="8.7109375" customWidth="1"/>
    <col min="11" max="16" width="8.7109375" hidden="1" customWidth="1"/>
    <col min="17" max="17" width="8.7109375" customWidth="1"/>
    <col min="18" max="18" width="9.140625" customWidth="1"/>
  </cols>
  <sheetData>
    <row r="1" spans="1:14" ht="24.75" thickTop="1" thickBot="1" x14ac:dyDescent="0.4">
      <c r="A1" s="371" t="s">
        <v>112</v>
      </c>
      <c r="B1" s="372"/>
      <c r="C1" s="372"/>
      <c r="D1" s="231"/>
      <c r="E1" s="231"/>
      <c r="F1" s="231"/>
      <c r="G1" s="369"/>
      <c r="H1" s="369"/>
      <c r="I1" s="370"/>
    </row>
    <row r="2" spans="1:14" ht="12.75" customHeight="1" thickTop="1" x14ac:dyDescent="0.2">
      <c r="A2" s="2"/>
      <c r="B2" s="2"/>
      <c r="C2" s="1"/>
      <c r="D2" s="1"/>
      <c r="E2" s="3"/>
      <c r="F2" s="1"/>
      <c r="G2" s="1"/>
      <c r="H2" s="1"/>
      <c r="I2" s="1"/>
    </row>
    <row r="3" spans="1:14" ht="15.75" x14ac:dyDescent="0.25">
      <c r="A3" s="2" t="s">
        <v>1</v>
      </c>
      <c r="B3" s="352"/>
      <c r="C3" s="352"/>
      <c r="D3" s="352"/>
      <c r="E3" s="352"/>
      <c r="F3" s="1"/>
      <c r="G3" s="5"/>
      <c r="H3" s="6" t="s">
        <v>0</v>
      </c>
      <c r="I3" s="65">
        <f ca="1">TODAY()</f>
        <v>41305</v>
      </c>
    </row>
    <row r="4" spans="1:14" x14ac:dyDescent="0.2">
      <c r="A4" s="1"/>
      <c r="B4" s="1"/>
      <c r="C4" s="1"/>
      <c r="D4" s="1"/>
      <c r="E4" s="2"/>
      <c r="F4" s="1"/>
      <c r="G4" s="1"/>
      <c r="H4" s="1"/>
      <c r="I4" s="1"/>
    </row>
    <row r="5" spans="1:14" x14ac:dyDescent="0.2">
      <c r="A5" s="19" t="s">
        <v>3</v>
      </c>
      <c r="B5" s="355"/>
      <c r="C5" s="355"/>
      <c r="D5" s="1"/>
      <c r="G5" s="8" t="s">
        <v>2</v>
      </c>
      <c r="H5" s="354"/>
      <c r="I5" s="354"/>
    </row>
    <row r="6" spans="1:14" x14ac:dyDescent="0.2">
      <c r="A6" s="2"/>
      <c r="B6" s="10"/>
      <c r="C6" s="10"/>
      <c r="D6" s="1"/>
      <c r="E6" s="66"/>
      <c r="F6" s="66"/>
      <c r="G6" s="67" t="s">
        <v>116</v>
      </c>
      <c r="H6" s="68"/>
      <c r="I6" s="24"/>
    </row>
    <row r="7" spans="1:14" x14ac:dyDescent="0.2">
      <c r="A7" s="19" t="s">
        <v>115</v>
      </c>
      <c r="B7" s="354"/>
      <c r="C7" s="354"/>
      <c r="D7" s="1"/>
      <c r="E7" s="1"/>
      <c r="F7" s="1"/>
      <c r="G7" s="67" t="s">
        <v>0</v>
      </c>
      <c r="H7" s="69"/>
      <c r="I7" s="69"/>
    </row>
    <row r="8" spans="1:14" x14ac:dyDescent="0.2">
      <c r="D8" s="23"/>
      <c r="I8" s="1"/>
    </row>
    <row r="9" spans="1:14" x14ac:dyDescent="0.2">
      <c r="A9" s="19" t="s">
        <v>4</v>
      </c>
      <c r="B9" s="7"/>
      <c r="C9" s="70" t="s">
        <v>5</v>
      </c>
      <c r="D9" s="9"/>
      <c r="E9" s="71" t="s">
        <v>120</v>
      </c>
      <c r="F9" s="9"/>
      <c r="G9" s="72" t="s">
        <v>114</v>
      </c>
      <c r="H9" s="1"/>
      <c r="I9" s="1"/>
    </row>
    <row r="10" spans="1:14" x14ac:dyDescent="0.2">
      <c r="A10" s="68"/>
      <c r="B10" s="68"/>
      <c r="C10" s="68"/>
      <c r="D10" s="68"/>
      <c r="E10" s="68"/>
      <c r="F10" s="68"/>
      <c r="G10" s="68"/>
      <c r="H10" s="24"/>
      <c r="I10" s="24"/>
    </row>
    <row r="11" spans="1:14" x14ac:dyDescent="0.2">
      <c r="A11" s="1"/>
      <c r="B11" s="2"/>
      <c r="C11" s="1"/>
      <c r="D11" s="1"/>
      <c r="H11" s="1"/>
      <c r="I11" s="1"/>
    </row>
    <row r="12" spans="1:14" x14ac:dyDescent="0.2">
      <c r="A12" s="11" t="s">
        <v>7</v>
      </c>
      <c r="B12" s="132"/>
      <c r="C12" s="1"/>
      <c r="D12" s="1"/>
      <c r="E12" s="2" t="s">
        <v>6</v>
      </c>
      <c r="F12" s="363">
        <v>2</v>
      </c>
      <c r="G12" s="363"/>
      <c r="H12" s="1"/>
      <c r="I12" s="1"/>
      <c r="K12" t="str">
        <f>CONCATENATE("Subbasin",F12)</f>
        <v>Subbasin2</v>
      </c>
      <c r="L12">
        <f>IF(ISNA(VLOOKUP($F$12,Import1!$K:$N,2,FALSE)),0,VLOOKUP($F$12,Import1!$K:$N,2,FALSE))</f>
        <v>0</v>
      </c>
      <c r="M12">
        <f>IF(ISNA(VLOOKUP($F$12,Import1!$K:$N,4,FALSE)),0,VLOOKUP($F$12,Import1!$K:$N,4,FALSE))</f>
        <v>0</v>
      </c>
      <c r="N12">
        <f>IF(ISNA(VLOOKUP($F$12,Import1!$K:$N,3,FALSE)),0,VLOOKUP($F$12,Import1!$K:$N,3,FALSE))</f>
        <v>0</v>
      </c>
    </row>
    <row r="13" spans="1:14" x14ac:dyDescent="0.2">
      <c r="A13" s="1"/>
      <c r="B13" s="2"/>
      <c r="C13" s="5"/>
      <c r="D13" s="1"/>
      <c r="H13" s="1"/>
      <c r="I13" s="1"/>
    </row>
    <row r="14" spans="1:14" x14ac:dyDescent="0.2">
      <c r="A14" s="2" t="s">
        <v>113</v>
      </c>
      <c r="B14" s="2"/>
      <c r="C14" s="222">
        <f>L12</f>
        <v>0</v>
      </c>
      <c r="D14" s="1"/>
      <c r="E14" s="12" t="s">
        <v>8</v>
      </c>
      <c r="F14" s="12"/>
      <c r="G14" s="13" t="str">
        <f>IF(ISBLANK(B12),"",VLOOKUP(County,County_Table,IF(Storm="10-year",5,6)))</f>
        <v/>
      </c>
    </row>
    <row r="15" spans="1:14" x14ac:dyDescent="0.2">
      <c r="A15" s="349" t="str">
        <f>IF(C14&gt;40,"Watershed Area Exceeds 638 Standard!","")</f>
        <v/>
      </c>
      <c r="B15" s="349"/>
      <c r="C15" s="349"/>
      <c r="D15" s="350"/>
      <c r="E15" s="12" t="s">
        <v>9</v>
      </c>
      <c r="F15" s="12"/>
      <c r="G15" s="13" t="str">
        <f>IF(ISBLANK(B12),"",IF(C16=0," ",((G14-0.2*((1000/C16)-10))^2)/(G14+0.8*((1000/C16)-10))))</f>
        <v/>
      </c>
      <c r="H15" s="358" t="s">
        <v>240</v>
      </c>
      <c r="I15" s="359"/>
    </row>
    <row r="16" spans="1:14" ht="14.25" x14ac:dyDescent="0.2">
      <c r="A16" s="2" t="s">
        <v>183</v>
      </c>
      <c r="B16" s="2"/>
      <c r="C16" s="215">
        <f>M12</f>
        <v>0</v>
      </c>
      <c r="D16" s="1"/>
      <c r="E16" s="12" t="s">
        <v>118</v>
      </c>
      <c r="F16" s="1"/>
      <c r="G16" s="74" t="str">
        <f>IF(ISBLANK(C14),"",IF(ISNUMBER(G15),43560*C14*G15/12,""))</f>
        <v/>
      </c>
      <c r="H16" s="1"/>
      <c r="I16" s="1"/>
    </row>
    <row r="17" spans="1:16" ht="14.25" x14ac:dyDescent="0.2">
      <c r="A17" s="2" t="s">
        <v>10</v>
      </c>
      <c r="B17" s="2"/>
      <c r="C17" s="15"/>
      <c r="D17" s="1"/>
      <c r="E17" s="16" t="s">
        <v>117</v>
      </c>
      <c r="F17" s="17"/>
      <c r="G17" s="74" t="str">
        <f>IF(ISBLANK(C14),"",IF(ISBLANK(C17),"",43560*100*10*C17*C14/(78*2178)))</f>
        <v/>
      </c>
      <c r="I17" s="1"/>
    </row>
    <row r="18" spans="1:16" ht="14.25" x14ac:dyDescent="0.2">
      <c r="A18" s="2" t="s">
        <v>138</v>
      </c>
      <c r="B18" s="2"/>
      <c r="C18" s="21"/>
      <c r="D18" s="1"/>
      <c r="E18" s="12" t="s">
        <v>124</v>
      </c>
      <c r="F18" s="12"/>
      <c r="G18" s="74" t="str">
        <f>IF(ISBLANK(C14),"",IF(ISBLANK(C18),"",IF(ISNUMBER(G16),43560*(0.0223*(C14*G15)^1.27)/(G16/(3600*C18))^0.27,"")))</f>
        <v/>
      </c>
      <c r="H18" s="1"/>
      <c r="I18" s="1"/>
    </row>
    <row r="19" spans="1:16" ht="14.25" x14ac:dyDescent="0.2">
      <c r="D19" s="18"/>
      <c r="E19" s="12" t="s">
        <v>121</v>
      </c>
      <c r="F19" s="12"/>
      <c r="G19" s="74">
        <f>IF(ISBLANK(C14),"",C14*43560/12)</f>
        <v>0</v>
      </c>
      <c r="H19" s="1"/>
      <c r="I19" s="1"/>
    </row>
    <row r="20" spans="1:16" ht="14.25" x14ac:dyDescent="0.2">
      <c r="D20" s="1"/>
      <c r="E20" s="12" t="s">
        <v>123</v>
      </c>
      <c r="F20" s="12"/>
      <c r="G20" s="79" t="str">
        <f>IF(ISNUMBER(G18),IF(Defaults!$M$71=TRUE,IF(G18&gt;G19,G18+G17,G19+G17),G18+G17),"")</f>
        <v/>
      </c>
      <c r="H20" s="118"/>
      <c r="I20" s="1"/>
    </row>
    <row r="21" spans="1:16" x14ac:dyDescent="0.2">
      <c r="A21" s="73"/>
      <c r="B21" s="73"/>
      <c r="C21" s="73"/>
      <c r="D21" s="120"/>
      <c r="E21" s="77"/>
      <c r="F21" s="24"/>
      <c r="G21" s="24"/>
      <c r="H21" s="119"/>
      <c r="I21" s="24"/>
      <c r="J21" s="34"/>
    </row>
    <row r="22" spans="1:16" x14ac:dyDescent="0.2">
      <c r="A22" s="129"/>
      <c r="B22" s="5"/>
      <c r="C22" s="75"/>
      <c r="D22" s="4"/>
      <c r="E22" s="4"/>
      <c r="F22" s="127"/>
      <c r="G22" s="128"/>
      <c r="H22" s="110"/>
      <c r="I22" s="112"/>
      <c r="J22" s="34"/>
    </row>
    <row r="23" spans="1:16" ht="14.25" x14ac:dyDescent="0.2">
      <c r="A23" s="76" t="s">
        <v>122</v>
      </c>
      <c r="B23" s="373" t="s">
        <v>119</v>
      </c>
      <c r="C23" s="373"/>
      <c r="D23" s="121"/>
      <c r="E23" s="78" t="s">
        <v>132</v>
      </c>
      <c r="G23" s="131"/>
      <c r="H23" s="122"/>
      <c r="I23" s="5"/>
      <c r="J23" s="34"/>
    </row>
    <row r="24" spans="1:16" x14ac:dyDescent="0.2">
      <c r="A24" s="222" t="str">
        <f t="array" ref="A24">IF(ISERROR(INDEX(Import1!$A$1:$I$201,SMALL(IF(Import1!$A$1:$I$201=$K$12,ROW(Import1!$A$1:$I$201)),ROW(1:1)),2)),"",INDEX(Import1!$A$1:$I$201,SMALL(IF(Import1!$A$1:$I$201=$K$12,ROW(Import1!$A$1:$I$201)),ROW(1:1)),2))</f>
        <v/>
      </c>
      <c r="B24" s="223" t="str">
        <f t="array" ref="B24">IF(ISERROR(INDEX(Import1!$A$1:$I$201,SMALL(IF(Import1!$A$1:$I$201=$K$12,ROW(Import1!$A$1:$I$201)),ROW(1:1)),5)),"",INDEX(Import1!$A$1:$I$201,SMALL(IF(Import1!$A$1:$I$201=$K$12,ROW(Import1!$A$1:$I$201)),ROW(1:1)),5))</f>
        <v/>
      </c>
      <c r="C24" s="224"/>
      <c r="D24" s="118"/>
      <c r="E24" s="361"/>
      <c r="F24" s="361"/>
      <c r="G24" s="361"/>
      <c r="H24" s="122"/>
      <c r="I24" s="5"/>
      <c r="J24" s="34"/>
      <c r="N24">
        <v>0</v>
      </c>
      <c r="O24" t="e">
        <f t="shared" ref="O24:O45" si="0">A24+((($G$20-N24)/(N25-N24))*(A25-A24))</f>
        <v>#VALUE!</v>
      </c>
    </row>
    <row r="25" spans="1:16" x14ac:dyDescent="0.2">
      <c r="A25" s="222" t="str">
        <f t="array" ref="A25">IF(ISERROR(INDEX(Import1!$A$1:$I$201,SMALL(IF(Import1!$A$1:$I$201=$K$12,ROW(Import1!$A$1:$I$201)),ROW(2:2)),2)),"",INDEX(Import1!$A$1:$I$201,SMALL(IF(Import1!$A$1:$I$201=$K$12,ROW(Import1!$A$1:$I$201)),ROW(2:2)),2))</f>
        <v/>
      </c>
      <c r="B25" s="223" t="str">
        <f t="array" ref="B25">IF(ISERROR(INDEX(Import1!$A$1:$I$201,SMALL(IF(Import1!$A$1:$I$201=$K$12,ROW(Import1!$A$1:$I$201)),ROW(2:2)),5)),"",INDEX(Import1!$A$1:$I$201,SMALL(IF(Import1!$A$1:$I$201=$K$12,ROW(Import1!$A$1:$I$201)),ROW(2:2)),5))</f>
        <v/>
      </c>
      <c r="C25" s="224"/>
      <c r="D25" s="118"/>
      <c r="E25" s="78" t="s">
        <v>130</v>
      </c>
      <c r="G25" s="169"/>
      <c r="H25" s="122"/>
      <c r="I25" s="5"/>
      <c r="K25" t="e">
        <f t="shared" ref="K25:K45" si="1">IF(A25&gt;0,+A25-A24,"")</f>
        <v>#VALUE!</v>
      </c>
      <c r="L25" t="e">
        <f t="shared" ref="L25:L45" si="2">IF(B25&gt;0,+(B24+B25)/2," ")</f>
        <v>#VALUE!</v>
      </c>
      <c r="M25" t="str">
        <f t="shared" ref="M25:M45" si="3">IF((ISERROR(K25*L25)),"",(K25*L25))</f>
        <v/>
      </c>
      <c r="N25" t="str">
        <f>IF((ISERROR(M25)),"",(M25))</f>
        <v/>
      </c>
      <c r="O25" t="e">
        <f t="shared" si="0"/>
        <v>#VALUE!</v>
      </c>
    </row>
    <row r="26" spans="1:16" x14ac:dyDescent="0.2">
      <c r="A26" s="222" t="str">
        <f t="array" ref="A26">IF(ISERROR(INDEX(Import1!$A$1:$I$201,SMALL(IF(Import1!$A$1:$I$201=$K$12,ROW(Import1!$A$1:$I$201)),ROW(3:3)),2)),"",INDEX(Import1!$A$1:$I$201,SMALL(IF(Import1!$A$1:$I$201=$K$12,ROW(Import1!$A$1:$I$201)),ROW(3:3)),2))</f>
        <v/>
      </c>
      <c r="B26" s="223" t="str">
        <f t="array" ref="B26">IF(ISERROR(INDEX(Import1!$A$1:$I$201,SMALL(IF(Import1!$A$1:$I$201=$K$12,ROW(Import1!$A$1:$I$201)),ROW(3:3)),5)),"",INDEX(Import1!$A$1:$I$201,SMALL(IF(Import1!$A$1:$I$201=$K$12,ROW(Import1!$A$1:$I$201)),ROW(3:3)),5))</f>
        <v/>
      </c>
      <c r="C26" s="224"/>
      <c r="D26" s="118"/>
      <c r="E26" s="78" t="s">
        <v>131</v>
      </c>
      <c r="G26" s="169"/>
      <c r="H26" s="122"/>
      <c r="I26" s="126"/>
      <c r="K26" t="e">
        <f t="shared" si="1"/>
        <v>#VALUE!</v>
      </c>
      <c r="L26" t="e">
        <f t="shared" si="2"/>
        <v>#VALUE!</v>
      </c>
      <c r="M26" t="str">
        <f t="shared" si="3"/>
        <v/>
      </c>
      <c r="N26" t="str">
        <f t="shared" ref="N26:N45" si="4">IF((ISERROR(M26+N25)),"",(M26+N25))</f>
        <v/>
      </c>
      <c r="O26" t="e">
        <f t="shared" si="0"/>
        <v>#VALUE!</v>
      </c>
    </row>
    <row r="27" spans="1:16" x14ac:dyDescent="0.2">
      <c r="A27" s="222" t="str">
        <f t="array" ref="A27">IF(ISERROR(INDEX(Import1!$A$1:$I$201,SMALL(IF(Import1!$A$1:$I$201=$K$12,ROW(Import1!$A$1:$I$201)),ROW(4:4)),2)),"",INDEX(Import1!$A$1:$I$201,SMALL(IF(Import1!$A$1:$I$201=$K$12,ROW(Import1!$A$1:$I$201)),ROW(4:4)),2))</f>
        <v/>
      </c>
      <c r="B27" s="223" t="str">
        <f t="array" ref="B27">IF(ISERROR(INDEX(Import1!$A$1:$I$201,SMALL(IF(Import1!$A$1:$I$201=$K$12,ROW(Import1!$A$1:$I$201)),ROW(4:4)),5)),"",INDEX(Import1!$A$1:$I$201,SMALL(IF(Import1!$A$1:$I$201=$K$12,ROW(Import1!$A$1:$I$201)),ROW(4:4)),5))</f>
        <v/>
      </c>
      <c r="C27" s="224"/>
      <c r="D27" s="118"/>
      <c r="E27" s="351"/>
      <c r="F27" s="351"/>
      <c r="G27" s="351"/>
      <c r="H27" s="122"/>
      <c r="I27" s="5"/>
      <c r="K27" t="e">
        <f t="shared" si="1"/>
        <v>#VALUE!</v>
      </c>
      <c r="L27" t="e">
        <f t="shared" si="2"/>
        <v>#VALUE!</v>
      </c>
      <c r="M27" t="str">
        <f t="shared" si="3"/>
        <v/>
      </c>
      <c r="N27" t="str">
        <f t="shared" si="4"/>
        <v/>
      </c>
      <c r="O27" t="e">
        <f t="shared" si="0"/>
        <v>#VALUE!</v>
      </c>
    </row>
    <row r="28" spans="1:16" x14ac:dyDescent="0.2">
      <c r="A28" s="222" t="str">
        <f t="array" ref="A28">IF(ISERROR(INDEX(Import1!$A$1:$I$201,SMALL(IF(Import1!$A$1:$I$201=$K$12,ROW(Import1!$A$1:$I$201)),ROW(5:5)),2)),"",INDEX(Import1!$A$1:$I$201,SMALL(IF(Import1!$A$1:$I$201=$K$12,ROW(Import1!$A$1:$I$201)),ROW(5:5)),2))</f>
        <v/>
      </c>
      <c r="B28" s="223" t="str">
        <f t="array" ref="B28">IF(ISERROR(INDEX(Import1!$A$1:$I$201,SMALL(IF(Import1!$A$1:$I$201=$K$12,ROW(Import1!$A$1:$I$201)),ROW(5:5)),5)),"",INDEX(Import1!$A$1:$I$201,SMALL(IF(Import1!$A$1:$I$201=$K$12,ROW(Import1!$A$1:$I$201)),ROW(5:5)),5))</f>
        <v/>
      </c>
      <c r="C28" s="224"/>
      <c r="D28" s="118"/>
      <c r="E28" s="80" t="s">
        <v>126</v>
      </c>
      <c r="F28" s="81"/>
      <c r="G28" s="82" t="str">
        <f>IF(ISERROR(VLOOKUP(G20,N24:O45,2)),"",VLOOKUP(G20, N24:O45,2))</f>
        <v/>
      </c>
      <c r="H28" s="122"/>
      <c r="I28" s="112"/>
      <c r="K28" t="e">
        <f t="shared" si="1"/>
        <v>#VALUE!</v>
      </c>
      <c r="L28" t="e">
        <f t="shared" si="2"/>
        <v>#VALUE!</v>
      </c>
      <c r="M28" t="str">
        <f t="shared" si="3"/>
        <v/>
      </c>
      <c r="N28" t="str">
        <f t="shared" si="4"/>
        <v/>
      </c>
      <c r="O28" t="e">
        <f t="shared" si="0"/>
        <v>#VALUE!</v>
      </c>
    </row>
    <row r="29" spans="1:16" x14ac:dyDescent="0.2">
      <c r="A29" s="222" t="str">
        <f t="array" ref="A29">IF(ISERROR(INDEX(Import1!$A$1:$I$201,SMALL(IF(Import1!$A$1:$I$201=$K$12,ROW(Import1!$A$1:$I$201)),ROW(6:6)),2)),"",INDEX(Import1!$A$1:$I$201,SMALL(IF(Import1!$A$1:$I$201=$K$12,ROW(Import1!$A$1:$I$201)),ROW(6:6)),2))</f>
        <v/>
      </c>
      <c r="B29" s="223" t="str">
        <f t="array" ref="B29">IF(ISERROR(INDEX(Import1!$A$1:$I$201,SMALL(IF(Import1!$A$1:$I$201=$K$12,ROW(Import1!$A$1:$I$201)),ROW(6:6)),5)),"",INDEX(Import1!$A$1:$I$201,SMALL(IF(Import1!$A$1:$I$201=$K$12,ROW(Import1!$A$1:$I$201)),ROW(6:6)),5))</f>
        <v/>
      </c>
      <c r="C29" s="224"/>
      <c r="D29" s="118"/>
      <c r="E29" s="80" t="s">
        <v>127</v>
      </c>
      <c r="F29" s="81"/>
      <c r="G29" s="174"/>
      <c r="H29" s="122"/>
      <c r="I29" s="5"/>
      <c r="K29" t="e">
        <f t="shared" si="1"/>
        <v>#VALUE!</v>
      </c>
      <c r="L29" t="e">
        <f t="shared" si="2"/>
        <v>#VALUE!</v>
      </c>
      <c r="M29" t="str">
        <f t="shared" si="3"/>
        <v/>
      </c>
      <c r="N29" t="str">
        <f t="shared" si="4"/>
        <v/>
      </c>
      <c r="O29" t="e">
        <f t="shared" si="0"/>
        <v>#VALUE!</v>
      </c>
    </row>
    <row r="30" spans="1:16" x14ac:dyDescent="0.2">
      <c r="A30" s="222" t="str">
        <f t="array" ref="A30">IF(ISERROR(INDEX(Import1!$A$1:$I$201,SMALL(IF(Import1!$A$1:$I$201=$K$12,ROW(Import1!$A$1:$I$201)),ROW(7:7)),2)),"",INDEX(Import1!$A$1:$I$201,SMALL(IF(Import1!$A$1:$I$201=$K$12,ROW(Import1!$A$1:$I$201)),ROW(7:7)),2))</f>
        <v/>
      </c>
      <c r="B30" s="223" t="str">
        <f t="array" ref="B30">IF(ISERROR(INDEX(Import1!$A$1:$I$201,SMALL(IF(Import1!$A$1:$I$201=$K$12,ROW(Import1!$A$1:$I$201)),ROW(7:7)),5)),"",INDEX(Import1!$A$1:$I$201,SMALL(IF(Import1!$A$1:$I$201=$K$12,ROW(Import1!$A$1:$I$201)),ROW(7:7)),5))</f>
        <v/>
      </c>
      <c r="C30" s="224"/>
      <c r="D30" s="118"/>
      <c r="E30" s="360" t="str">
        <f>IF(AND(ISERROR(VLOOKUP(G20,N24:O45,2)),ISNUMBER(C14),ISNUMBER(C17),ISNUMBER(C18),ISNUMBER(C16),ISNUMBER(A24),ISNUMBER(B24))=TRUE,"Elevation Exceeds Input!","")</f>
        <v/>
      </c>
      <c r="F30" s="360"/>
      <c r="G30" s="360"/>
      <c r="H30" s="122"/>
      <c r="I30" s="4"/>
      <c r="K30" t="e">
        <f t="shared" si="1"/>
        <v>#VALUE!</v>
      </c>
      <c r="L30" t="e">
        <f t="shared" si="2"/>
        <v>#VALUE!</v>
      </c>
      <c r="M30" t="str">
        <f t="shared" si="3"/>
        <v/>
      </c>
      <c r="N30" t="str">
        <f t="shared" si="4"/>
        <v/>
      </c>
      <c r="O30" t="e">
        <f t="shared" si="0"/>
        <v>#VALUE!</v>
      </c>
      <c r="P30" t="b">
        <f>IF(E30="Elevation Exceeds Input!",TRUE,FALSE)</f>
        <v>0</v>
      </c>
    </row>
    <row r="31" spans="1:16" x14ac:dyDescent="0.2">
      <c r="A31" s="222" t="str">
        <f t="array" ref="A31">IF(ISERROR(INDEX(Import1!$A$1:$I$201,SMALL(IF(Import1!$A$1:$I$201=$K$12,ROW(Import1!$A$1:$I$201)),ROW(8:8)),2)),"",INDEX(Import1!$A$1:$I$201,SMALL(IF(Import1!$A$1:$I$201=$K$12,ROW(Import1!$A$1:$I$201)),ROW(8:8)),2))</f>
        <v/>
      </c>
      <c r="B31" s="223" t="str">
        <f t="array" ref="B31">IF(ISERROR(INDEX(Import1!$A$1:$I$201,SMALL(IF(Import1!$A$1:$I$201=$K$12,ROW(Import1!$A$1:$I$201)),ROW(8:8)),5)),"",INDEX(Import1!$A$1:$I$201,SMALL(IF(Import1!$A$1:$I$201=$K$12,ROW(Import1!$A$1:$I$201)),ROW(8:8)),5))</f>
        <v/>
      </c>
      <c r="C31" s="224"/>
      <c r="D31" s="118"/>
      <c r="E31" s="80" t="s">
        <v>125</v>
      </c>
      <c r="F31" s="81"/>
      <c r="G31" s="13" t="str">
        <f>IF(ISNUMBER(G25),IF(ISNUMBER(G29),G29-G25,""),"")</f>
        <v/>
      </c>
      <c r="H31" s="122"/>
      <c r="I31" s="4"/>
      <c r="K31" t="e">
        <f t="shared" si="1"/>
        <v>#VALUE!</v>
      </c>
      <c r="L31" t="e">
        <f t="shared" si="2"/>
        <v>#VALUE!</v>
      </c>
      <c r="M31" t="str">
        <f t="shared" si="3"/>
        <v/>
      </c>
      <c r="N31" t="str">
        <f t="shared" si="4"/>
        <v/>
      </c>
      <c r="O31" t="e">
        <f t="shared" si="0"/>
        <v>#VALUE!</v>
      </c>
    </row>
    <row r="32" spans="1:16" x14ac:dyDescent="0.2">
      <c r="A32" s="222" t="str">
        <f t="array" ref="A32">IF(ISERROR(INDEX(Import1!$A$1:$I$201,SMALL(IF(Import1!$A$1:$I$201=$K$12,ROW(Import1!$A$1:$I$201)),ROW(9:9)),2)),"",INDEX(Import1!$A$1:$I$201,SMALL(IF(Import1!$A$1:$I$201=$K$12,ROW(Import1!$A$1:$I$201)),ROW(9:9)),2))</f>
        <v/>
      </c>
      <c r="B32" s="223" t="str">
        <f t="array" ref="B32">IF(ISERROR(INDEX(Import1!$A$1:$I$201,SMALL(IF(Import1!$A$1:$I$201=$K$12,ROW(Import1!$A$1:$I$201)),ROW(9:9)),5)),"",INDEX(Import1!$A$1:$I$201,SMALL(IF(Import1!$A$1:$I$201=$K$12,ROW(Import1!$A$1:$I$201)),ROW(9:9)),5))</f>
        <v/>
      </c>
      <c r="C32" s="224"/>
      <c r="D32" s="118"/>
      <c r="E32" s="12" t="s">
        <v>140</v>
      </c>
      <c r="F32" s="81"/>
      <c r="G32" s="13" t="str">
        <f>IF(ISNUMBER(G26),IF(ISNUMBER(G29),G29-G26,""),"")</f>
        <v/>
      </c>
      <c r="H32" s="122"/>
      <c r="I32" s="4"/>
      <c r="K32" t="e">
        <f t="shared" si="1"/>
        <v>#VALUE!</v>
      </c>
      <c r="L32" t="e">
        <f t="shared" si="2"/>
        <v>#VALUE!</v>
      </c>
      <c r="M32" t="str">
        <f t="shared" si="3"/>
        <v/>
      </c>
      <c r="N32" t="str">
        <f t="shared" si="4"/>
        <v/>
      </c>
      <c r="O32" t="e">
        <f t="shared" si="0"/>
        <v>#VALUE!</v>
      </c>
    </row>
    <row r="33" spans="1:15" x14ac:dyDescent="0.2">
      <c r="A33" s="222" t="str">
        <f t="array" ref="A33">IF(ISERROR(INDEX(Import1!$A$1:$I$201,SMALL(IF(Import1!$A$1:$I$201=$K$12,ROW(Import1!$A$1:$I$201)),ROW(10:10)),2)),"",INDEX(Import1!$A$1:$I$201,SMALL(IF(Import1!$A$1:$I$201=$K$12,ROW(Import1!$A$1:$I$201)),ROW(10:10)),2))</f>
        <v/>
      </c>
      <c r="B33" s="223" t="str">
        <f t="array" ref="B33">IF(ISERROR(INDEX(Import1!$A$1:$I$201,SMALL(IF(Import1!$A$1:$I$201=$K$12,ROW(Import1!$A$1:$I$201)),ROW(10:10)),5)),"",INDEX(Import1!$A$1:$I$201,SMALL(IF(Import1!$A$1:$I$201=$K$12,ROW(Import1!$A$1:$I$201)),ROW(10:10)),5))</f>
        <v/>
      </c>
      <c r="C33" s="224"/>
      <c r="D33" s="118"/>
      <c r="E33" s="80" t="s">
        <v>133</v>
      </c>
      <c r="F33" s="83"/>
      <c r="G33" s="22" t="str">
        <f>IF(ISNUMBER(G32),IF(G32&lt;=5,3,IF(G32&lt;=10,6,IF(G32&lt;=15,8,""))),"")</f>
        <v/>
      </c>
      <c r="H33" s="123"/>
      <c r="I33" s="4"/>
      <c r="K33" t="e">
        <f t="shared" si="1"/>
        <v>#VALUE!</v>
      </c>
      <c r="L33" t="e">
        <f t="shared" si="2"/>
        <v>#VALUE!</v>
      </c>
      <c r="M33" t="str">
        <f t="shared" si="3"/>
        <v/>
      </c>
      <c r="N33" t="str">
        <f t="shared" si="4"/>
        <v/>
      </c>
      <c r="O33" t="e">
        <f t="shared" si="0"/>
        <v>#VALUE!</v>
      </c>
    </row>
    <row r="34" spans="1:15" x14ac:dyDescent="0.2">
      <c r="A34" s="222" t="str">
        <f t="array" ref="A34">IF(ISERROR(INDEX(Import1!$A$1:$I$201,SMALL(IF(Import1!$A$1:$I$201=$K$12,ROW(Import1!$A$1:$I$201)),ROW(11:11)),2)),"",INDEX(Import1!$A$1:$I$201,SMALL(IF(Import1!$A$1:$I$201=$K$12,ROW(Import1!$A$1:$I$201)),ROW(11:11)),2))</f>
        <v/>
      </c>
      <c r="B34" s="223" t="str">
        <f t="array" ref="B34">IF(ISERROR(INDEX(Import1!$A$1:$I$201,SMALL(IF(Import1!$A$1:$I$201=$K$12,ROW(Import1!$A$1:$I$201)),ROW(11:11)),5)),"",INDEX(Import1!$A$1:$I$201,SMALL(IF(Import1!$A$1:$I$201=$K$12,ROW(Import1!$A$1:$I$201)),ROW(11:11)),5))</f>
        <v/>
      </c>
      <c r="C34" s="224"/>
      <c r="D34" s="118"/>
      <c r="E34" s="360" t="str">
        <f>IF(ISNUMBER(G32),IF(G32&gt;15,"Fill Height Exceeds 638 Standard!",""),"")</f>
        <v/>
      </c>
      <c r="F34" s="360"/>
      <c r="G34" s="360"/>
      <c r="H34" s="122"/>
      <c r="I34" s="4"/>
      <c r="K34" t="e">
        <f t="shared" si="1"/>
        <v>#VALUE!</v>
      </c>
      <c r="L34" t="e">
        <f t="shared" si="2"/>
        <v>#VALUE!</v>
      </c>
      <c r="M34" t="str">
        <f t="shared" si="3"/>
        <v/>
      </c>
      <c r="N34" t="str">
        <f t="shared" si="4"/>
        <v/>
      </c>
      <c r="O34" t="e">
        <f t="shared" si="0"/>
        <v>#VALUE!</v>
      </c>
    </row>
    <row r="35" spans="1:15" x14ac:dyDescent="0.2">
      <c r="A35" s="222" t="str">
        <f t="array" ref="A35">IF(ISERROR(INDEX(Import1!$A$1:$I$201,SMALL(IF(Import1!$A$1:$I$201=$K$12,ROW(Import1!$A$1:$I$201)),ROW(12:12)),2)),"",INDEX(Import1!$A$1:$I$201,SMALL(IF(Import1!$A$1:$I$201=$K$12,ROW(Import1!$A$1:$I$201)),ROW(12:12)),2))</f>
        <v/>
      </c>
      <c r="B35" s="223" t="str">
        <f t="array" ref="B35">IF(ISERROR(INDEX(Import1!$A$1:$I$201,SMALL(IF(Import1!$A$1:$I$201=$K$12,ROW(Import1!$A$1:$I$201)),ROW(12:12)),5)),"",INDEX(Import1!$A$1:$I$201,SMALL(IF(Import1!$A$1:$I$201=$K$12,ROW(Import1!$A$1:$I$201)),ROW(12:12)),5))</f>
        <v/>
      </c>
      <c r="C35" s="224"/>
      <c r="D35" s="118"/>
      <c r="E35" s="80" t="s">
        <v>134</v>
      </c>
      <c r="F35" s="81"/>
      <c r="G35" s="85" t="str">
        <f>IF(ISTEXT(Position),IF(Position=Defaults!L29,0,IF(Position=Defaults!L27,Defaults!M27,IF(Position=Defaults!L28,Defaults!M28,""))),"")</f>
        <v/>
      </c>
      <c r="H35" s="122"/>
      <c r="I35" s="4"/>
      <c r="K35" t="e">
        <f t="shared" si="1"/>
        <v>#VALUE!</v>
      </c>
      <c r="L35" t="e">
        <f t="shared" si="2"/>
        <v>#VALUE!</v>
      </c>
      <c r="M35" t="str">
        <f t="shared" si="3"/>
        <v/>
      </c>
      <c r="N35" t="str">
        <f t="shared" si="4"/>
        <v/>
      </c>
      <c r="O35" t="e">
        <f t="shared" si="0"/>
        <v>#VALUE!</v>
      </c>
    </row>
    <row r="36" spans="1:15" x14ac:dyDescent="0.2">
      <c r="A36" s="222" t="str">
        <f t="array" ref="A36">IF(ISERROR(INDEX(Import1!$A$1:$I$201,SMALL(IF(Import1!$A$1:$I$201=$K$12,ROW(Import1!$A$1:$I$201)),ROW(13:13)),2)),"",INDEX(Import1!$A$1:$I$201,SMALL(IF(Import1!$A$1:$I$201=$K$12,ROW(Import1!$A$1:$I$201)),ROW(13:13)),2))</f>
        <v/>
      </c>
      <c r="B36" s="223" t="str">
        <f t="array" ref="B36">IF(ISERROR(INDEX(Import1!$A$1:$I$201,SMALL(IF(Import1!$A$1:$I$201=$K$12,ROW(Import1!$A$1:$I$201)),ROW(13:13)),5)),"",INDEX(Import1!$A$1:$I$201,SMALL(IF(Import1!$A$1:$I$201=$K$12,ROW(Import1!$A$1:$I$201)),ROW(13:13)),5))</f>
        <v/>
      </c>
      <c r="C36" s="224"/>
      <c r="D36" s="118"/>
      <c r="E36" s="366"/>
      <c r="F36" s="366"/>
      <c r="G36" s="366"/>
      <c r="H36" s="122"/>
      <c r="I36" s="4"/>
      <c r="K36" t="e">
        <f t="shared" si="1"/>
        <v>#VALUE!</v>
      </c>
      <c r="L36" t="e">
        <f t="shared" si="2"/>
        <v>#VALUE!</v>
      </c>
      <c r="M36" t="str">
        <f t="shared" si="3"/>
        <v/>
      </c>
      <c r="N36" t="str">
        <f t="shared" si="4"/>
        <v/>
      </c>
      <c r="O36" t="e">
        <f t="shared" si="0"/>
        <v>#VALUE!</v>
      </c>
    </row>
    <row r="37" spans="1:15" x14ac:dyDescent="0.2">
      <c r="A37" s="222" t="str">
        <f t="array" ref="A37">IF(ISERROR(INDEX(Import1!$A$1:$I$201,SMALL(IF(Import1!$A$1:$I$201=$K$12,ROW(Import1!$A$1:$I$201)),ROW(14:14)),2)),"",INDEX(Import1!$A$1:$I$201,SMALL(IF(Import1!$A$1:$I$201=$K$12,ROW(Import1!$A$1:$I$201)),ROW(14:14)),2))</f>
        <v/>
      </c>
      <c r="B37" s="223" t="str">
        <f t="array" ref="B37">IF(ISERROR(INDEX(Import1!$A$1:$I$201,SMALL(IF(Import1!$A$1:$I$201=$K$12,ROW(Import1!$A$1:$I$201)),ROW(14:14)),5)),"",INDEX(Import1!$A$1:$I$201,SMALL(IF(Import1!$A$1:$I$201=$K$12,ROW(Import1!$A$1:$I$201)),ROW(14:14)),5))</f>
        <v/>
      </c>
      <c r="C37" s="224"/>
      <c r="D37" s="118"/>
      <c r="E37" s="80" t="s">
        <v>135</v>
      </c>
      <c r="F37" s="84"/>
      <c r="G37" s="175" t="str">
        <f>IF(Position=Defaults!L24,"No Orifice",IF(AND(ISNUMBER(G35),ISNUMBER(C18),ISNUMBER(G16),ISNUMBER(G29))=TRUE,(4*144/PI()*G16/3600/C18/0.6/(64.4*(0.7*G31+G35))^0.5)^0.5,""))</f>
        <v/>
      </c>
      <c r="H37" s="124"/>
      <c r="I37" s="4"/>
      <c r="K37" t="e">
        <f t="shared" si="1"/>
        <v>#VALUE!</v>
      </c>
      <c r="L37" t="e">
        <f t="shared" si="2"/>
        <v>#VALUE!</v>
      </c>
      <c r="M37" t="str">
        <f t="shared" si="3"/>
        <v/>
      </c>
      <c r="N37" t="str">
        <f t="shared" si="4"/>
        <v/>
      </c>
      <c r="O37" t="e">
        <f t="shared" si="0"/>
        <v>#VALUE!</v>
      </c>
    </row>
    <row r="38" spans="1:15" x14ac:dyDescent="0.2">
      <c r="A38" s="222" t="str">
        <f t="array" ref="A38">IF(ISERROR(INDEX(Import1!$A$1:$I$201,SMALL(IF(Import1!$A$1:$I$201=$K$12,ROW(Import1!$A$1:$I$201)),ROW(15:15)),2)),"",INDEX(Import1!$A$1:$I$201,SMALL(IF(Import1!$A$1:$I$201=$K$12,ROW(Import1!$A$1:$I$201)),ROW(15:15)),2))</f>
        <v/>
      </c>
      <c r="B38" s="223" t="str">
        <f t="array" ref="B38">IF(ISERROR(INDEX(Import1!$A$1:$I$201,SMALL(IF(Import1!$A$1:$I$201=$K$12,ROW(Import1!$A$1:$I$201)),ROW(15:15)),5)),"",INDEX(Import1!$A$1:$I$201,SMALL(IF(Import1!$A$1:$I$201=$K$12,ROW(Import1!$A$1:$I$201)),ROW(15:15)),5))</f>
        <v/>
      </c>
      <c r="C38" s="224"/>
      <c r="D38" s="118"/>
      <c r="E38" s="364" t="str">
        <f>IF(Position=Defaults!L24,"Use Riser? (Yes or No)","Design Orifice Dia. (in.)")</f>
        <v>Design Orifice Dia. (in.)</v>
      </c>
      <c r="F38" s="365"/>
      <c r="G38" s="176"/>
      <c r="H38" s="4"/>
      <c r="I38" s="4"/>
      <c r="K38" t="e">
        <f t="shared" si="1"/>
        <v>#VALUE!</v>
      </c>
      <c r="L38" t="e">
        <f t="shared" si="2"/>
        <v>#VALUE!</v>
      </c>
      <c r="M38" t="str">
        <f t="shared" si="3"/>
        <v/>
      </c>
      <c r="N38" t="str">
        <f t="shared" si="4"/>
        <v/>
      </c>
      <c r="O38" t="e">
        <f t="shared" si="0"/>
        <v>#VALUE!</v>
      </c>
    </row>
    <row r="39" spans="1:15" x14ac:dyDescent="0.2">
      <c r="A39" s="222" t="str">
        <f t="array" ref="A39">IF(ISERROR(INDEX(Import1!$A$1:$I$201,SMALL(IF(Import1!$A$1:$I$201=$K$12,ROW(Import1!$A$1:$I$201)),ROW(16:16)),2)),"",INDEX(Import1!$A$1:$I$201,SMALL(IF(Import1!$A$1:$I$201=$K$12,ROW(Import1!$A$1:$I$201)),ROW(16:16)),2))</f>
        <v/>
      </c>
      <c r="B39" s="223" t="str">
        <f t="array" ref="B39">IF(ISERROR(INDEX(Import1!$A$1:$I$201,SMALL(IF(Import1!$A$1:$I$201=$K$12,ROW(Import1!$A$1:$I$201)),ROW(16:16)),5)),"",INDEX(Import1!$A$1:$I$201,SMALL(IF(Import1!$A$1:$I$201=$K$12,ROW(Import1!$A$1:$I$201)),ROW(16:16)),5))</f>
        <v/>
      </c>
      <c r="C39" s="224"/>
      <c r="D39" s="118"/>
      <c r="E39" s="367"/>
      <c r="F39" s="367"/>
      <c r="G39" s="367"/>
      <c r="H39" s="4"/>
      <c r="I39" s="4"/>
      <c r="K39" t="e">
        <f t="shared" si="1"/>
        <v>#VALUE!</v>
      </c>
      <c r="L39" t="e">
        <f t="shared" si="2"/>
        <v>#VALUE!</v>
      </c>
      <c r="M39" t="str">
        <f t="shared" si="3"/>
        <v/>
      </c>
      <c r="N39" t="str">
        <f t="shared" si="4"/>
        <v/>
      </c>
      <c r="O39" t="e">
        <f t="shared" si="0"/>
        <v>#VALUE!</v>
      </c>
    </row>
    <row r="40" spans="1:15" x14ac:dyDescent="0.2">
      <c r="A40" s="222" t="str">
        <f t="array" ref="A40">IF(ISERROR(INDEX(Import1!$A$1:$I$201,SMALL(IF(Import1!$A$1:$I$201=$K$12,ROW(Import1!$A$1:$I$201)),ROW(17:17)),2)),"",INDEX(Import1!$A$1:$I$201,SMALL(IF(Import1!$A$1:$I$201=$K$12,ROW(Import1!$A$1:$I$201)),ROW(17:17)),2))</f>
        <v/>
      </c>
      <c r="B40" s="223" t="str">
        <f t="array" ref="B40">IF(ISERROR(INDEX(Import1!$A$1:$I$201,SMALL(IF(Import1!$A$1:$I$201=$K$12,ROW(Import1!$A$1:$I$201)),ROW(17:17)),5)),"",INDEX(Import1!$A$1:$I$201,SMALL(IF(Import1!$A$1:$I$201=$K$12,ROW(Import1!$A$1:$I$201)),ROW(17:17)),5))</f>
        <v/>
      </c>
      <c r="C40" s="224"/>
      <c r="D40" s="118"/>
      <c r="E40" s="80" t="s">
        <v>136</v>
      </c>
      <c r="F40" s="84"/>
      <c r="G40" s="87" t="str">
        <f>IF(Position=Defaults!L24,G16/C18/3600,IF(ISNUMBER(G38),0.6*PI()*G38^2/576*(64.4*(0.7*G31+G35))^0.5,""))</f>
        <v/>
      </c>
      <c r="H40" s="4"/>
      <c r="I40" s="4"/>
      <c r="K40" t="e">
        <f t="shared" si="1"/>
        <v>#VALUE!</v>
      </c>
      <c r="L40" t="e">
        <f t="shared" si="2"/>
        <v>#VALUE!</v>
      </c>
      <c r="M40" t="str">
        <f t="shared" si="3"/>
        <v/>
      </c>
      <c r="N40" t="str">
        <f t="shared" si="4"/>
        <v/>
      </c>
      <c r="O40" t="e">
        <f t="shared" si="0"/>
        <v>#VALUE!</v>
      </c>
    </row>
    <row r="41" spans="1:15" x14ac:dyDescent="0.2">
      <c r="A41" s="222" t="str">
        <f t="array" ref="A41">IF(ISERROR(INDEX(Import1!$A$1:$I$201,SMALL(IF(Import1!$A$1:$I$201=$K$12,ROW(Import1!$A$1:$I$201)),ROW(18:18)),2)),"",INDEX(Import1!$A$1:$I$201,SMALL(IF(Import1!$A$1:$I$201=$K$12,ROW(Import1!$A$1:$I$201)),ROW(18:18)),2))</f>
        <v/>
      </c>
      <c r="B41" s="223" t="str">
        <f t="array" ref="B41">IF(ISERROR(INDEX(Import1!$A$1:$I$201,SMALL(IF(Import1!$A$1:$I$201=$K$12,ROW(Import1!$A$1:$I$201)),ROW(18:18)),5)),"",INDEX(Import1!$A$1:$I$201,SMALL(IF(Import1!$A$1:$I$201=$K$12,ROW(Import1!$A$1:$I$201)),ROW(18:18)),5))</f>
        <v/>
      </c>
      <c r="C41" s="224"/>
      <c r="D41" s="4"/>
      <c r="E41" s="80" t="s">
        <v>137</v>
      </c>
      <c r="F41" s="84"/>
      <c r="G41" s="86" t="str">
        <f>IF(ISNUMBER(G45),IF(Position=Defaults!L24,IF(G38="YES",K49,IF(G38="NO",K50,K49)),IF(ISNUMBER(G38),0.6*PI()*G38^2/576*(64.4*(G31+G35))^0.5,"")),"")</f>
        <v/>
      </c>
      <c r="H41" s="4"/>
      <c r="I41" s="4"/>
      <c r="K41" t="e">
        <f t="shared" si="1"/>
        <v>#VALUE!</v>
      </c>
      <c r="L41" t="e">
        <f t="shared" si="2"/>
        <v>#VALUE!</v>
      </c>
      <c r="M41" t="str">
        <f t="shared" si="3"/>
        <v/>
      </c>
      <c r="N41" t="str">
        <f t="shared" si="4"/>
        <v/>
      </c>
      <c r="O41" t="e">
        <f t="shared" si="0"/>
        <v>#VALUE!</v>
      </c>
    </row>
    <row r="42" spans="1:15" x14ac:dyDescent="0.2">
      <c r="A42" s="222" t="str">
        <f t="array" ref="A42">IF(ISERROR(INDEX(Import1!$A$1:$I$201,SMALL(IF(Import1!$A$1:$I$201=$K$12,ROW(Import1!$A$1:$I$201)),ROW(19:19)),2)),"",INDEX(Import1!$A$1:$I$201,SMALL(IF(Import1!$A$1:$I$201=$K$12,ROW(Import1!$A$1:$I$201)),ROW(19:19)),2))</f>
        <v/>
      </c>
      <c r="B42" s="223" t="str">
        <f t="array" ref="B42">IF(ISERROR(INDEX(Import1!$A$1:$I$201,SMALL(IF(Import1!$A$1:$I$201=$K$12,ROW(Import1!$A$1:$I$201)),ROW(19:19)),5)),"",INDEX(Import1!$A$1:$I$201,SMALL(IF(Import1!$A$1:$I$201=$K$12,ROW(Import1!$A$1:$I$201)),ROW(19:19)),5))</f>
        <v/>
      </c>
      <c r="C42" s="224"/>
      <c r="D42" s="4"/>
      <c r="E42" s="368"/>
      <c r="F42" s="368"/>
      <c r="G42" s="368"/>
      <c r="H42" s="4"/>
      <c r="I42" s="4"/>
      <c r="K42" t="e">
        <f t="shared" si="1"/>
        <v>#VALUE!</v>
      </c>
      <c r="L42" t="e">
        <f t="shared" si="2"/>
        <v>#VALUE!</v>
      </c>
      <c r="M42" t="str">
        <f t="shared" si="3"/>
        <v/>
      </c>
      <c r="N42" t="str">
        <f t="shared" si="4"/>
        <v/>
      </c>
      <c r="O42" t="e">
        <f t="shared" si="0"/>
        <v>#VALUE!</v>
      </c>
    </row>
    <row r="43" spans="1:15" x14ac:dyDescent="0.2">
      <c r="A43" s="222" t="str">
        <f t="array" ref="A43">IF(ISERROR(INDEX(Import1!$A$1:$I$201,SMALL(IF(Import1!$A$1:$I$201=$K$12,ROW(Import1!$A$1:$I$201)),ROW(20:20)),2)),"",INDEX(Import1!$A$1:$I$201,SMALL(IF(Import1!$A$1:$I$201=$K$12,ROW(Import1!$A$1:$I$201)),ROW(20:20)),2))</f>
        <v/>
      </c>
      <c r="B43" s="223" t="str">
        <f t="array" ref="B43">IF(ISERROR(INDEX(Import1!$A$1:$I$201,SMALL(IF(Import1!$A$1:$I$201=$K$12,ROW(Import1!$A$1:$I$201)),ROW(20:20)),5)),"",INDEX(Import1!$A$1:$I$201,SMALL(IF(Import1!$A$1:$I$201=$K$12,ROW(Import1!$A$1:$I$201)),ROW(20:20)),5))</f>
        <v/>
      </c>
      <c r="C43" s="224"/>
      <c r="D43" s="5"/>
      <c r="E43" s="80" t="s">
        <v>138</v>
      </c>
      <c r="F43" s="84"/>
      <c r="G43" s="22" t="str">
        <f>IF(Position=Defaults!L24,IF(ISNUMBER(G40),G16/3600/G40,""),IF(ISNUMBER(G40),G16/3600/G40,""))</f>
        <v/>
      </c>
      <c r="H43" s="4"/>
      <c r="I43" s="4"/>
      <c r="K43" t="e">
        <f t="shared" si="1"/>
        <v>#VALUE!</v>
      </c>
      <c r="L43" t="e">
        <f t="shared" si="2"/>
        <v>#VALUE!</v>
      </c>
      <c r="M43" t="str">
        <f t="shared" si="3"/>
        <v/>
      </c>
      <c r="N43" t="str">
        <f t="shared" si="4"/>
        <v/>
      </c>
      <c r="O43" t="e">
        <f t="shared" si="0"/>
        <v>#VALUE!</v>
      </c>
    </row>
    <row r="44" spans="1:15" x14ac:dyDescent="0.2">
      <c r="A44" s="222" t="str">
        <f t="array" ref="A44">IF(ISERROR(INDEX(Import1!$A$1:$I$201,SMALL(IF(Import1!$A$1:$I$201=$K$12,ROW(Import1!$A$1:$I$201)),ROW(21:21)),2)),"",INDEX(Import1!$A$1:$I$201,SMALL(IF(Import1!$A$1:$I$201=$K$12,ROW(Import1!$A$1:$I$201)),ROW(21:21)),2))</f>
        <v/>
      </c>
      <c r="B44" s="223" t="str">
        <f t="array" ref="B44">IF(ISERROR(INDEX(Import1!$A$1:$I$201,SMALL(IF(Import1!$A$1:$I$201=$K$12,ROW(Import1!$A$1:$I$201)),ROW(21:21)),5)),"",INDEX(Import1!$A$1:$I$201,SMALL(IF(Import1!$A$1:$I$201=$K$12,ROW(Import1!$A$1:$I$201)),ROW(21:21)),5))</f>
        <v/>
      </c>
      <c r="C44" s="224"/>
      <c r="D44" s="4"/>
      <c r="E44" s="368"/>
      <c r="F44" s="368"/>
      <c r="G44" s="368"/>
      <c r="H44" s="4"/>
      <c r="I44" s="4"/>
      <c r="K44" t="e">
        <f t="shared" si="1"/>
        <v>#VALUE!</v>
      </c>
      <c r="L44" t="e">
        <f t="shared" si="2"/>
        <v>#VALUE!</v>
      </c>
      <c r="M44" t="str">
        <f t="shared" si="3"/>
        <v/>
      </c>
      <c r="N44" t="str">
        <f t="shared" si="4"/>
        <v/>
      </c>
      <c r="O44" t="e">
        <f t="shared" si="0"/>
        <v>#VALUE!</v>
      </c>
    </row>
    <row r="45" spans="1:15" x14ac:dyDescent="0.2">
      <c r="A45" s="222" t="str">
        <f t="array" ref="A45">IF(ISERROR(INDEX(Import1!$A$1:$I$201,SMALL(IF(Import1!$A$1:$I$201=$K$12,ROW(Import1!$A$1:$I$201)),ROW(22:22)),2)),"",INDEX(Import1!$A$1:$I$201,SMALL(IF(Import1!$A$1:$I$201=$K$12,ROW(Import1!$A$1:$I$201)),ROW(22:22)),2))</f>
        <v/>
      </c>
      <c r="B45" s="223" t="str">
        <f t="array" ref="B45">IF(ISERROR(INDEX(Import1!$A$1:$I$201,SMALL(IF(Import1!$A$1:$I$201=$K$12,ROW(Import1!$A$1:$I$201)),ROW(22:22)),5)),"",INDEX(Import1!$A$1:$I$201,SMALL(IF(Import1!$A$1:$I$201=$K$12,ROW(Import1!$A$1:$I$201)),ROW(22:22)),5))</f>
        <v/>
      </c>
      <c r="C45" s="224"/>
      <c r="D45" s="122"/>
      <c r="E45" s="80" t="s">
        <v>139</v>
      </c>
      <c r="F45" s="27"/>
      <c r="G45" s="88" t="str">
        <f>IF(Position=Defaults!L24,IF(G38="YES",K47,IF(G38="NO",K48,K47)),K46)</f>
        <v/>
      </c>
      <c r="H45" s="4"/>
      <c r="I45" s="4"/>
      <c r="K45" t="e">
        <f t="shared" si="1"/>
        <v>#VALUE!</v>
      </c>
      <c r="L45" t="e">
        <f t="shared" si="2"/>
        <v>#VALUE!</v>
      </c>
      <c r="M45" t="str">
        <f t="shared" si="3"/>
        <v/>
      </c>
      <c r="N45" t="str">
        <f t="shared" si="4"/>
        <v/>
      </c>
      <c r="O45" t="e">
        <f t="shared" si="0"/>
        <v>#VALUE!</v>
      </c>
    </row>
    <row r="46" spans="1:15" x14ac:dyDescent="0.2">
      <c r="A46" s="125"/>
      <c r="B46" s="125"/>
      <c r="C46" s="125"/>
      <c r="D46" s="125"/>
      <c r="E46" s="5"/>
      <c r="F46" s="5"/>
      <c r="G46" s="125"/>
      <c r="H46" s="5"/>
      <c r="I46" s="5"/>
      <c r="K46" s="105" t="str">
        <f>IF(ISNUMBER(G38),IF(IF((IF(G38&lt;=3.5,6,IF(G38&lt;=5.5,8,IF(G38&lt;=6,10,12))))=6,0.37*(MIN(3,G31))^1.5042,IF((IF(G38&lt;=3.5,6,IF(G38&lt;=5.5,8,IF(G38&lt;=6,10,12))))=8,0.5208*(MIN(3.33,G31))^1.5003,IF((IF(G38&lt;=3.5,6,IF(G38&lt;=5.5,8,IF(G38&lt;=6,10,12))))=10,0.8386*(MIN(3.33,G31))^1.4969,1.0444*(MIN(3.5,G31))^1.5004)))&gt;=G40,(IF(G38&lt;=3.5,6,IF(G38&lt;=5.5,8,IF(G38&lt;=6,10,12)))),IF(IF((IF(G38&lt;=3.5,6,IF(G38&lt;=5.5,8,IF(G38&lt;=6,10,12))))+2=8,0.5208*(MIN(3.33,G31))^1.5003,IF((IF(G38&lt;=3.5,6,IF(G38&lt;=5.5,8,IF(G38&lt;=6,10,12))))+2=10,0.8386*(MIN(3.33,G31))^1.4969,1.0444*(MIN(3.5,G31))^1.5004))&gt;=G40,(IF(G38&lt;=3.5,8,IF(G38&lt;=5.5,10,IF(G38&lt;=6,12,"----------------")))),IF(IF((IF(G38&lt;=3.5,6,IF(G38&lt;=5.5,8,IF(G38&lt;=6,10,12))))+4=10,0.8386*(MIN(3.33,G31))^1.4969,1.0444*(MIN(3.5,G31))^1.5004)&gt;=G40,(IF(G38&lt;=3.5,10,IF(G38&lt;=5.5,12,"----------------"))),"----------------"))),"")</f>
        <v/>
      </c>
    </row>
    <row r="47" spans="1:15" x14ac:dyDescent="0.2">
      <c r="A47" s="125"/>
      <c r="B47" s="125"/>
      <c r="C47" s="125"/>
      <c r="D47" s="125"/>
      <c r="E47" s="125"/>
      <c r="F47" s="125"/>
      <c r="G47" s="125"/>
      <c r="H47" s="125"/>
      <c r="I47" s="125"/>
      <c r="K47" s="106" t="str">
        <f>IF(0.37*(MIN(3,G31))^1.5042&gt;=G40,6,IF(0.5208*(MIN(3,G31))^1.5003&gt;=G40,8,IF(0.6695*(MIN(3,G31))^1.5004&gt;=G40,10,IF(1.0444*(MIN(3,G31))^1.5004&gt;=G40,12,"----------------"))))</f>
        <v>----------------</v>
      </c>
    </row>
    <row r="48" spans="1:15" ht="16.5" customHeight="1" x14ac:dyDescent="0.2">
      <c r="A48" s="122"/>
      <c r="B48" s="122"/>
      <c r="C48" s="122"/>
      <c r="D48" s="122"/>
      <c r="E48" s="122"/>
      <c r="F48" s="122"/>
      <c r="G48" s="122"/>
      <c r="H48" s="122"/>
      <c r="I48" s="122"/>
      <c r="K48" s="106" t="e">
        <f>IF(0.6*PI()*6^2/576*(64.4*0.7*G31)^0.5&gt;=G40,6,IF(0.6*PI()*8^2/576*(64.4*0.7*G31)^0.5&gt;=G40,8,IF(0.6*PI()*10^2/576*(64.4*0.7*G31)^0.5&gt;=G40,10,IF(0.6*PI()*12^2/576*(64.4*0.7*G31)^0.5&gt;=G40,12,"----------------"))))</f>
        <v>#VALUE!</v>
      </c>
    </row>
    <row r="49" spans="1:12" x14ac:dyDescent="0.2">
      <c r="A49" s="122"/>
      <c r="B49" s="122"/>
      <c r="C49" s="122"/>
      <c r="D49" s="122"/>
      <c r="E49" s="122"/>
      <c r="F49" s="122"/>
      <c r="G49" s="122"/>
      <c r="H49" s="122"/>
      <c r="I49" s="122"/>
      <c r="J49" s="4"/>
      <c r="K49" s="193" t="str">
        <f>IF(G45=6,IF(0.37*(MIN(3,G31))^1.5042&lt;=0.6*PI()*G45^2/576*(64.4*G31)^0.5,0.37*(MIN(3,G31))^1.5042,0.6*PI()*G45^2/576*(64.4*G31)^0.5),IF(G45=8,IF(0.5208*(MIN(3,G31))^1.5003&lt;=0.6*PI()*G45^2/576*(64.4*G31)^0.5,0.5208*(MIN(3,G31))^1.5003,0.6*PI()*G45^2/576*(64.4*G31)^0.5),IF(G45=10,IF(0.6695*(MIN(3,G31))^1.5004&lt;=0.6*PI()*G45^2/576*(64.4*G31)^0.5,0.6695*(MIN(3,G31))^1.5004,0.6*PI()*G45^2/576*(64.4*G31)^0.5),IF(G45=12,IF(1.0444*(MIN(3,G31))^1.5004&lt;=0.6*PI()*G45^2/576*(64.4*G31)^0.5,1.0444*(MIN(3,G31))^1.5004),"Too Large"))))</f>
        <v>Too Large</v>
      </c>
      <c r="L49" s="4"/>
    </row>
    <row r="50" spans="1:12" x14ac:dyDescent="0.2">
      <c r="A50" s="122"/>
      <c r="B50" s="122"/>
      <c r="C50" s="122"/>
      <c r="D50" s="122"/>
      <c r="E50" s="122"/>
      <c r="F50" s="122"/>
      <c r="G50" s="122"/>
      <c r="H50" s="122"/>
      <c r="I50" s="122"/>
      <c r="J50" s="4"/>
      <c r="K50" s="194" t="e">
        <f>0.6*PI()*G45^2/576*(64.4*G31)^0.5</f>
        <v>#VALUE!</v>
      </c>
      <c r="L50" s="4"/>
    </row>
    <row r="51" spans="1:12" x14ac:dyDescent="0.2">
      <c r="A51" s="122"/>
      <c r="B51" s="122"/>
      <c r="C51" s="122"/>
      <c r="D51" s="122"/>
      <c r="E51" s="122"/>
      <c r="F51" s="122"/>
      <c r="G51" s="122"/>
      <c r="H51" s="122"/>
      <c r="I51" s="122"/>
      <c r="J51" s="4"/>
      <c r="K51" s="4"/>
      <c r="L51" s="4"/>
    </row>
    <row r="52" spans="1:12" x14ac:dyDescent="0.2">
      <c r="A52" s="122"/>
      <c r="B52" s="122"/>
      <c r="C52" s="122"/>
      <c r="D52" s="122"/>
      <c r="E52" s="122"/>
      <c r="F52" s="122"/>
      <c r="G52" s="122"/>
      <c r="H52" s="122"/>
      <c r="I52" s="122"/>
      <c r="K52" s="4"/>
      <c r="L52" s="4"/>
    </row>
    <row r="53" spans="1:12" x14ac:dyDescent="0.2">
      <c r="A53" s="122"/>
      <c r="B53" s="122"/>
      <c r="C53" s="122"/>
      <c r="D53" s="122"/>
      <c r="E53" s="122"/>
      <c r="F53" s="122"/>
      <c r="G53" s="122"/>
      <c r="H53" s="122"/>
      <c r="I53" s="122"/>
      <c r="J53" s="4"/>
      <c r="K53" s="4"/>
      <c r="L53" s="4"/>
    </row>
    <row r="54" spans="1:12" x14ac:dyDescent="0.2">
      <c r="A54" s="122"/>
      <c r="B54" s="122"/>
      <c r="C54" s="122"/>
      <c r="D54" s="122"/>
      <c r="E54" s="122"/>
      <c r="F54" s="122"/>
      <c r="G54" s="122"/>
      <c r="H54" s="122"/>
      <c r="I54" s="122"/>
    </row>
    <row r="55" spans="1:12" x14ac:dyDescent="0.2">
      <c r="A55" s="130"/>
      <c r="B55" s="4"/>
      <c r="C55" s="4"/>
      <c r="D55" s="4"/>
      <c r="E55" s="4"/>
      <c r="F55" s="122"/>
      <c r="G55" s="122"/>
      <c r="H55" s="122"/>
      <c r="I55" s="122"/>
    </row>
    <row r="56" spans="1:12" x14ac:dyDescent="0.2">
      <c r="A56" s="4"/>
      <c r="B56" s="4"/>
      <c r="C56" s="4"/>
      <c r="D56" s="4"/>
      <c r="E56" s="5"/>
      <c r="F56" s="122"/>
      <c r="G56" s="122"/>
      <c r="H56" s="122"/>
      <c r="I56" s="122"/>
    </row>
    <row r="57" spans="1:12" x14ac:dyDescent="0.2">
      <c r="A57" s="111"/>
      <c r="B57" s="111"/>
      <c r="C57" s="118"/>
      <c r="D57" s="5"/>
      <c r="E57" s="5"/>
      <c r="F57" s="122"/>
      <c r="G57" s="122"/>
      <c r="H57" s="122"/>
      <c r="I57" s="122"/>
    </row>
    <row r="58" spans="1:12" x14ac:dyDescent="0.2">
      <c r="A58" s="112"/>
      <c r="B58" s="5"/>
      <c r="C58" s="113"/>
      <c r="D58" s="110"/>
      <c r="E58" s="5"/>
      <c r="F58" s="122"/>
      <c r="G58" s="122"/>
      <c r="H58" s="122"/>
      <c r="I58" s="122"/>
    </row>
    <row r="59" spans="1:12" x14ac:dyDescent="0.2">
      <c r="A59" s="112"/>
      <c r="B59" s="5"/>
      <c r="C59" s="5"/>
      <c r="D59" s="110"/>
      <c r="E59" s="5"/>
      <c r="F59" s="122"/>
      <c r="G59" s="122"/>
      <c r="H59" s="122"/>
      <c r="I59" s="122"/>
    </row>
    <row r="60" spans="1:12" x14ac:dyDescent="0.2">
      <c r="A60" s="111"/>
      <c r="B60" s="111"/>
      <c r="C60" s="111"/>
      <c r="D60" s="99"/>
      <c r="E60" s="5"/>
      <c r="F60" s="122"/>
      <c r="G60" s="122"/>
      <c r="H60" s="122"/>
      <c r="I60" s="122"/>
    </row>
    <row r="61" spans="1:12" x14ac:dyDescent="0.2">
      <c r="A61" s="114"/>
      <c r="B61" s="5"/>
      <c r="C61" s="5"/>
      <c r="D61" s="99"/>
      <c r="E61" s="5"/>
      <c r="F61" s="122"/>
      <c r="G61" s="122"/>
      <c r="H61" s="122"/>
      <c r="I61" s="122"/>
    </row>
    <row r="62" spans="1:12" x14ac:dyDescent="0.2">
      <c r="A62" s="111"/>
      <c r="B62" s="111"/>
      <c r="C62" s="111"/>
      <c r="D62" s="115"/>
      <c r="E62" s="4"/>
      <c r="F62" s="122"/>
      <c r="G62" s="122"/>
      <c r="H62" s="122"/>
      <c r="I62" s="122"/>
    </row>
    <row r="63" spans="1:12" x14ac:dyDescent="0.2">
      <c r="A63" s="5"/>
      <c r="B63" s="5"/>
      <c r="C63" s="5"/>
      <c r="D63" s="5"/>
      <c r="E63" s="4"/>
      <c r="F63" s="122"/>
      <c r="G63" s="122"/>
      <c r="H63" s="122"/>
      <c r="I63" s="122"/>
    </row>
    <row r="64" spans="1:12" x14ac:dyDescent="0.2">
      <c r="A64" s="112"/>
      <c r="B64" s="5"/>
      <c r="C64" s="110"/>
      <c r="D64" s="5"/>
      <c r="E64" s="4"/>
      <c r="F64" s="122"/>
      <c r="G64" s="122"/>
      <c r="H64" s="122"/>
      <c r="I64" s="122"/>
    </row>
    <row r="65" spans="1:9" x14ac:dyDescent="0.2">
      <c r="A65" s="112"/>
      <c r="B65" s="5"/>
      <c r="C65" s="116"/>
      <c r="D65" s="5"/>
      <c r="E65" s="4"/>
      <c r="F65" s="122"/>
      <c r="G65" s="122"/>
      <c r="H65" s="122"/>
      <c r="I65" s="122"/>
    </row>
    <row r="66" spans="1:9" x14ac:dyDescent="0.2">
      <c r="A66" s="112"/>
      <c r="B66" s="5"/>
      <c r="C66" s="110"/>
      <c r="D66" s="5"/>
      <c r="E66" s="5"/>
      <c r="F66" s="122"/>
      <c r="G66" s="122"/>
      <c r="H66" s="122"/>
      <c r="I66" s="122"/>
    </row>
    <row r="67" spans="1:9" x14ac:dyDescent="0.2">
      <c r="A67" s="112"/>
      <c r="B67" s="5"/>
      <c r="C67" s="116"/>
      <c r="D67" s="5"/>
      <c r="E67" s="4"/>
      <c r="F67" s="122"/>
      <c r="G67" s="122"/>
      <c r="H67" s="122"/>
      <c r="I67" s="122"/>
    </row>
    <row r="68" spans="1:9" x14ac:dyDescent="0.2">
      <c r="A68" s="117"/>
      <c r="B68" s="117"/>
      <c r="C68" s="99"/>
      <c r="D68" s="5"/>
      <c r="E68" s="122"/>
      <c r="F68" s="122"/>
      <c r="G68" s="122"/>
      <c r="H68" s="122"/>
      <c r="I68" s="122"/>
    </row>
    <row r="69" spans="1:9" x14ac:dyDescent="0.2">
      <c r="A69" s="122"/>
      <c r="B69" s="122"/>
      <c r="C69" s="122"/>
      <c r="D69" s="122"/>
      <c r="E69" s="122"/>
      <c r="F69" s="122"/>
      <c r="G69" s="122"/>
      <c r="H69" s="122"/>
      <c r="I69" s="122"/>
    </row>
    <row r="70" spans="1:9" x14ac:dyDescent="0.2">
      <c r="A70" s="122"/>
      <c r="B70" s="122"/>
      <c r="C70" s="122"/>
      <c r="D70" s="122"/>
      <c r="E70" s="122"/>
      <c r="F70" s="122"/>
      <c r="G70" s="122"/>
      <c r="H70" s="122"/>
      <c r="I70" s="122"/>
    </row>
    <row r="71" spans="1:9" x14ac:dyDescent="0.2">
      <c r="A71" s="122"/>
      <c r="B71" s="122"/>
      <c r="C71" s="122"/>
      <c r="D71" s="122"/>
      <c r="E71" s="122"/>
      <c r="F71" s="122"/>
      <c r="G71" s="122"/>
      <c r="H71" s="122"/>
      <c r="I71" s="122"/>
    </row>
    <row r="72" spans="1:9" x14ac:dyDescent="0.2">
      <c r="A72" s="122"/>
      <c r="B72" s="122"/>
      <c r="C72" s="122"/>
      <c r="D72" s="122"/>
      <c r="E72" s="122"/>
      <c r="F72" s="122"/>
      <c r="G72" s="122"/>
      <c r="H72" s="122"/>
      <c r="I72" s="122"/>
    </row>
    <row r="73" spans="1:9" x14ac:dyDescent="0.2">
      <c r="A73" s="122"/>
      <c r="B73" s="122"/>
      <c r="C73" s="122"/>
      <c r="D73" s="122"/>
      <c r="E73" s="122"/>
      <c r="F73" s="122"/>
      <c r="G73" s="122"/>
      <c r="H73" s="122"/>
      <c r="I73" s="122"/>
    </row>
    <row r="74" spans="1:9" x14ac:dyDescent="0.2">
      <c r="A74" s="122"/>
      <c r="B74" s="122"/>
      <c r="C74" s="122"/>
      <c r="D74" s="122"/>
      <c r="E74" s="122"/>
      <c r="F74" s="122"/>
      <c r="G74" s="122"/>
      <c r="H74" s="122"/>
      <c r="I74" s="122"/>
    </row>
    <row r="75" spans="1:9" x14ac:dyDescent="0.2">
      <c r="A75" s="122"/>
      <c r="B75" s="122"/>
      <c r="C75" s="122"/>
      <c r="D75" s="122"/>
      <c r="E75" s="122"/>
      <c r="F75" s="122"/>
      <c r="G75" s="122"/>
      <c r="H75" s="122"/>
      <c r="I75" s="122"/>
    </row>
    <row r="76" spans="1:9" x14ac:dyDescent="0.2">
      <c r="A76" s="122"/>
      <c r="B76" s="122"/>
      <c r="C76" s="122"/>
      <c r="D76" s="122"/>
      <c r="E76" s="122"/>
      <c r="F76" s="122"/>
      <c r="G76" s="122"/>
      <c r="H76" s="122"/>
      <c r="I76" s="122"/>
    </row>
    <row r="77" spans="1:9" x14ac:dyDescent="0.2">
      <c r="A77" s="122"/>
      <c r="B77" s="122"/>
      <c r="C77" s="122"/>
      <c r="D77" s="122"/>
      <c r="E77" s="122"/>
      <c r="F77" s="122"/>
      <c r="G77" s="122"/>
      <c r="H77" s="122"/>
      <c r="I77" s="122"/>
    </row>
    <row r="78" spans="1:9" x14ac:dyDescent="0.2">
      <c r="A78" s="122"/>
      <c r="B78" s="122"/>
      <c r="C78" s="122"/>
      <c r="D78" s="122"/>
      <c r="E78" s="122"/>
      <c r="F78" s="122"/>
      <c r="G78" s="122"/>
      <c r="H78" s="122"/>
      <c r="I78" s="122"/>
    </row>
    <row r="79" spans="1:9" x14ac:dyDescent="0.2">
      <c r="A79" s="122"/>
      <c r="B79" s="122"/>
      <c r="C79" s="122"/>
      <c r="D79" s="122"/>
      <c r="E79" s="122"/>
      <c r="F79" s="122"/>
      <c r="G79" s="122"/>
      <c r="H79" s="122"/>
      <c r="I79" s="122"/>
    </row>
    <row r="80" spans="1:9" x14ac:dyDescent="0.2">
      <c r="A80" s="122"/>
      <c r="B80" s="122"/>
      <c r="C80" s="122"/>
      <c r="D80" s="122"/>
      <c r="E80" s="122"/>
      <c r="F80" s="122"/>
      <c r="G80" s="122"/>
      <c r="H80" s="122"/>
      <c r="I80" s="122"/>
    </row>
    <row r="81" spans="1:9" x14ac:dyDescent="0.2">
      <c r="A81" s="122"/>
      <c r="B81" s="122"/>
      <c r="C81" s="122"/>
      <c r="D81" s="122"/>
      <c r="E81" s="122"/>
      <c r="F81" s="122"/>
      <c r="G81" s="122"/>
      <c r="H81" s="122"/>
      <c r="I81" s="122"/>
    </row>
    <row r="82" spans="1:9" x14ac:dyDescent="0.2">
      <c r="A82" s="122"/>
      <c r="B82" s="122"/>
      <c r="C82" s="122"/>
      <c r="D82" s="122"/>
      <c r="E82" s="122"/>
      <c r="F82" s="122"/>
      <c r="G82" s="122"/>
      <c r="H82" s="122"/>
      <c r="I82" s="122"/>
    </row>
    <row r="83" spans="1:9" x14ac:dyDescent="0.2">
      <c r="A83" s="122"/>
      <c r="B83" s="122"/>
      <c r="C83" s="122"/>
      <c r="D83" s="122"/>
      <c r="E83" s="122"/>
      <c r="F83" s="122"/>
      <c r="G83" s="122"/>
      <c r="H83" s="122"/>
      <c r="I83" s="122"/>
    </row>
    <row r="84" spans="1:9" x14ac:dyDescent="0.2">
      <c r="A84" s="122"/>
      <c r="B84" s="122"/>
      <c r="C84" s="122"/>
      <c r="D84" s="122"/>
      <c r="E84" s="122"/>
      <c r="F84" s="122"/>
      <c r="G84" s="122"/>
      <c r="H84" s="122"/>
      <c r="I84" s="122"/>
    </row>
    <row r="85" spans="1:9" x14ac:dyDescent="0.2">
      <c r="A85" s="122"/>
      <c r="B85" s="122"/>
      <c r="C85" s="122"/>
      <c r="D85" s="122"/>
      <c r="E85" s="122"/>
      <c r="F85" s="122"/>
      <c r="G85" s="122"/>
      <c r="H85" s="122"/>
      <c r="I85" s="122"/>
    </row>
    <row r="86" spans="1:9" x14ac:dyDescent="0.2">
      <c r="A86" s="122"/>
      <c r="B86" s="122"/>
      <c r="C86" s="122"/>
      <c r="D86" s="122"/>
      <c r="E86" s="122"/>
      <c r="F86" s="122"/>
      <c r="G86" s="122"/>
      <c r="H86" s="122"/>
      <c r="I86" s="122"/>
    </row>
    <row r="87" spans="1:9" x14ac:dyDescent="0.2">
      <c r="A87" s="122"/>
      <c r="B87" s="122"/>
      <c r="C87" s="122"/>
      <c r="D87" s="122"/>
      <c r="E87" s="122"/>
      <c r="F87" s="122"/>
      <c r="G87" s="122"/>
      <c r="H87" s="122"/>
      <c r="I87" s="122"/>
    </row>
    <row r="88" spans="1:9" x14ac:dyDescent="0.2">
      <c r="A88" s="122"/>
      <c r="B88" s="122"/>
      <c r="C88" s="122"/>
      <c r="D88" s="122"/>
      <c r="E88" s="122"/>
      <c r="F88" s="122"/>
      <c r="G88" s="122"/>
      <c r="H88" s="122"/>
      <c r="I88" s="122"/>
    </row>
    <row r="89" spans="1:9" x14ac:dyDescent="0.2">
      <c r="A89" s="122"/>
      <c r="B89" s="122"/>
      <c r="C89" s="122"/>
      <c r="D89" s="122"/>
      <c r="E89" s="122"/>
      <c r="F89" s="122"/>
      <c r="G89" s="122"/>
      <c r="H89" s="122"/>
      <c r="I89" s="122"/>
    </row>
    <row r="90" spans="1:9" x14ac:dyDescent="0.2">
      <c r="A90" s="122"/>
      <c r="B90" s="122"/>
      <c r="C90" s="122"/>
      <c r="D90" s="122"/>
      <c r="E90" s="122"/>
      <c r="F90" s="122"/>
      <c r="G90" s="122"/>
      <c r="H90" s="122"/>
      <c r="I90" s="122"/>
    </row>
    <row r="91" spans="1:9" x14ac:dyDescent="0.2">
      <c r="A91" s="122"/>
      <c r="B91" s="122"/>
      <c r="C91" s="122"/>
      <c r="D91" s="122"/>
      <c r="E91" s="122"/>
      <c r="F91" s="122"/>
      <c r="G91" s="122"/>
      <c r="H91" s="122"/>
      <c r="I91" s="122"/>
    </row>
    <row r="92" spans="1:9" x14ac:dyDescent="0.2">
      <c r="A92" s="122"/>
      <c r="B92" s="122"/>
      <c r="C92" s="122"/>
      <c r="D92" s="122"/>
      <c r="E92" s="122"/>
      <c r="F92" s="122"/>
      <c r="G92" s="122"/>
      <c r="H92" s="122"/>
      <c r="I92" s="122"/>
    </row>
    <row r="93" spans="1:9" x14ac:dyDescent="0.2">
      <c r="A93" s="122"/>
      <c r="B93" s="122"/>
      <c r="C93" s="122"/>
      <c r="D93" s="122"/>
      <c r="E93" s="122"/>
      <c r="F93" s="122"/>
      <c r="G93" s="122"/>
      <c r="H93" s="122"/>
      <c r="I93" s="122"/>
    </row>
    <row r="94" spans="1:9" x14ac:dyDescent="0.2">
      <c r="A94" s="122"/>
      <c r="B94" s="122"/>
      <c r="C94" s="122"/>
      <c r="D94" s="122"/>
      <c r="E94" s="122"/>
      <c r="F94" s="122"/>
      <c r="G94" s="122"/>
      <c r="H94" s="122"/>
      <c r="I94" s="122"/>
    </row>
    <row r="95" spans="1:9" x14ac:dyDescent="0.2">
      <c r="A95" s="122"/>
      <c r="B95" s="122"/>
      <c r="C95" s="122"/>
      <c r="D95" s="122"/>
      <c r="E95" s="122"/>
      <c r="F95" s="122"/>
      <c r="G95" s="122"/>
      <c r="H95" s="122"/>
      <c r="I95" s="122"/>
    </row>
    <row r="96" spans="1:9" x14ac:dyDescent="0.2">
      <c r="A96" s="122"/>
      <c r="B96" s="122"/>
      <c r="C96" s="122"/>
      <c r="D96" s="122"/>
      <c r="E96" s="122"/>
      <c r="F96" s="122"/>
      <c r="G96" s="122"/>
      <c r="H96" s="122"/>
      <c r="I96" s="122"/>
    </row>
    <row r="97" spans="1:9" x14ac:dyDescent="0.2">
      <c r="A97" s="122"/>
      <c r="B97" s="122"/>
      <c r="C97" s="122"/>
      <c r="D97" s="122"/>
      <c r="E97" s="122"/>
      <c r="F97" s="122"/>
      <c r="G97" s="122"/>
      <c r="H97" s="122"/>
      <c r="I97" s="122"/>
    </row>
    <row r="98" spans="1:9" x14ac:dyDescent="0.2">
      <c r="A98" s="122"/>
      <c r="B98" s="122"/>
      <c r="C98" s="122"/>
      <c r="D98" s="122"/>
      <c r="E98" s="122"/>
      <c r="F98" s="122"/>
      <c r="G98" s="122"/>
      <c r="H98" s="122"/>
      <c r="I98" s="122"/>
    </row>
    <row r="99" spans="1:9" x14ac:dyDescent="0.2">
      <c r="A99" s="122"/>
      <c r="B99" s="122"/>
      <c r="C99" s="122"/>
      <c r="D99" s="122"/>
      <c r="E99" s="122"/>
      <c r="F99" s="122"/>
      <c r="G99" s="122"/>
      <c r="H99" s="122"/>
      <c r="I99" s="122"/>
    </row>
    <row r="100" spans="1:9" x14ac:dyDescent="0.2">
      <c r="A100" s="122"/>
      <c r="B100" s="122"/>
      <c r="C100" s="122"/>
      <c r="D100" s="122"/>
      <c r="E100" s="122"/>
      <c r="F100" s="122"/>
      <c r="G100" s="122"/>
      <c r="H100" s="122"/>
      <c r="I100" s="122"/>
    </row>
    <row r="101" spans="1:9" x14ac:dyDescent="0.2">
      <c r="A101" s="122"/>
      <c r="B101" s="122"/>
      <c r="C101" s="122"/>
      <c r="D101" s="122"/>
      <c r="E101" s="122"/>
      <c r="F101" s="122"/>
      <c r="G101" s="122"/>
      <c r="H101" s="122"/>
      <c r="I101" s="122"/>
    </row>
    <row r="102" spans="1:9" x14ac:dyDescent="0.2">
      <c r="A102" s="122"/>
      <c r="B102" s="122"/>
      <c r="C102" s="122"/>
      <c r="D102" s="122"/>
      <c r="E102" s="122"/>
      <c r="F102" s="122"/>
      <c r="G102" s="122"/>
      <c r="H102" s="122"/>
      <c r="I102" s="122"/>
    </row>
    <row r="103" spans="1:9" x14ac:dyDescent="0.2">
      <c r="A103" s="122"/>
      <c r="B103" s="122"/>
      <c r="C103" s="122"/>
      <c r="D103" s="122"/>
      <c r="E103" s="122"/>
      <c r="F103" s="122"/>
      <c r="G103" s="122"/>
      <c r="H103" s="122"/>
      <c r="I103" s="122"/>
    </row>
    <row r="104" spans="1:9" x14ac:dyDescent="0.2">
      <c r="A104" s="122"/>
      <c r="B104" s="122"/>
      <c r="C104" s="122"/>
      <c r="D104" s="122"/>
      <c r="E104" s="122"/>
      <c r="F104" s="122"/>
      <c r="G104" s="122"/>
      <c r="H104" s="122"/>
      <c r="I104" s="122"/>
    </row>
    <row r="105" spans="1:9" x14ac:dyDescent="0.2">
      <c r="A105" s="122"/>
      <c r="B105" s="122"/>
      <c r="C105" s="122"/>
      <c r="D105" s="122"/>
      <c r="E105" s="122"/>
      <c r="F105" s="122"/>
      <c r="G105" s="122"/>
      <c r="H105" s="122"/>
      <c r="I105" s="122"/>
    </row>
    <row r="106" spans="1:9" x14ac:dyDescent="0.2">
      <c r="A106" s="122"/>
      <c r="B106" s="122"/>
      <c r="C106" s="122"/>
      <c r="D106" s="122"/>
      <c r="E106" s="122"/>
      <c r="F106" s="122"/>
      <c r="G106" s="122"/>
      <c r="H106" s="122"/>
      <c r="I106" s="122"/>
    </row>
    <row r="107" spans="1:9" x14ac:dyDescent="0.2">
      <c r="A107" s="122"/>
      <c r="B107" s="122"/>
      <c r="C107" s="122"/>
      <c r="D107" s="122"/>
      <c r="E107" s="122"/>
      <c r="F107" s="122"/>
      <c r="G107" s="122"/>
      <c r="H107" s="122"/>
      <c r="I107" s="122"/>
    </row>
    <row r="108" spans="1:9" x14ac:dyDescent="0.2">
      <c r="A108" s="122"/>
      <c r="B108" s="122"/>
      <c r="C108" s="122"/>
      <c r="D108" s="122"/>
      <c r="E108" s="122"/>
      <c r="F108" s="122"/>
      <c r="G108" s="122"/>
      <c r="H108" s="122"/>
      <c r="I108" s="122"/>
    </row>
    <row r="109" spans="1:9" x14ac:dyDescent="0.2">
      <c r="A109" s="122"/>
      <c r="B109" s="122"/>
      <c r="C109" s="122"/>
      <c r="D109" s="122"/>
      <c r="E109" s="122"/>
      <c r="F109" s="122"/>
      <c r="G109" s="122"/>
      <c r="H109" s="122"/>
      <c r="I109" s="122"/>
    </row>
    <row r="110" spans="1:9" x14ac:dyDescent="0.2">
      <c r="A110" s="122"/>
      <c r="B110" s="122"/>
      <c r="C110" s="122"/>
      <c r="D110" s="122"/>
      <c r="E110" s="122"/>
      <c r="F110" s="122"/>
      <c r="G110" s="122"/>
      <c r="H110" s="122"/>
      <c r="I110" s="122"/>
    </row>
    <row r="111" spans="1:9" x14ac:dyDescent="0.2">
      <c r="A111" s="122"/>
      <c r="B111" s="122"/>
      <c r="C111" s="122"/>
      <c r="D111" s="122"/>
      <c r="E111" s="122"/>
      <c r="F111" s="122"/>
      <c r="G111" s="122"/>
      <c r="H111" s="122"/>
      <c r="I111" s="122"/>
    </row>
    <row r="112" spans="1:9" x14ac:dyDescent="0.2">
      <c r="A112" s="122"/>
      <c r="B112" s="122"/>
      <c r="C112" s="122"/>
      <c r="D112" s="122"/>
      <c r="E112" s="122"/>
      <c r="F112" s="122"/>
      <c r="G112" s="122"/>
      <c r="H112" s="122"/>
      <c r="I112" s="122"/>
    </row>
    <row r="113" spans="1:9" x14ac:dyDescent="0.2">
      <c r="A113" s="122"/>
      <c r="B113" s="122"/>
      <c r="C113" s="122"/>
      <c r="D113" s="122"/>
      <c r="E113" s="122"/>
      <c r="F113" s="122"/>
      <c r="G113" s="122"/>
      <c r="H113" s="122"/>
      <c r="I113" s="122"/>
    </row>
    <row r="114" spans="1:9" x14ac:dyDescent="0.2">
      <c r="A114" s="122"/>
      <c r="B114" s="122"/>
      <c r="C114" s="122"/>
      <c r="D114" s="122"/>
      <c r="E114" s="122"/>
      <c r="F114" s="122"/>
      <c r="G114" s="122"/>
      <c r="H114" s="122"/>
      <c r="I114" s="122"/>
    </row>
    <row r="115" spans="1:9" x14ac:dyDescent="0.2">
      <c r="A115" s="122"/>
      <c r="B115" s="122"/>
      <c r="C115" s="122"/>
      <c r="D115" s="122"/>
      <c r="E115" s="122"/>
      <c r="F115" s="122"/>
      <c r="G115" s="122"/>
      <c r="H115" s="122"/>
      <c r="I115" s="122"/>
    </row>
    <row r="116" spans="1:9" x14ac:dyDescent="0.2">
      <c r="A116" s="122"/>
      <c r="B116" s="122"/>
      <c r="C116" s="122"/>
      <c r="D116" s="122"/>
      <c r="E116" s="122"/>
      <c r="F116" s="122"/>
      <c r="G116" s="122"/>
      <c r="H116" s="122"/>
      <c r="I116" s="122"/>
    </row>
    <row r="117" spans="1:9" x14ac:dyDescent="0.2">
      <c r="A117" s="122"/>
      <c r="B117" s="122"/>
      <c r="C117" s="122"/>
      <c r="D117" s="122"/>
      <c r="E117" s="122"/>
      <c r="F117" s="122"/>
      <c r="G117" s="122"/>
      <c r="H117" s="122"/>
      <c r="I117" s="122"/>
    </row>
    <row r="118" spans="1:9" x14ac:dyDescent="0.2">
      <c r="A118" s="122"/>
      <c r="B118" s="122"/>
      <c r="C118" s="122"/>
      <c r="D118" s="122"/>
      <c r="E118" s="122"/>
      <c r="F118" s="122"/>
      <c r="G118" s="122"/>
      <c r="H118" s="122"/>
      <c r="I118" s="122"/>
    </row>
    <row r="119" spans="1:9" x14ac:dyDescent="0.2">
      <c r="A119" s="122"/>
      <c r="B119" s="122"/>
      <c r="C119" s="122"/>
      <c r="D119" s="122"/>
      <c r="E119" s="122"/>
      <c r="F119" s="122"/>
      <c r="G119" s="122"/>
      <c r="H119" s="122"/>
      <c r="I119" s="122"/>
    </row>
    <row r="120" spans="1:9" x14ac:dyDescent="0.2">
      <c r="A120" s="122"/>
      <c r="B120" s="122"/>
      <c r="C120" s="122"/>
      <c r="D120" s="122"/>
      <c r="E120" s="122"/>
      <c r="F120" s="122"/>
      <c r="G120" s="122"/>
      <c r="H120" s="122"/>
      <c r="I120" s="122"/>
    </row>
    <row r="121" spans="1:9" x14ac:dyDescent="0.2">
      <c r="A121" s="122"/>
      <c r="B121" s="122"/>
      <c r="C121" s="122"/>
      <c r="D121" s="122"/>
      <c r="E121" s="122"/>
      <c r="F121" s="122"/>
      <c r="G121" s="122"/>
      <c r="H121" s="122"/>
      <c r="I121" s="122"/>
    </row>
    <row r="122" spans="1:9" x14ac:dyDescent="0.2">
      <c r="A122" s="122"/>
      <c r="B122" s="122"/>
      <c r="C122" s="122"/>
      <c r="D122" s="122"/>
      <c r="E122" s="122"/>
      <c r="F122" s="122"/>
      <c r="G122" s="122"/>
      <c r="H122" s="122"/>
      <c r="I122" s="122"/>
    </row>
    <row r="123" spans="1:9" x14ac:dyDescent="0.2">
      <c r="A123" s="122"/>
      <c r="B123" s="122"/>
      <c r="C123" s="122"/>
      <c r="D123" s="122"/>
      <c r="E123" s="122"/>
      <c r="F123" s="122"/>
      <c r="G123" s="122"/>
      <c r="H123" s="122"/>
      <c r="I123" s="122"/>
    </row>
    <row r="124" spans="1:9" x14ac:dyDescent="0.2">
      <c r="A124" s="122"/>
      <c r="B124" s="122"/>
      <c r="C124" s="122"/>
      <c r="D124" s="122"/>
      <c r="E124" s="122"/>
      <c r="F124" s="122"/>
      <c r="G124" s="122"/>
      <c r="H124" s="122"/>
      <c r="I124" s="122"/>
    </row>
    <row r="125" spans="1:9" x14ac:dyDescent="0.2">
      <c r="A125" s="122"/>
      <c r="B125" s="122"/>
      <c r="C125" s="122"/>
      <c r="D125" s="122"/>
      <c r="E125" s="122"/>
      <c r="F125" s="122"/>
      <c r="G125" s="122"/>
      <c r="H125" s="122"/>
      <c r="I125" s="122"/>
    </row>
    <row r="126" spans="1:9" x14ac:dyDescent="0.2">
      <c r="A126" s="122"/>
      <c r="B126" s="122"/>
      <c r="C126" s="122"/>
      <c r="D126" s="122"/>
      <c r="E126" s="122"/>
      <c r="F126" s="122"/>
      <c r="G126" s="122"/>
      <c r="H126" s="122"/>
      <c r="I126" s="122"/>
    </row>
    <row r="127" spans="1:9" x14ac:dyDescent="0.2">
      <c r="A127" s="122"/>
      <c r="B127" s="122"/>
      <c r="C127" s="122"/>
      <c r="D127" s="122"/>
      <c r="E127" s="122"/>
      <c r="F127" s="122"/>
      <c r="G127" s="122"/>
      <c r="H127" s="122"/>
      <c r="I127" s="122"/>
    </row>
    <row r="128" spans="1:9" x14ac:dyDescent="0.2">
      <c r="A128" s="122"/>
      <c r="B128" s="122"/>
      <c r="C128" s="122"/>
      <c r="D128" s="122"/>
      <c r="E128" s="122"/>
      <c r="F128" s="122"/>
      <c r="G128" s="122"/>
      <c r="H128" s="122"/>
      <c r="I128" s="122"/>
    </row>
    <row r="129" spans="1:9" x14ac:dyDescent="0.2">
      <c r="A129" s="122"/>
      <c r="B129" s="122"/>
      <c r="C129" s="122"/>
      <c r="D129" s="122"/>
      <c r="E129" s="122"/>
      <c r="F129" s="122"/>
      <c r="G129" s="122"/>
      <c r="H129" s="122"/>
      <c r="I129" s="122"/>
    </row>
    <row r="130" spans="1:9" x14ac:dyDescent="0.2">
      <c r="A130" s="122"/>
      <c r="B130" s="122"/>
      <c r="C130" s="122"/>
      <c r="D130" s="122"/>
      <c r="E130" s="122"/>
      <c r="F130" s="122"/>
      <c r="G130" s="122"/>
      <c r="H130" s="122"/>
      <c r="I130" s="122"/>
    </row>
    <row r="131" spans="1:9" x14ac:dyDescent="0.2">
      <c r="A131" s="122"/>
      <c r="B131" s="122"/>
      <c r="C131" s="122"/>
      <c r="D131" s="122"/>
      <c r="E131" s="122"/>
      <c r="F131" s="122"/>
      <c r="G131" s="122"/>
      <c r="H131" s="122"/>
      <c r="I131" s="122"/>
    </row>
    <row r="132" spans="1:9" x14ac:dyDescent="0.2">
      <c r="A132" s="122"/>
      <c r="B132" s="122"/>
      <c r="C132" s="122"/>
      <c r="D132" s="122"/>
      <c r="E132" s="122"/>
      <c r="F132" s="122"/>
      <c r="G132" s="122"/>
      <c r="H132" s="122"/>
      <c r="I132" s="122"/>
    </row>
    <row r="133" spans="1:9" x14ac:dyDescent="0.2">
      <c r="A133" s="122"/>
      <c r="B133" s="122"/>
      <c r="C133" s="122"/>
      <c r="D133" s="122"/>
      <c r="E133" s="122"/>
      <c r="F133" s="122"/>
      <c r="G133" s="122"/>
      <c r="H133" s="122"/>
      <c r="I133" s="122"/>
    </row>
    <row r="134" spans="1:9" x14ac:dyDescent="0.2">
      <c r="A134" s="122"/>
      <c r="B134" s="122"/>
      <c r="C134" s="122"/>
      <c r="D134" s="122"/>
      <c r="E134" s="122"/>
      <c r="F134" s="122"/>
      <c r="G134" s="122"/>
      <c r="H134" s="122"/>
      <c r="I134" s="122"/>
    </row>
    <row r="135" spans="1:9" x14ac:dyDescent="0.2">
      <c r="A135" s="122"/>
      <c r="B135" s="122"/>
      <c r="C135" s="122"/>
      <c r="D135" s="122"/>
      <c r="E135" s="122"/>
      <c r="F135" s="122"/>
      <c r="G135" s="122"/>
      <c r="H135" s="122"/>
      <c r="I135" s="122"/>
    </row>
    <row r="136" spans="1:9" x14ac:dyDescent="0.2">
      <c r="A136" s="122"/>
      <c r="B136" s="122"/>
      <c r="C136" s="122"/>
      <c r="D136" s="122"/>
      <c r="E136" s="122"/>
      <c r="F136" s="122"/>
      <c r="G136" s="122"/>
      <c r="H136" s="122"/>
      <c r="I136" s="122"/>
    </row>
    <row r="137" spans="1:9" x14ac:dyDescent="0.2">
      <c r="A137" s="122"/>
      <c r="B137" s="122"/>
      <c r="C137" s="122"/>
      <c r="D137" s="122"/>
      <c r="E137" s="122"/>
      <c r="F137" s="122"/>
      <c r="G137" s="122"/>
      <c r="H137" s="122"/>
      <c r="I137" s="122"/>
    </row>
    <row r="138" spans="1:9" x14ac:dyDescent="0.2">
      <c r="A138" s="122"/>
      <c r="B138" s="122"/>
      <c r="C138" s="122"/>
      <c r="D138" s="122"/>
      <c r="E138" s="122"/>
      <c r="F138" s="122"/>
      <c r="G138" s="122"/>
      <c r="H138" s="122"/>
      <c r="I138" s="122"/>
    </row>
    <row r="139" spans="1:9" x14ac:dyDescent="0.2">
      <c r="A139" s="122"/>
      <c r="B139" s="122"/>
      <c r="C139" s="122"/>
      <c r="D139" s="122"/>
      <c r="E139" s="122"/>
      <c r="F139" s="122"/>
      <c r="G139" s="122"/>
      <c r="H139" s="122"/>
      <c r="I139" s="122"/>
    </row>
    <row r="140" spans="1:9" x14ac:dyDescent="0.2">
      <c r="A140" s="122"/>
      <c r="B140" s="122"/>
      <c r="C140" s="122"/>
      <c r="D140" s="122"/>
      <c r="E140" s="122"/>
      <c r="F140" s="122"/>
      <c r="G140" s="122"/>
      <c r="H140" s="122"/>
      <c r="I140" s="122"/>
    </row>
    <row r="141" spans="1:9" x14ac:dyDescent="0.2">
      <c r="A141" s="122"/>
      <c r="B141" s="122"/>
      <c r="C141" s="122"/>
      <c r="D141" s="122"/>
      <c r="E141" s="122"/>
      <c r="F141" s="122"/>
      <c r="G141" s="122"/>
      <c r="H141" s="122"/>
      <c r="I141" s="122"/>
    </row>
    <row r="142" spans="1:9" x14ac:dyDescent="0.2">
      <c r="A142" s="122"/>
      <c r="B142" s="122"/>
      <c r="C142" s="122"/>
      <c r="D142" s="122"/>
      <c r="E142" s="122"/>
      <c r="F142" s="122"/>
      <c r="G142" s="122"/>
      <c r="H142" s="122"/>
      <c r="I142" s="122"/>
    </row>
    <row r="143" spans="1:9" x14ac:dyDescent="0.2">
      <c r="A143" s="122"/>
      <c r="B143" s="122"/>
      <c r="C143" s="122"/>
      <c r="D143" s="122"/>
      <c r="E143" s="122"/>
      <c r="F143" s="122"/>
      <c r="G143" s="122"/>
      <c r="H143" s="122"/>
      <c r="I143" s="122"/>
    </row>
    <row r="144" spans="1:9" x14ac:dyDescent="0.2">
      <c r="A144" s="122"/>
      <c r="B144" s="122"/>
      <c r="C144" s="122"/>
      <c r="D144" s="122"/>
      <c r="E144" s="122"/>
      <c r="F144" s="122"/>
      <c r="G144" s="122"/>
      <c r="H144" s="122"/>
      <c r="I144" s="122"/>
    </row>
    <row r="145" spans="1:9" x14ac:dyDescent="0.2">
      <c r="A145" s="122"/>
      <c r="B145" s="122"/>
      <c r="C145" s="122"/>
      <c r="D145" s="122"/>
      <c r="E145" s="122"/>
      <c r="F145" s="122"/>
      <c r="G145" s="122"/>
      <c r="H145" s="122"/>
      <c r="I145" s="122"/>
    </row>
    <row r="146" spans="1:9" x14ac:dyDescent="0.2">
      <c r="A146" s="122"/>
      <c r="B146" s="122"/>
      <c r="C146" s="122"/>
      <c r="D146" s="122"/>
      <c r="E146" s="122"/>
      <c r="F146" s="122"/>
      <c r="G146" s="122"/>
      <c r="H146" s="122"/>
      <c r="I146" s="122"/>
    </row>
    <row r="147" spans="1:9" x14ac:dyDescent="0.2">
      <c r="A147" s="122"/>
      <c r="B147" s="122"/>
      <c r="C147" s="122"/>
      <c r="D147" s="122"/>
      <c r="E147" s="122"/>
      <c r="F147" s="122"/>
      <c r="G147" s="122"/>
      <c r="H147" s="122"/>
      <c r="I147" s="122"/>
    </row>
    <row r="148" spans="1:9" x14ac:dyDescent="0.2">
      <c r="A148" s="122"/>
      <c r="B148" s="122"/>
      <c r="C148" s="122"/>
      <c r="D148" s="122"/>
      <c r="E148" s="122"/>
      <c r="F148" s="122"/>
      <c r="G148" s="122"/>
      <c r="H148" s="122"/>
      <c r="I148" s="122"/>
    </row>
    <row r="149" spans="1:9" x14ac:dyDescent="0.2">
      <c r="A149" s="122"/>
      <c r="B149" s="122"/>
      <c r="C149" s="122"/>
      <c r="D149" s="122"/>
      <c r="E149" s="122"/>
      <c r="F149" s="122"/>
      <c r="G149" s="122"/>
      <c r="H149" s="122"/>
      <c r="I149" s="122"/>
    </row>
    <row r="150" spans="1:9" x14ac:dyDescent="0.2">
      <c r="A150" s="122"/>
      <c r="B150" s="122"/>
      <c r="C150" s="122"/>
      <c r="D150" s="122"/>
      <c r="E150" s="122"/>
      <c r="F150" s="122"/>
      <c r="G150" s="122"/>
      <c r="H150" s="122"/>
      <c r="I150" s="122"/>
    </row>
    <row r="151" spans="1:9" x14ac:dyDescent="0.2">
      <c r="A151" s="122"/>
      <c r="B151" s="122"/>
      <c r="C151" s="122"/>
      <c r="D151" s="122"/>
      <c r="E151" s="122"/>
      <c r="F151" s="122"/>
      <c r="G151" s="122"/>
      <c r="H151" s="122"/>
      <c r="I151" s="122"/>
    </row>
    <row r="152" spans="1:9" x14ac:dyDescent="0.2">
      <c r="A152" s="122"/>
      <c r="B152" s="122"/>
      <c r="C152" s="122"/>
      <c r="D152" s="122"/>
      <c r="E152" s="122"/>
      <c r="F152" s="122"/>
      <c r="G152" s="122"/>
      <c r="H152" s="122"/>
      <c r="I152" s="122"/>
    </row>
    <row r="153" spans="1:9" x14ac:dyDescent="0.2">
      <c r="A153" s="122"/>
      <c r="B153" s="122"/>
      <c r="C153" s="122"/>
      <c r="D153" s="122"/>
      <c r="E153" s="122"/>
      <c r="F153" s="122"/>
      <c r="G153" s="122"/>
      <c r="H153" s="122"/>
      <c r="I153" s="122"/>
    </row>
    <row r="154" spans="1:9" x14ac:dyDescent="0.2">
      <c r="A154" s="122"/>
      <c r="B154" s="122"/>
      <c r="C154" s="122"/>
      <c r="D154" s="122"/>
      <c r="E154" s="122"/>
      <c r="F154" s="122"/>
      <c r="G154" s="122"/>
      <c r="H154" s="122"/>
      <c r="I154" s="122"/>
    </row>
    <row r="155" spans="1:9" x14ac:dyDescent="0.2">
      <c r="A155" s="122"/>
      <c r="B155" s="122"/>
      <c r="C155" s="122"/>
      <c r="D155" s="122"/>
      <c r="E155" s="122"/>
      <c r="F155" s="122"/>
      <c r="G155" s="122"/>
      <c r="H155" s="122"/>
      <c r="I155" s="122"/>
    </row>
    <row r="156" spans="1:9" x14ac:dyDescent="0.2">
      <c r="A156" s="122"/>
      <c r="B156" s="122"/>
      <c r="C156" s="122"/>
      <c r="D156" s="122"/>
      <c r="E156" s="122"/>
      <c r="F156" s="122"/>
      <c r="G156" s="122"/>
      <c r="H156" s="122"/>
      <c r="I156" s="122"/>
    </row>
    <row r="157" spans="1:9" x14ac:dyDescent="0.2">
      <c r="A157" s="122"/>
      <c r="B157" s="122"/>
      <c r="C157" s="122"/>
      <c r="D157" s="122"/>
      <c r="E157" s="122"/>
      <c r="F157" s="122"/>
      <c r="G157" s="122"/>
      <c r="H157" s="122"/>
      <c r="I157" s="122"/>
    </row>
    <row r="158" spans="1:9" x14ac:dyDescent="0.2">
      <c r="A158" s="122"/>
      <c r="B158" s="122"/>
      <c r="C158" s="122"/>
      <c r="D158" s="122"/>
      <c r="E158" s="122"/>
      <c r="F158" s="122"/>
      <c r="G158" s="122"/>
      <c r="H158" s="122"/>
      <c r="I158" s="122"/>
    </row>
    <row r="159" spans="1:9" x14ac:dyDescent="0.2">
      <c r="A159" s="122"/>
      <c r="B159" s="122"/>
      <c r="C159" s="122"/>
      <c r="D159" s="122"/>
      <c r="E159" s="122"/>
      <c r="F159" s="122"/>
      <c r="G159" s="122"/>
      <c r="H159" s="122"/>
      <c r="I159" s="122"/>
    </row>
    <row r="160" spans="1:9" x14ac:dyDescent="0.2">
      <c r="A160" s="122"/>
      <c r="B160" s="122"/>
      <c r="C160" s="122"/>
      <c r="D160" s="122"/>
      <c r="E160" s="122"/>
      <c r="F160" s="122"/>
      <c r="G160" s="122"/>
      <c r="H160" s="122"/>
      <c r="I160" s="122"/>
    </row>
    <row r="161" spans="1:9" x14ac:dyDescent="0.2">
      <c r="A161" s="122"/>
      <c r="B161" s="122"/>
      <c r="C161" s="122"/>
      <c r="D161" s="122"/>
      <c r="E161" s="122"/>
      <c r="F161" s="122"/>
      <c r="G161" s="122"/>
      <c r="H161" s="122"/>
      <c r="I161" s="122"/>
    </row>
    <row r="162" spans="1:9" x14ac:dyDescent="0.2">
      <c r="A162" s="122"/>
      <c r="B162" s="122"/>
      <c r="C162" s="122"/>
      <c r="D162" s="122"/>
      <c r="E162" s="122"/>
      <c r="F162" s="122"/>
      <c r="G162" s="122"/>
      <c r="H162" s="122"/>
      <c r="I162" s="122"/>
    </row>
    <row r="163" spans="1:9" x14ac:dyDescent="0.2">
      <c r="A163" s="122"/>
      <c r="B163" s="122"/>
      <c r="C163" s="122"/>
      <c r="D163" s="122"/>
      <c r="E163" s="122"/>
      <c r="F163" s="122"/>
      <c r="G163" s="122"/>
      <c r="H163" s="122"/>
      <c r="I163" s="122"/>
    </row>
    <row r="164" spans="1:9" x14ac:dyDescent="0.2">
      <c r="A164" s="122"/>
      <c r="B164" s="122"/>
      <c r="C164" s="122"/>
      <c r="D164" s="122"/>
      <c r="E164" s="122"/>
      <c r="F164" s="122"/>
      <c r="G164" s="122"/>
      <c r="H164" s="122"/>
      <c r="I164" s="122"/>
    </row>
    <row r="165" spans="1:9" x14ac:dyDescent="0.2">
      <c r="A165" s="122"/>
      <c r="B165" s="122"/>
      <c r="C165" s="122"/>
      <c r="D165" s="122"/>
      <c r="E165" s="122"/>
      <c r="F165" s="122"/>
      <c r="G165" s="122"/>
      <c r="H165" s="122"/>
      <c r="I165" s="122"/>
    </row>
    <row r="166" spans="1:9" x14ac:dyDescent="0.2">
      <c r="A166" s="122"/>
      <c r="B166" s="122"/>
      <c r="C166" s="122"/>
      <c r="D166" s="122"/>
      <c r="E166" s="122"/>
      <c r="F166" s="122"/>
      <c r="G166" s="122"/>
      <c r="H166" s="122"/>
      <c r="I166" s="122"/>
    </row>
    <row r="167" spans="1:9" x14ac:dyDescent="0.2">
      <c r="A167" s="122"/>
      <c r="B167" s="122"/>
      <c r="C167" s="122"/>
      <c r="D167" s="122"/>
      <c r="E167" s="122"/>
      <c r="F167" s="122"/>
      <c r="G167" s="122"/>
      <c r="H167" s="122"/>
      <c r="I167" s="122"/>
    </row>
    <row r="168" spans="1:9" x14ac:dyDescent="0.2">
      <c r="A168" s="122"/>
      <c r="B168" s="122"/>
      <c r="C168" s="122"/>
      <c r="D168" s="122"/>
      <c r="E168" s="122"/>
      <c r="F168" s="122"/>
      <c r="G168" s="122"/>
      <c r="H168" s="122"/>
      <c r="I168" s="122"/>
    </row>
    <row r="169" spans="1:9" x14ac:dyDescent="0.2">
      <c r="A169" s="122"/>
      <c r="B169" s="122"/>
      <c r="C169" s="122"/>
      <c r="D169" s="122"/>
      <c r="E169" s="122"/>
      <c r="F169" s="122"/>
      <c r="G169" s="122"/>
      <c r="H169" s="122"/>
      <c r="I169" s="122"/>
    </row>
    <row r="170" spans="1:9" x14ac:dyDescent="0.2">
      <c r="A170" s="122"/>
      <c r="B170" s="122"/>
      <c r="C170" s="122"/>
      <c r="D170" s="122"/>
      <c r="E170" s="122"/>
      <c r="F170" s="122"/>
      <c r="G170" s="122"/>
      <c r="H170" s="122"/>
      <c r="I170" s="122"/>
    </row>
    <row r="171" spans="1:9" x14ac:dyDescent="0.2">
      <c r="A171" s="122"/>
      <c r="B171" s="122"/>
      <c r="C171" s="122"/>
      <c r="D171" s="122"/>
      <c r="E171" s="122"/>
      <c r="F171" s="122"/>
      <c r="G171" s="122"/>
      <c r="H171" s="122"/>
      <c r="I171" s="122"/>
    </row>
    <row r="172" spans="1:9" x14ac:dyDescent="0.2">
      <c r="A172" s="122"/>
      <c r="B172" s="122"/>
      <c r="C172" s="122"/>
      <c r="D172" s="122"/>
      <c r="E172" s="122"/>
      <c r="F172" s="122"/>
      <c r="G172" s="122"/>
      <c r="H172" s="122"/>
      <c r="I172" s="122"/>
    </row>
    <row r="173" spans="1:9" x14ac:dyDescent="0.2">
      <c r="A173" s="122"/>
      <c r="B173" s="122"/>
      <c r="C173" s="122"/>
      <c r="D173" s="122"/>
      <c r="E173" s="122"/>
      <c r="F173" s="122"/>
      <c r="G173" s="122"/>
      <c r="H173" s="122"/>
      <c r="I173" s="122"/>
    </row>
    <row r="174" spans="1:9" x14ac:dyDescent="0.2">
      <c r="A174" s="122"/>
      <c r="B174" s="122"/>
      <c r="C174" s="122"/>
      <c r="D174" s="122"/>
      <c r="E174" s="122"/>
      <c r="F174" s="122"/>
      <c r="G174" s="122"/>
      <c r="H174" s="122"/>
      <c r="I174" s="122"/>
    </row>
    <row r="175" spans="1:9" x14ac:dyDescent="0.2">
      <c r="A175" s="122"/>
      <c r="B175" s="122"/>
      <c r="C175" s="122"/>
      <c r="D175" s="122"/>
      <c r="E175" s="122"/>
      <c r="F175" s="122"/>
      <c r="G175" s="122"/>
      <c r="H175" s="122"/>
      <c r="I175" s="122"/>
    </row>
    <row r="176" spans="1:9" x14ac:dyDescent="0.2">
      <c r="A176" s="122"/>
      <c r="B176" s="122"/>
      <c r="C176" s="122"/>
      <c r="D176" s="122"/>
      <c r="E176" s="122"/>
      <c r="F176" s="122"/>
      <c r="G176" s="122"/>
      <c r="H176" s="122"/>
      <c r="I176" s="122"/>
    </row>
    <row r="177" spans="1:9" x14ac:dyDescent="0.2">
      <c r="A177" s="122"/>
      <c r="B177" s="122"/>
      <c r="C177" s="122"/>
      <c r="D177" s="122"/>
      <c r="E177" s="122"/>
      <c r="F177" s="122"/>
      <c r="G177" s="122"/>
      <c r="H177" s="122"/>
      <c r="I177" s="122"/>
    </row>
    <row r="178" spans="1:9" x14ac:dyDescent="0.2">
      <c r="A178" s="122"/>
      <c r="B178" s="122"/>
      <c r="C178" s="122"/>
      <c r="D178" s="122"/>
      <c r="E178" s="122"/>
      <c r="F178" s="122"/>
      <c r="G178" s="122"/>
      <c r="H178" s="122"/>
      <c r="I178" s="122"/>
    </row>
    <row r="179" spans="1:9" x14ac:dyDescent="0.2">
      <c r="A179" s="122"/>
      <c r="B179" s="122"/>
      <c r="C179" s="122"/>
      <c r="D179" s="122"/>
      <c r="E179" s="122"/>
      <c r="F179" s="122"/>
      <c r="G179" s="122"/>
      <c r="H179" s="122"/>
      <c r="I179" s="122"/>
    </row>
    <row r="180" spans="1:9" x14ac:dyDescent="0.2">
      <c r="A180" s="122"/>
      <c r="B180" s="122"/>
      <c r="C180" s="122"/>
      <c r="D180" s="122"/>
      <c r="E180" s="122"/>
      <c r="F180" s="122"/>
      <c r="G180" s="122"/>
      <c r="H180" s="122"/>
      <c r="I180" s="122"/>
    </row>
    <row r="181" spans="1:9" x14ac:dyDescent="0.2">
      <c r="A181" s="122"/>
      <c r="B181" s="122"/>
      <c r="C181" s="122"/>
      <c r="D181" s="122"/>
      <c r="E181" s="122"/>
      <c r="F181" s="122"/>
      <c r="G181" s="122"/>
      <c r="H181" s="122"/>
      <c r="I181" s="122"/>
    </row>
    <row r="182" spans="1:9" x14ac:dyDescent="0.2">
      <c r="A182" s="122"/>
      <c r="B182" s="122"/>
      <c r="C182" s="122"/>
      <c r="D182" s="122"/>
      <c r="E182" s="122"/>
      <c r="F182" s="122"/>
      <c r="G182" s="122"/>
      <c r="H182" s="122"/>
      <c r="I182" s="122"/>
    </row>
    <row r="183" spans="1:9" x14ac:dyDescent="0.2">
      <c r="A183" s="122"/>
      <c r="B183" s="122"/>
      <c r="C183" s="122"/>
      <c r="D183" s="122"/>
      <c r="E183" s="122"/>
      <c r="F183" s="122"/>
      <c r="G183" s="122"/>
      <c r="H183" s="122"/>
      <c r="I183" s="122"/>
    </row>
    <row r="184" spans="1:9" x14ac:dyDescent="0.2">
      <c r="A184" s="122"/>
      <c r="B184" s="122"/>
      <c r="C184" s="122"/>
      <c r="D184" s="122"/>
      <c r="E184" s="122"/>
      <c r="F184" s="122"/>
      <c r="G184" s="122"/>
      <c r="H184" s="122"/>
      <c r="I184" s="122"/>
    </row>
    <row r="185" spans="1:9" x14ac:dyDescent="0.2">
      <c r="A185" s="122"/>
      <c r="B185" s="122"/>
      <c r="C185" s="122"/>
      <c r="D185" s="122"/>
      <c r="E185" s="122"/>
      <c r="F185" s="122"/>
      <c r="G185" s="122"/>
      <c r="H185" s="122"/>
      <c r="I185" s="122"/>
    </row>
    <row r="186" spans="1:9" x14ac:dyDescent="0.2">
      <c r="A186" s="122"/>
      <c r="B186" s="122"/>
      <c r="C186" s="122"/>
      <c r="D186" s="122"/>
      <c r="E186" s="122"/>
      <c r="F186" s="122"/>
      <c r="G186" s="122"/>
      <c r="H186" s="122"/>
      <c r="I186" s="122"/>
    </row>
    <row r="187" spans="1:9" x14ac:dyDescent="0.2">
      <c r="A187" s="122"/>
      <c r="B187" s="122"/>
      <c r="C187" s="122"/>
      <c r="D187" s="122"/>
      <c r="E187" s="122"/>
      <c r="F187" s="122"/>
      <c r="G187" s="122"/>
      <c r="H187" s="122"/>
      <c r="I187" s="122"/>
    </row>
    <row r="188" spans="1:9" x14ac:dyDescent="0.2">
      <c r="A188" s="122"/>
      <c r="B188" s="122"/>
      <c r="C188" s="122"/>
      <c r="D188" s="122"/>
      <c r="E188" s="122"/>
      <c r="F188" s="122"/>
      <c r="G188" s="122"/>
      <c r="H188" s="122"/>
      <c r="I188" s="122"/>
    </row>
    <row r="189" spans="1:9" x14ac:dyDescent="0.2">
      <c r="A189" s="122"/>
      <c r="B189" s="122"/>
      <c r="C189" s="122"/>
      <c r="D189" s="122"/>
      <c r="E189" s="122"/>
      <c r="F189" s="122"/>
      <c r="G189" s="122"/>
      <c r="H189" s="122"/>
      <c r="I189" s="122"/>
    </row>
    <row r="190" spans="1:9" x14ac:dyDescent="0.2">
      <c r="A190" s="122"/>
      <c r="B190" s="122"/>
      <c r="C190" s="122"/>
      <c r="D190" s="122"/>
      <c r="E190" s="122"/>
      <c r="F190" s="122"/>
      <c r="G190" s="122"/>
      <c r="H190" s="122"/>
      <c r="I190" s="122"/>
    </row>
    <row r="191" spans="1:9" x14ac:dyDescent="0.2">
      <c r="A191" s="122"/>
      <c r="B191" s="122"/>
      <c r="C191" s="122"/>
      <c r="D191" s="122"/>
      <c r="E191" s="122"/>
      <c r="F191" s="122"/>
      <c r="G191" s="122"/>
      <c r="H191" s="122"/>
      <c r="I191" s="122"/>
    </row>
    <row r="192" spans="1:9" x14ac:dyDescent="0.2">
      <c r="A192" s="122"/>
      <c r="B192" s="122"/>
      <c r="C192" s="122"/>
      <c r="D192" s="122"/>
      <c r="E192" s="122"/>
      <c r="F192" s="122"/>
      <c r="G192" s="122"/>
      <c r="H192" s="122"/>
      <c r="I192" s="122"/>
    </row>
    <row r="193" spans="1:9" x14ac:dyDescent="0.2">
      <c r="A193" s="122"/>
      <c r="B193" s="122"/>
      <c r="C193" s="122"/>
      <c r="D193" s="122"/>
      <c r="E193" s="122"/>
      <c r="F193" s="122"/>
      <c r="G193" s="122"/>
      <c r="H193" s="122"/>
      <c r="I193" s="122"/>
    </row>
    <row r="194" spans="1:9" x14ac:dyDescent="0.2">
      <c r="A194" s="122"/>
      <c r="B194" s="122"/>
      <c r="C194" s="122"/>
      <c r="D194" s="122"/>
      <c r="E194" s="122"/>
      <c r="F194" s="122"/>
      <c r="G194" s="122"/>
      <c r="H194" s="122"/>
      <c r="I194" s="122"/>
    </row>
    <row r="195" spans="1:9" x14ac:dyDescent="0.2">
      <c r="A195" s="122"/>
      <c r="B195" s="122"/>
      <c r="C195" s="122"/>
      <c r="D195" s="122"/>
      <c r="E195" s="122"/>
      <c r="F195" s="122"/>
      <c r="G195" s="122"/>
      <c r="H195" s="122"/>
      <c r="I195" s="122"/>
    </row>
    <row r="196" spans="1:9" x14ac:dyDescent="0.2">
      <c r="A196" s="122"/>
      <c r="B196" s="122"/>
      <c r="C196" s="122"/>
      <c r="D196" s="122"/>
      <c r="E196" s="122"/>
      <c r="F196" s="122"/>
      <c r="G196" s="122"/>
      <c r="H196" s="122"/>
      <c r="I196" s="122"/>
    </row>
    <row r="197" spans="1:9" x14ac:dyDescent="0.2">
      <c r="A197" s="122"/>
      <c r="B197" s="122"/>
      <c r="C197" s="122"/>
      <c r="D197" s="122"/>
      <c r="E197" s="122"/>
      <c r="F197" s="122"/>
      <c r="G197" s="122"/>
      <c r="H197" s="122"/>
      <c r="I197" s="122"/>
    </row>
    <row r="198" spans="1:9" x14ac:dyDescent="0.2">
      <c r="A198" s="122"/>
      <c r="B198" s="122"/>
      <c r="C198" s="122"/>
      <c r="D198" s="122"/>
      <c r="E198" s="122"/>
      <c r="F198" s="122"/>
      <c r="G198" s="122"/>
      <c r="H198" s="122"/>
      <c r="I198" s="122"/>
    </row>
    <row r="199" spans="1:9" x14ac:dyDescent="0.2">
      <c r="A199" s="122"/>
      <c r="B199" s="122"/>
      <c r="C199" s="122"/>
      <c r="D199" s="122"/>
      <c r="E199" s="122"/>
      <c r="F199" s="122"/>
      <c r="G199" s="122"/>
      <c r="H199" s="122"/>
      <c r="I199" s="122"/>
    </row>
    <row r="200" spans="1:9" x14ac:dyDescent="0.2">
      <c r="A200" s="122"/>
      <c r="B200" s="122"/>
      <c r="C200" s="122"/>
      <c r="D200" s="122"/>
      <c r="E200" s="122"/>
      <c r="F200" s="122"/>
      <c r="G200" s="122"/>
      <c r="H200" s="122"/>
      <c r="I200" s="122"/>
    </row>
    <row r="201" spans="1:9" x14ac:dyDescent="0.2">
      <c r="A201" s="122"/>
      <c r="B201" s="122"/>
      <c r="C201" s="122"/>
      <c r="D201" s="122"/>
      <c r="E201" s="122"/>
      <c r="F201" s="122"/>
      <c r="G201" s="122"/>
      <c r="H201" s="122"/>
      <c r="I201" s="122"/>
    </row>
    <row r="202" spans="1:9" x14ac:dyDescent="0.2">
      <c r="A202" s="122"/>
      <c r="B202" s="122"/>
      <c r="C202" s="122"/>
      <c r="D202" s="122"/>
      <c r="E202" s="122"/>
      <c r="F202" s="122"/>
      <c r="G202" s="122"/>
      <c r="H202" s="122"/>
      <c r="I202" s="122"/>
    </row>
    <row r="203" spans="1:9" x14ac:dyDescent="0.2">
      <c r="A203" s="122"/>
      <c r="B203" s="122"/>
      <c r="C203" s="122"/>
      <c r="D203" s="122"/>
      <c r="E203" s="122"/>
      <c r="F203" s="122"/>
      <c r="G203" s="122"/>
      <c r="H203" s="122"/>
      <c r="I203" s="122"/>
    </row>
    <row r="204" spans="1:9" x14ac:dyDescent="0.2">
      <c r="A204" s="122"/>
      <c r="B204" s="122"/>
      <c r="C204" s="122"/>
      <c r="D204" s="122"/>
      <c r="E204" s="122"/>
      <c r="F204" s="122"/>
      <c r="G204" s="122"/>
      <c r="H204" s="122"/>
      <c r="I204" s="122"/>
    </row>
    <row r="205" spans="1:9" x14ac:dyDescent="0.2">
      <c r="A205" s="122"/>
      <c r="B205" s="122"/>
      <c r="C205" s="122"/>
      <c r="D205" s="122"/>
      <c r="E205" s="122"/>
      <c r="F205" s="122"/>
      <c r="G205" s="122"/>
      <c r="H205" s="122"/>
      <c r="I205" s="122"/>
    </row>
    <row r="206" spans="1:9" x14ac:dyDescent="0.2">
      <c r="A206" s="122"/>
      <c r="B206" s="122"/>
      <c r="C206" s="122"/>
      <c r="D206" s="122"/>
      <c r="E206" s="122"/>
      <c r="F206" s="122"/>
      <c r="G206" s="122"/>
      <c r="H206" s="122"/>
      <c r="I206" s="122"/>
    </row>
    <row r="207" spans="1:9" x14ac:dyDescent="0.2">
      <c r="A207" s="122"/>
      <c r="B207" s="122"/>
      <c r="C207" s="122"/>
      <c r="D207" s="122"/>
      <c r="E207" s="122"/>
      <c r="F207" s="122"/>
      <c r="G207" s="122"/>
      <c r="H207" s="122"/>
      <c r="I207" s="122"/>
    </row>
    <row r="208" spans="1:9" x14ac:dyDescent="0.2">
      <c r="A208" s="122"/>
      <c r="B208" s="122"/>
      <c r="C208" s="122"/>
      <c r="D208" s="122"/>
      <c r="E208" s="122"/>
      <c r="F208" s="122"/>
      <c r="G208" s="122"/>
      <c r="H208" s="122"/>
      <c r="I208" s="122"/>
    </row>
    <row r="209" spans="1:9" x14ac:dyDescent="0.2">
      <c r="A209" s="122"/>
      <c r="B209" s="122"/>
      <c r="C209" s="122"/>
      <c r="D209" s="122"/>
      <c r="E209" s="122"/>
      <c r="F209" s="122"/>
      <c r="G209" s="122"/>
      <c r="H209" s="122"/>
      <c r="I209" s="122"/>
    </row>
    <row r="210" spans="1:9" x14ac:dyDescent="0.2">
      <c r="A210" s="122"/>
      <c r="B210" s="122"/>
      <c r="C210" s="122"/>
      <c r="D210" s="122"/>
      <c r="E210" s="122"/>
      <c r="F210" s="122"/>
      <c r="G210" s="122"/>
      <c r="H210" s="122"/>
      <c r="I210" s="122"/>
    </row>
    <row r="211" spans="1:9" x14ac:dyDescent="0.2">
      <c r="A211" s="122"/>
      <c r="B211" s="122"/>
      <c r="C211" s="122"/>
      <c r="D211" s="122"/>
      <c r="E211" s="122"/>
      <c r="F211" s="122"/>
      <c r="G211" s="122"/>
      <c r="H211" s="122"/>
      <c r="I211" s="122"/>
    </row>
    <row r="212" spans="1:9" x14ac:dyDescent="0.2">
      <c r="A212" s="122"/>
      <c r="B212" s="122"/>
      <c r="C212" s="122"/>
      <c r="D212" s="122"/>
      <c r="E212" s="122"/>
      <c r="F212" s="122"/>
      <c r="G212" s="122"/>
      <c r="H212" s="122"/>
      <c r="I212" s="122"/>
    </row>
    <row r="213" spans="1:9" x14ac:dyDescent="0.2">
      <c r="A213" s="122"/>
      <c r="B213" s="122"/>
      <c r="C213" s="122"/>
      <c r="D213" s="122"/>
      <c r="E213" s="122"/>
      <c r="F213" s="122"/>
      <c r="G213" s="122"/>
      <c r="H213" s="122"/>
      <c r="I213" s="122"/>
    </row>
    <row r="214" spans="1:9" x14ac:dyDescent="0.2">
      <c r="A214" s="122"/>
      <c r="B214" s="122"/>
      <c r="C214" s="122"/>
      <c r="D214" s="122"/>
      <c r="E214" s="122"/>
      <c r="F214" s="122"/>
      <c r="G214" s="122"/>
      <c r="H214" s="122"/>
      <c r="I214" s="122"/>
    </row>
    <row r="215" spans="1:9" x14ac:dyDescent="0.2">
      <c r="A215" s="122"/>
      <c r="B215" s="122"/>
      <c r="C215" s="122"/>
      <c r="D215" s="122"/>
      <c r="E215" s="122"/>
      <c r="F215" s="122"/>
      <c r="G215" s="122"/>
      <c r="H215" s="122"/>
      <c r="I215" s="122"/>
    </row>
    <row r="216" spans="1:9" x14ac:dyDescent="0.2">
      <c r="A216" s="122"/>
      <c r="B216" s="122"/>
      <c r="C216" s="122"/>
      <c r="D216" s="122"/>
      <c r="E216" s="122"/>
      <c r="F216" s="122"/>
      <c r="G216" s="122"/>
      <c r="H216" s="122"/>
      <c r="I216" s="122"/>
    </row>
    <row r="217" spans="1:9" x14ac:dyDescent="0.2">
      <c r="A217" s="122"/>
      <c r="B217" s="122"/>
      <c r="C217" s="122"/>
      <c r="D217" s="122"/>
      <c r="E217" s="122"/>
      <c r="F217" s="122"/>
      <c r="G217" s="122"/>
      <c r="H217" s="122"/>
      <c r="I217" s="122"/>
    </row>
    <row r="218" spans="1:9" x14ac:dyDescent="0.2">
      <c r="A218" s="122"/>
      <c r="B218" s="122"/>
      <c r="C218" s="122"/>
      <c r="D218" s="122"/>
      <c r="E218" s="122"/>
      <c r="F218" s="122"/>
      <c r="G218" s="122"/>
      <c r="H218" s="122"/>
      <c r="I218" s="122"/>
    </row>
    <row r="219" spans="1:9" x14ac:dyDescent="0.2">
      <c r="A219" s="122"/>
      <c r="B219" s="122"/>
      <c r="C219" s="122"/>
      <c r="D219" s="122"/>
      <c r="E219" s="122"/>
      <c r="F219" s="122"/>
      <c r="G219" s="122"/>
      <c r="H219" s="122"/>
      <c r="I219" s="122"/>
    </row>
    <row r="220" spans="1:9" x14ac:dyDescent="0.2">
      <c r="A220" s="122"/>
      <c r="B220" s="122"/>
      <c r="C220" s="122"/>
      <c r="D220" s="122"/>
      <c r="E220" s="122"/>
      <c r="F220" s="122"/>
      <c r="G220" s="122"/>
      <c r="H220" s="122"/>
      <c r="I220" s="122"/>
    </row>
    <row r="221" spans="1:9" x14ac:dyDescent="0.2">
      <c r="A221" s="122"/>
      <c r="B221" s="122"/>
      <c r="C221" s="122"/>
      <c r="D221" s="122"/>
      <c r="E221" s="122"/>
      <c r="F221" s="122"/>
      <c r="G221" s="122"/>
      <c r="H221" s="122"/>
      <c r="I221" s="122"/>
    </row>
    <row r="222" spans="1:9" x14ac:dyDescent="0.2">
      <c r="A222" s="122"/>
      <c r="B222" s="122"/>
      <c r="C222" s="122"/>
      <c r="D222" s="122"/>
      <c r="E222" s="122"/>
      <c r="F222" s="122"/>
      <c r="G222" s="122"/>
      <c r="H222" s="122"/>
      <c r="I222" s="122"/>
    </row>
    <row r="223" spans="1:9" x14ac:dyDescent="0.2">
      <c r="A223" s="122"/>
      <c r="B223" s="122"/>
      <c r="C223" s="122"/>
      <c r="D223" s="122"/>
      <c r="E223" s="122"/>
      <c r="F223" s="122"/>
      <c r="G223" s="122"/>
      <c r="H223" s="122"/>
      <c r="I223" s="122"/>
    </row>
  </sheetData>
  <sheetProtection selectLockedCells="1"/>
  <mergeCells count="19">
    <mergeCell ref="E34:G34"/>
    <mergeCell ref="A1:C1"/>
    <mergeCell ref="B5:C5"/>
    <mergeCell ref="B23:C23"/>
    <mergeCell ref="E27:G27"/>
    <mergeCell ref="E24:G24"/>
    <mergeCell ref="H15:I15"/>
    <mergeCell ref="G1:I1"/>
    <mergeCell ref="E30:G30"/>
    <mergeCell ref="F12:G12"/>
    <mergeCell ref="B3:E3"/>
    <mergeCell ref="B7:C7"/>
    <mergeCell ref="H5:I5"/>
    <mergeCell ref="A15:D15"/>
    <mergeCell ref="E44:G44"/>
    <mergeCell ref="E36:G36"/>
    <mergeCell ref="E39:G39"/>
    <mergeCell ref="E42:G42"/>
    <mergeCell ref="E38:F38"/>
  </mergeCells>
  <phoneticPr fontId="2" type="noConversion"/>
  <conditionalFormatting sqref="E66">
    <cfRule type="expression" dxfId="40" priority="1" stopIfTrue="1">
      <formula>E61&gt;D68</formula>
    </cfRule>
  </conditionalFormatting>
  <conditionalFormatting sqref="D67">
    <cfRule type="expression" dxfId="39" priority="2" stopIfTrue="1">
      <formula>D62&gt;C68</formula>
    </cfRule>
  </conditionalFormatting>
  <conditionalFormatting sqref="D59">
    <cfRule type="cellIs" dxfId="38" priority="3" stopIfTrue="1" operator="lessThan">
      <formula>$D$58</formula>
    </cfRule>
  </conditionalFormatting>
  <conditionalFormatting sqref="I26">
    <cfRule type="cellIs" dxfId="37" priority="4" stopIfTrue="1" operator="lessThan">
      <formula>1</formula>
    </cfRule>
  </conditionalFormatting>
  <conditionalFormatting sqref="C14">
    <cfRule type="expression" dxfId="36" priority="5" stopIfTrue="1">
      <formula>$J$18&gt;0</formula>
    </cfRule>
  </conditionalFormatting>
  <conditionalFormatting sqref="E34:G34">
    <cfRule type="expression" dxfId="35" priority="6" stopIfTrue="1">
      <formula>AND($G$32&gt;15,ISNUMBER($G$32))</formula>
    </cfRule>
  </conditionalFormatting>
  <conditionalFormatting sqref="A15:D15">
    <cfRule type="expression" dxfId="34" priority="7" stopIfTrue="1">
      <formula>$C$14&gt;40</formula>
    </cfRule>
  </conditionalFormatting>
  <conditionalFormatting sqref="E30:G30">
    <cfRule type="expression" dxfId="33" priority="8" stopIfTrue="1">
      <formula>$P$30=TRUE</formula>
    </cfRule>
  </conditionalFormatting>
  <conditionalFormatting sqref="G38">
    <cfRule type="expression" dxfId="32" priority="9" stopIfTrue="1">
      <formula>Position="No Orifice"</formula>
    </cfRule>
  </conditionalFormatting>
  <pageMargins left="0.6" right="0.6" top="1" bottom="0.75" header="0.5" footer="0.5"/>
  <pageSetup scale="99" orientation="portrait" r:id="rId1"/>
  <headerFooter alignWithMargins="0"/>
  <drawing r:id="rId2"/>
  <legacyDrawing r:id="rId3"/>
  <controls>
    <mc:AlternateContent xmlns:mc="http://schemas.openxmlformats.org/markup-compatibility/2006">
      <mc:Choice Requires="x14">
        <control shapeId="4110" r:id="rId4" name="CommandButton2">
          <controlPr locked="0" defaultSize="0" print="0" autoLine="0" r:id="rId5">
            <anchor moveWithCells="1">
              <from>
                <xdr:col>4</xdr:col>
                <xdr:colOff>76200</xdr:colOff>
                <xdr:row>4</xdr:row>
                <xdr:rowOff>47625</xdr:rowOff>
              </from>
              <to>
                <xdr:col>5</xdr:col>
                <xdr:colOff>190500</xdr:colOff>
                <xdr:row>5</xdr:row>
                <xdr:rowOff>123825</xdr:rowOff>
              </to>
            </anchor>
          </controlPr>
        </control>
      </mc:Choice>
      <mc:Fallback>
        <control shapeId="4110" r:id="rId4" name="CommandButton2"/>
      </mc:Fallback>
    </mc:AlternateContent>
    <mc:AlternateContent xmlns:mc="http://schemas.openxmlformats.org/markup-compatibility/2006">
      <mc:Choice Requires="x14">
        <control shapeId="4103" r:id="rId6" name="ComboBox3">
          <controlPr locked="0" defaultSize="0" autoLine="0" linkedCell="Position" listFillRange="Defaults!L27:L29" r:id="rId7">
            <anchor moveWithCells="1">
              <from>
                <xdr:col>6</xdr:col>
                <xdr:colOff>9525</xdr:colOff>
                <xdr:row>21</xdr:row>
                <xdr:rowOff>142875</xdr:rowOff>
              </from>
              <to>
                <xdr:col>7</xdr:col>
                <xdr:colOff>200025</xdr:colOff>
                <xdr:row>23</xdr:row>
                <xdr:rowOff>28575</xdr:rowOff>
              </to>
            </anchor>
          </controlPr>
        </control>
      </mc:Choice>
      <mc:Fallback>
        <control shapeId="4103" r:id="rId6" name="ComboBox3"/>
      </mc:Fallback>
    </mc:AlternateContent>
    <mc:AlternateContent xmlns:mc="http://schemas.openxmlformats.org/markup-compatibility/2006">
      <mc:Choice Requires="x14">
        <control shapeId="4101" r:id="rId8" name="ComboBox2">
          <controlPr locked="0" defaultSize="0" autoLine="0" linkedCell="Storm" listFillRange="Defaults!L18:L19" r:id="rId9">
            <anchor moveWithCells="1">
              <from>
                <xdr:col>1</xdr:col>
                <xdr:colOff>142875</xdr:colOff>
                <xdr:row>10</xdr:row>
                <xdr:rowOff>133350</xdr:rowOff>
              </from>
              <to>
                <xdr:col>2</xdr:col>
                <xdr:colOff>152400</xdr:colOff>
                <xdr:row>12</xdr:row>
                <xdr:rowOff>47625</xdr:rowOff>
              </to>
            </anchor>
          </controlPr>
        </control>
      </mc:Choice>
      <mc:Fallback>
        <control shapeId="4101" r:id="rId8" name="ComboBox2"/>
      </mc:Fallback>
    </mc:AlternateContent>
    <mc:AlternateContent xmlns:mc="http://schemas.openxmlformats.org/markup-compatibility/2006">
      <mc:Choice Requires="x14">
        <control shapeId="4100" r:id="rId10" name="ComboBox1">
          <controlPr locked="0" defaultSize="0" autoFill="0" autoLine="0" linkedCell="County" listFillRange="Defaults!B2:B93" r:id="rId11">
            <anchor moveWithCells="1">
              <from>
                <xdr:col>1</xdr:col>
                <xdr:colOff>0</xdr:colOff>
                <xdr:row>3</xdr:row>
                <xdr:rowOff>142875</xdr:rowOff>
              </from>
              <to>
                <xdr:col>3</xdr:col>
                <xdr:colOff>38100</xdr:colOff>
                <xdr:row>5</xdr:row>
                <xdr:rowOff>38100</xdr:rowOff>
              </to>
            </anchor>
          </controlPr>
        </control>
      </mc:Choice>
      <mc:Fallback>
        <control shapeId="4100" r:id="rId10" name="ComboBox1"/>
      </mc:Fallback>
    </mc:AlternateContent>
    <mc:AlternateContent xmlns:mc="http://schemas.openxmlformats.org/markup-compatibility/2006">
      <mc:Choice Requires="x14">
        <control shapeId="4099" r:id="rId12" name="CommandButton1">
          <controlPr defaultSize="0" print="0" autoLine="0" r:id="rId13">
            <anchor moveWithCells="1">
              <from>
                <xdr:col>7</xdr:col>
                <xdr:colOff>371475</xdr:colOff>
                <xdr:row>7</xdr:row>
                <xdr:rowOff>104775</xdr:rowOff>
              </from>
              <to>
                <xdr:col>8</xdr:col>
                <xdr:colOff>390525</xdr:colOff>
                <xdr:row>9</xdr:row>
                <xdr:rowOff>57150</xdr:rowOff>
              </to>
            </anchor>
          </controlPr>
        </control>
      </mc:Choice>
      <mc:Fallback>
        <control shapeId="4099" r:id="rId12" name="CommandButton1"/>
      </mc:Fallback>
    </mc:AlternateContent>
    <mc:AlternateContent xmlns:mc="http://schemas.openxmlformats.org/markup-compatibility/2006">
      <mc:Choice Requires="x14">
        <control shapeId="4115" r:id="rId14" name="OptionButton1">
          <controlPr autoLine="0" linkedCell="Defaults!M71" r:id="rId15">
            <anchor moveWithCells="1">
              <from>
                <xdr:col>7</xdr:col>
                <xdr:colOff>266700</xdr:colOff>
                <xdr:row>15</xdr:row>
                <xdr:rowOff>57150</xdr:rowOff>
              </from>
              <to>
                <xdr:col>8</xdr:col>
                <xdr:colOff>276225</xdr:colOff>
                <xdr:row>16</xdr:row>
                <xdr:rowOff>123825</xdr:rowOff>
              </to>
            </anchor>
          </controlPr>
        </control>
      </mc:Choice>
      <mc:Fallback>
        <control shapeId="4115" r:id="rId14" name="OptionButton1"/>
      </mc:Fallback>
    </mc:AlternateContent>
    <mc:AlternateContent xmlns:mc="http://schemas.openxmlformats.org/markup-compatibility/2006">
      <mc:Choice Requires="x14">
        <control shapeId="4118" r:id="rId16" name="OptionButton2">
          <controlPr autoLine="0" linkedCell="Defaults!M72" r:id="rId17">
            <anchor moveWithCells="1">
              <from>
                <xdr:col>7</xdr:col>
                <xdr:colOff>266700</xdr:colOff>
                <xdr:row>16</xdr:row>
                <xdr:rowOff>142875</xdr:rowOff>
              </from>
              <to>
                <xdr:col>8</xdr:col>
                <xdr:colOff>342900</xdr:colOff>
                <xdr:row>18</xdr:row>
                <xdr:rowOff>28575</xdr:rowOff>
              </to>
            </anchor>
          </controlPr>
        </control>
      </mc:Choice>
      <mc:Fallback>
        <control shapeId="4118" r:id="rId16" name="OptionButton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tabColor indexed="42"/>
  </sheetPr>
  <dimension ref="A1:P223"/>
  <sheetViews>
    <sheetView showGridLines="0" zoomScaleNormal="100" workbookViewId="0">
      <selection activeCell="J1" sqref="J1:P1048576"/>
    </sheetView>
  </sheetViews>
  <sheetFormatPr defaultRowHeight="12.75" x14ac:dyDescent="0.2"/>
  <cols>
    <col min="1" max="1" width="13.28515625" customWidth="1"/>
    <col min="2" max="2" width="11.140625" customWidth="1"/>
    <col min="3" max="3" width="9.42578125" customWidth="1"/>
    <col min="5" max="5" width="10" customWidth="1"/>
    <col min="6" max="6" width="11.28515625" customWidth="1"/>
    <col min="7" max="7" width="10.28515625" customWidth="1"/>
    <col min="8" max="8" width="10.7109375" customWidth="1"/>
    <col min="9" max="9" width="10.28515625" customWidth="1"/>
    <col min="10" max="16" width="8.7109375" hidden="1" customWidth="1"/>
    <col min="17" max="17" width="8.7109375" customWidth="1"/>
    <col min="18" max="18" width="9.140625" customWidth="1"/>
  </cols>
  <sheetData>
    <row r="1" spans="1:14" ht="24.75" thickTop="1" thickBot="1" x14ac:dyDescent="0.4">
      <c r="A1" s="371" t="s">
        <v>112</v>
      </c>
      <c r="B1" s="372"/>
      <c r="C1" s="372"/>
      <c r="D1" s="231"/>
      <c r="E1" s="231"/>
      <c r="F1" s="231"/>
      <c r="G1" s="369"/>
      <c r="H1" s="369"/>
      <c r="I1" s="370"/>
    </row>
    <row r="2" spans="1:14" ht="12.75" customHeight="1" thickTop="1" x14ac:dyDescent="0.2">
      <c r="A2" s="2"/>
      <c r="B2" s="2"/>
      <c r="C2" s="1"/>
      <c r="D2" s="1"/>
      <c r="E2" s="3"/>
      <c r="F2" s="1"/>
      <c r="G2" s="1"/>
      <c r="H2" s="1"/>
      <c r="I2" s="1"/>
    </row>
    <row r="3" spans="1:14" ht="15.75" x14ac:dyDescent="0.25">
      <c r="A3" s="2" t="s">
        <v>1</v>
      </c>
      <c r="B3" s="352"/>
      <c r="C3" s="352"/>
      <c r="D3" s="352"/>
      <c r="E3" s="352"/>
      <c r="F3" s="1"/>
      <c r="G3" s="5"/>
      <c r="H3" s="6" t="s">
        <v>0</v>
      </c>
      <c r="I3" s="65">
        <f ca="1">TODAY()</f>
        <v>41305</v>
      </c>
    </row>
    <row r="4" spans="1:14" x14ac:dyDescent="0.2">
      <c r="A4" s="1"/>
      <c r="B4" s="1"/>
      <c r="C4" s="1"/>
      <c r="D4" s="1"/>
      <c r="E4" s="2"/>
      <c r="F4" s="1"/>
      <c r="G4" s="1"/>
      <c r="H4" s="1"/>
      <c r="I4" s="1"/>
    </row>
    <row r="5" spans="1:14" x14ac:dyDescent="0.2">
      <c r="A5" s="19" t="s">
        <v>3</v>
      </c>
      <c r="B5" s="355"/>
      <c r="C5" s="355"/>
      <c r="D5" s="1"/>
      <c r="G5" s="8" t="s">
        <v>2</v>
      </c>
      <c r="H5" s="354"/>
      <c r="I5" s="354"/>
    </row>
    <row r="6" spans="1:14" x14ac:dyDescent="0.2">
      <c r="A6" s="2"/>
      <c r="B6" s="10"/>
      <c r="C6" s="10"/>
      <c r="D6" s="1"/>
      <c r="E6" s="66"/>
      <c r="F6" s="66"/>
      <c r="G6" s="67" t="s">
        <v>116</v>
      </c>
      <c r="H6" s="68"/>
      <c r="I6" s="24"/>
    </row>
    <row r="7" spans="1:14" x14ac:dyDescent="0.2">
      <c r="A7" s="19" t="s">
        <v>115</v>
      </c>
      <c r="B7" s="354"/>
      <c r="C7" s="354"/>
      <c r="D7" s="1"/>
      <c r="E7" s="1"/>
      <c r="F7" s="1"/>
      <c r="G7" s="67" t="s">
        <v>0</v>
      </c>
      <c r="H7" s="69"/>
      <c r="I7" s="69"/>
    </row>
    <row r="8" spans="1:14" x14ac:dyDescent="0.2">
      <c r="D8" s="23"/>
      <c r="I8" s="1"/>
    </row>
    <row r="9" spans="1:14" x14ac:dyDescent="0.2">
      <c r="A9" s="19" t="s">
        <v>4</v>
      </c>
      <c r="B9" s="7"/>
      <c r="C9" s="70" t="s">
        <v>5</v>
      </c>
      <c r="D9" s="9"/>
      <c r="E9" s="71" t="s">
        <v>120</v>
      </c>
      <c r="F9" s="9"/>
      <c r="G9" s="72" t="s">
        <v>114</v>
      </c>
      <c r="H9" s="1"/>
      <c r="I9" s="1"/>
    </row>
    <row r="10" spans="1:14" x14ac:dyDescent="0.2">
      <c r="A10" s="68"/>
      <c r="B10" s="68"/>
      <c r="C10" s="68"/>
      <c r="D10" s="68"/>
      <c r="E10" s="68"/>
      <c r="F10" s="68"/>
      <c r="G10" s="68"/>
      <c r="H10" s="24"/>
      <c r="I10" s="24"/>
    </row>
    <row r="11" spans="1:14" x14ac:dyDescent="0.2">
      <c r="A11" s="1"/>
      <c r="B11" s="2"/>
      <c r="C11" s="1"/>
      <c r="D11" s="1"/>
      <c r="H11" s="1"/>
      <c r="I11" s="1"/>
    </row>
    <row r="12" spans="1:14" x14ac:dyDescent="0.2">
      <c r="A12" s="11" t="s">
        <v>7</v>
      </c>
      <c r="B12" s="132"/>
      <c r="C12" s="1"/>
      <c r="D12" s="1"/>
      <c r="E12" s="2" t="s">
        <v>6</v>
      </c>
      <c r="F12" s="363">
        <v>3</v>
      </c>
      <c r="G12" s="363"/>
      <c r="H12" s="1"/>
      <c r="I12" s="1"/>
      <c r="K12" t="str">
        <f>CONCATENATE("Subbasin",F12)</f>
        <v>Subbasin3</v>
      </c>
      <c r="L12">
        <f>IF(ISNA(VLOOKUP($F$12,Import1!$K:$N,2,FALSE)),0,VLOOKUP($F$12,Import1!$K:$N,2,FALSE))</f>
        <v>0</v>
      </c>
      <c r="M12">
        <f>IF(ISNA(VLOOKUP($F$12,Import1!$K:$N,4,FALSE)),0,VLOOKUP($F$12,Import1!$K:$N,4,FALSE))</f>
        <v>0</v>
      </c>
      <c r="N12">
        <f>IF(ISNA(VLOOKUP($F$12,Import1!$K:$N,3,FALSE)),0,VLOOKUP($F$12,Import1!$K:$N,3,FALSE))</f>
        <v>0</v>
      </c>
    </row>
    <row r="13" spans="1:14" x14ac:dyDescent="0.2">
      <c r="A13" s="1"/>
      <c r="B13" s="2"/>
      <c r="C13" s="5"/>
      <c r="D13" s="1"/>
      <c r="H13" s="1"/>
      <c r="I13" s="1"/>
    </row>
    <row r="14" spans="1:14" x14ac:dyDescent="0.2">
      <c r="A14" s="2" t="s">
        <v>113</v>
      </c>
      <c r="B14" s="2"/>
      <c r="C14" s="222">
        <f>L12</f>
        <v>0</v>
      </c>
      <c r="D14" s="1"/>
      <c r="E14" s="12" t="s">
        <v>8</v>
      </c>
      <c r="F14" s="12"/>
      <c r="G14" s="13" t="str">
        <f>IF(ISBLANK(B12),"",VLOOKUP(County,County_Table,IF(Storm="10-year",5,6)))</f>
        <v/>
      </c>
    </row>
    <row r="15" spans="1:14" x14ac:dyDescent="0.2">
      <c r="A15" s="349" t="str">
        <f>IF(C14&gt;40,"Watershed Area Exceeds 638 Standard!","")</f>
        <v/>
      </c>
      <c r="B15" s="349"/>
      <c r="C15" s="349"/>
      <c r="D15" s="350"/>
      <c r="E15" s="12" t="s">
        <v>9</v>
      </c>
      <c r="F15" s="12"/>
      <c r="G15" s="13" t="str">
        <f>IF(ISBLANK(B12),"",IF(C16=0," ",((G14-0.2*((1000/C16)-10))^2)/(G14+0.8*((1000/C16)-10))))</f>
        <v/>
      </c>
      <c r="H15" s="358" t="s">
        <v>240</v>
      </c>
      <c r="I15" s="359"/>
    </row>
    <row r="16" spans="1:14" ht="14.25" x14ac:dyDescent="0.2">
      <c r="A16" s="2" t="s">
        <v>183</v>
      </c>
      <c r="B16" s="2"/>
      <c r="C16" s="215">
        <f>M12</f>
        <v>0</v>
      </c>
      <c r="D16" s="1"/>
      <c r="E16" s="12" t="s">
        <v>118</v>
      </c>
      <c r="F16" s="1"/>
      <c r="G16" s="74" t="str">
        <f>IF(ISBLANK(C14),"",IF(ISNUMBER(G15),43560*C14*G15/12,""))</f>
        <v/>
      </c>
      <c r="H16" s="1"/>
      <c r="I16" s="1"/>
    </row>
    <row r="17" spans="1:16" ht="14.25" x14ac:dyDescent="0.2">
      <c r="A17" s="2" t="s">
        <v>10</v>
      </c>
      <c r="B17" s="2"/>
      <c r="C17" s="15"/>
      <c r="D17" s="1"/>
      <c r="E17" s="16" t="s">
        <v>117</v>
      </c>
      <c r="F17" s="17"/>
      <c r="G17" s="74" t="str">
        <f>IF(ISBLANK(C14),"",IF(ISBLANK(C17),"",43560*100*10*C17*C14/(78*2178)))</f>
        <v/>
      </c>
      <c r="I17" s="1"/>
    </row>
    <row r="18" spans="1:16" ht="14.25" x14ac:dyDescent="0.2">
      <c r="A18" s="2" t="s">
        <v>138</v>
      </c>
      <c r="B18" s="2"/>
      <c r="C18" s="21"/>
      <c r="D18" s="1"/>
      <c r="E18" s="12" t="s">
        <v>124</v>
      </c>
      <c r="F18" s="12"/>
      <c r="G18" s="74" t="str">
        <f>IF(ISBLANK(C14),"",IF(ISBLANK(C18),"",IF(ISNUMBER(G16),43560*(0.0223*(C14*G15)^1.27)/(G16/(3600*C18))^0.27,"")))</f>
        <v/>
      </c>
      <c r="H18" s="1"/>
      <c r="I18" s="1"/>
    </row>
    <row r="19" spans="1:16" ht="14.25" x14ac:dyDescent="0.2">
      <c r="D19" s="18"/>
      <c r="E19" s="12" t="s">
        <v>121</v>
      </c>
      <c r="F19" s="12"/>
      <c r="G19" s="74">
        <f>IF(ISBLANK(C14),"",C14*43560/12)</f>
        <v>0</v>
      </c>
      <c r="H19" s="1"/>
      <c r="I19" s="1"/>
    </row>
    <row r="20" spans="1:16" ht="14.25" x14ac:dyDescent="0.2">
      <c r="D20" s="1"/>
      <c r="E20" s="12" t="s">
        <v>123</v>
      </c>
      <c r="F20" s="12"/>
      <c r="G20" s="79" t="str">
        <f>IF(ISNUMBER(G18),IF(Defaults!$M$75=TRUE,IF(G18&gt;G19,G18+G17,G19+G17),G18+G17),"")</f>
        <v/>
      </c>
      <c r="H20" s="118"/>
      <c r="I20" s="1"/>
    </row>
    <row r="21" spans="1:16" x14ac:dyDescent="0.2">
      <c r="A21" s="73"/>
      <c r="B21" s="73"/>
      <c r="C21" s="73"/>
      <c r="D21" s="120"/>
      <c r="E21" s="77"/>
      <c r="F21" s="24"/>
      <c r="G21" s="24"/>
      <c r="H21" s="119"/>
      <c r="I21" s="24"/>
      <c r="J21" s="34"/>
    </row>
    <row r="22" spans="1:16" x14ac:dyDescent="0.2">
      <c r="A22" s="129"/>
      <c r="B22" s="5"/>
      <c r="C22" s="75"/>
      <c r="D22" s="4"/>
      <c r="E22" s="4"/>
      <c r="F22" s="127"/>
      <c r="G22" s="128"/>
      <c r="H22" s="110"/>
      <c r="I22" s="112"/>
      <c r="J22" s="34"/>
    </row>
    <row r="23" spans="1:16" ht="14.25" x14ac:dyDescent="0.2">
      <c r="A23" s="76" t="s">
        <v>122</v>
      </c>
      <c r="B23" s="373" t="s">
        <v>119</v>
      </c>
      <c r="C23" s="373"/>
      <c r="D23" s="121"/>
      <c r="E23" s="78" t="s">
        <v>132</v>
      </c>
      <c r="G23" s="131"/>
      <c r="H23" s="122"/>
      <c r="I23" s="5"/>
      <c r="J23" s="34"/>
    </row>
    <row r="24" spans="1:16" x14ac:dyDescent="0.2">
      <c r="A24" s="222" t="str">
        <f t="array" ref="A24">IF(ISERROR(INDEX(Import1!$A$1:$I$201,SMALL(IF(Import1!$A$1:$I$201=$K$12,ROW(Import1!$A$1:$I$201)),ROW(1:1)),2)),"",INDEX(Import1!$A$1:$I$201,SMALL(IF(Import1!$A$1:$I$201=$K$12,ROW(Import1!$A$1:$I$201)),ROW(1:1)),2))</f>
        <v/>
      </c>
      <c r="B24" s="223" t="str">
        <f t="array" ref="B24">IF(ISERROR(INDEX(Import1!$A$1:$I$201,SMALL(IF(Import1!$A$1:$I$201=$K$12,ROW(Import1!$A$1:$I$201)),ROW(1:1)),5)),"",INDEX(Import1!$A$1:$I$201,SMALL(IF(Import1!$A$1:$I$201=$K$12,ROW(Import1!$A$1:$I$201)),ROW(1:1)),5))</f>
        <v/>
      </c>
      <c r="C24" s="224"/>
      <c r="D24" s="118"/>
      <c r="E24" s="361"/>
      <c r="F24" s="361"/>
      <c r="G24" s="361"/>
      <c r="H24" s="122"/>
      <c r="I24" s="5"/>
      <c r="J24" s="34"/>
      <c r="N24">
        <v>0</v>
      </c>
      <c r="O24" t="e">
        <f t="shared" ref="O24:O45" si="0">A24+((($G$20-N24)/(N25-N24))*(A25-A24))</f>
        <v>#VALUE!</v>
      </c>
    </row>
    <row r="25" spans="1:16" x14ac:dyDescent="0.2">
      <c r="A25" s="222" t="str">
        <f t="array" ref="A25">IF(ISERROR(INDEX(Import1!$A$1:$I$201,SMALL(IF(Import1!$A$1:$I$201=$K$12,ROW(Import1!$A$1:$I$201)),ROW(2:2)),2)),"",INDEX(Import1!$A$1:$I$201,SMALL(IF(Import1!$A$1:$I$201=$K$12,ROW(Import1!$A$1:$I$201)),ROW(2:2)),2))</f>
        <v/>
      </c>
      <c r="B25" s="223" t="str">
        <f t="array" ref="B25">IF(ISERROR(INDEX(Import1!$A$1:$I$201,SMALL(IF(Import1!$A$1:$I$201=$K$12,ROW(Import1!$A$1:$I$201)),ROW(2:2)),5)),"",INDEX(Import1!$A$1:$I$201,SMALL(IF(Import1!$A$1:$I$201=$K$12,ROW(Import1!$A$1:$I$201)),ROW(2:2)),5))</f>
        <v/>
      </c>
      <c r="C25" s="224"/>
      <c r="D25" s="118"/>
      <c r="E25" s="78" t="s">
        <v>130</v>
      </c>
      <c r="G25" s="169"/>
      <c r="H25" s="122"/>
      <c r="I25" s="5"/>
      <c r="K25" t="e">
        <f t="shared" ref="K25:K45" si="1">IF(A25&gt;0,+A25-A24,"")</f>
        <v>#VALUE!</v>
      </c>
      <c r="L25" t="e">
        <f t="shared" ref="L25:L45" si="2">IF(B25&gt;0,+(B24+B25)/2," ")</f>
        <v>#VALUE!</v>
      </c>
      <c r="M25" t="str">
        <f t="shared" ref="M25:M45" si="3">IF((ISERROR(K25*L25)),"",(K25*L25))</f>
        <v/>
      </c>
      <c r="N25" t="str">
        <f>IF((ISERROR(M25)),"",(M25))</f>
        <v/>
      </c>
      <c r="O25" t="e">
        <f t="shared" si="0"/>
        <v>#VALUE!</v>
      </c>
    </row>
    <row r="26" spans="1:16" x14ac:dyDescent="0.2">
      <c r="A26" s="222" t="str">
        <f t="array" ref="A26">IF(ISERROR(INDEX(Import1!$A$1:$I$201,SMALL(IF(Import1!$A$1:$I$201=$K$12,ROW(Import1!$A$1:$I$201)),ROW(3:3)),2)),"",INDEX(Import1!$A$1:$I$201,SMALL(IF(Import1!$A$1:$I$201=$K$12,ROW(Import1!$A$1:$I$201)),ROW(3:3)),2))</f>
        <v/>
      </c>
      <c r="B26" s="223" t="str">
        <f t="array" ref="B26">IF(ISERROR(INDEX(Import1!$A$1:$I$201,SMALL(IF(Import1!$A$1:$I$201=$K$12,ROW(Import1!$A$1:$I$201)),ROW(3:3)),5)),"",INDEX(Import1!$A$1:$I$201,SMALL(IF(Import1!$A$1:$I$201=$K$12,ROW(Import1!$A$1:$I$201)),ROW(3:3)),5))</f>
        <v/>
      </c>
      <c r="C26" s="224"/>
      <c r="D26" s="118"/>
      <c r="E26" s="78" t="s">
        <v>131</v>
      </c>
      <c r="G26" s="169"/>
      <c r="H26" s="122"/>
      <c r="I26" s="126"/>
      <c r="K26" t="e">
        <f t="shared" si="1"/>
        <v>#VALUE!</v>
      </c>
      <c r="L26" t="e">
        <f t="shared" si="2"/>
        <v>#VALUE!</v>
      </c>
      <c r="M26" t="str">
        <f t="shared" si="3"/>
        <v/>
      </c>
      <c r="N26" t="str">
        <f t="shared" ref="N26:N45" si="4">IF((ISERROR(M26+N25)),"",(M26+N25))</f>
        <v/>
      </c>
      <c r="O26" t="e">
        <f t="shared" si="0"/>
        <v>#VALUE!</v>
      </c>
    </row>
    <row r="27" spans="1:16" x14ac:dyDescent="0.2">
      <c r="A27" s="222" t="str">
        <f t="array" ref="A27">IF(ISERROR(INDEX(Import1!$A$1:$I$201,SMALL(IF(Import1!$A$1:$I$201=$K$12,ROW(Import1!$A$1:$I$201)),ROW(4:4)),2)),"",INDEX(Import1!$A$1:$I$201,SMALL(IF(Import1!$A$1:$I$201=$K$12,ROW(Import1!$A$1:$I$201)),ROW(4:4)),2))</f>
        <v/>
      </c>
      <c r="B27" s="223" t="str">
        <f t="array" ref="B27">IF(ISERROR(INDEX(Import1!$A$1:$I$201,SMALL(IF(Import1!$A$1:$I$201=$K$12,ROW(Import1!$A$1:$I$201)),ROW(4:4)),5)),"",INDEX(Import1!$A$1:$I$201,SMALL(IF(Import1!$A$1:$I$201=$K$12,ROW(Import1!$A$1:$I$201)),ROW(4:4)),5))</f>
        <v/>
      </c>
      <c r="C27" s="224"/>
      <c r="D27" s="118"/>
      <c r="E27" s="351"/>
      <c r="F27" s="351"/>
      <c r="G27" s="351"/>
      <c r="H27" s="122"/>
      <c r="I27" s="5"/>
      <c r="K27" t="e">
        <f t="shared" si="1"/>
        <v>#VALUE!</v>
      </c>
      <c r="L27" t="e">
        <f t="shared" si="2"/>
        <v>#VALUE!</v>
      </c>
      <c r="M27" t="str">
        <f t="shared" si="3"/>
        <v/>
      </c>
      <c r="N27" t="str">
        <f t="shared" si="4"/>
        <v/>
      </c>
      <c r="O27" t="e">
        <f t="shared" si="0"/>
        <v>#VALUE!</v>
      </c>
    </row>
    <row r="28" spans="1:16" x14ac:dyDescent="0.2">
      <c r="A28" s="222" t="str">
        <f t="array" ref="A28">IF(ISERROR(INDEX(Import1!$A$1:$I$201,SMALL(IF(Import1!$A$1:$I$201=$K$12,ROW(Import1!$A$1:$I$201)),ROW(5:5)),2)),"",INDEX(Import1!$A$1:$I$201,SMALL(IF(Import1!$A$1:$I$201=$K$12,ROW(Import1!$A$1:$I$201)),ROW(5:5)),2))</f>
        <v/>
      </c>
      <c r="B28" s="223" t="str">
        <f t="array" ref="B28">IF(ISERROR(INDEX(Import1!$A$1:$I$201,SMALL(IF(Import1!$A$1:$I$201=$K$12,ROW(Import1!$A$1:$I$201)),ROW(5:5)),5)),"",INDEX(Import1!$A$1:$I$201,SMALL(IF(Import1!$A$1:$I$201=$K$12,ROW(Import1!$A$1:$I$201)),ROW(5:5)),5))</f>
        <v/>
      </c>
      <c r="C28" s="224"/>
      <c r="D28" s="118"/>
      <c r="E28" s="80" t="s">
        <v>126</v>
      </c>
      <c r="F28" s="81"/>
      <c r="G28" s="82" t="str">
        <f>IF(ISERROR(VLOOKUP(G20,N24:O45,2)),"",VLOOKUP(G20, N24:O45,2))</f>
        <v/>
      </c>
      <c r="H28" s="122"/>
      <c r="I28" s="112"/>
      <c r="K28" t="e">
        <f t="shared" si="1"/>
        <v>#VALUE!</v>
      </c>
      <c r="L28" t="e">
        <f t="shared" si="2"/>
        <v>#VALUE!</v>
      </c>
      <c r="M28" t="str">
        <f t="shared" si="3"/>
        <v/>
      </c>
      <c r="N28" t="str">
        <f t="shared" si="4"/>
        <v/>
      </c>
      <c r="O28" t="e">
        <f t="shared" si="0"/>
        <v>#VALUE!</v>
      </c>
    </row>
    <row r="29" spans="1:16" x14ac:dyDescent="0.2">
      <c r="A29" s="222" t="str">
        <f t="array" ref="A29">IF(ISERROR(INDEX(Import1!$A$1:$I$201,SMALL(IF(Import1!$A$1:$I$201=$K$12,ROW(Import1!$A$1:$I$201)),ROW(6:6)),2)),"",INDEX(Import1!$A$1:$I$201,SMALL(IF(Import1!$A$1:$I$201=$K$12,ROW(Import1!$A$1:$I$201)),ROW(6:6)),2))</f>
        <v/>
      </c>
      <c r="B29" s="223" t="str">
        <f t="array" ref="B29">IF(ISERROR(INDEX(Import1!$A$1:$I$201,SMALL(IF(Import1!$A$1:$I$201=$K$12,ROW(Import1!$A$1:$I$201)),ROW(6:6)),5)),"",INDEX(Import1!$A$1:$I$201,SMALL(IF(Import1!$A$1:$I$201=$K$12,ROW(Import1!$A$1:$I$201)),ROW(6:6)),5))</f>
        <v/>
      </c>
      <c r="C29" s="224"/>
      <c r="D29" s="118"/>
      <c r="E29" s="80" t="s">
        <v>127</v>
      </c>
      <c r="F29" s="81"/>
      <c r="G29" s="174"/>
      <c r="H29" s="122"/>
      <c r="I29" s="5"/>
      <c r="K29" t="e">
        <f t="shared" si="1"/>
        <v>#VALUE!</v>
      </c>
      <c r="L29" t="e">
        <f t="shared" si="2"/>
        <v>#VALUE!</v>
      </c>
      <c r="M29" t="str">
        <f t="shared" si="3"/>
        <v/>
      </c>
      <c r="N29" t="str">
        <f t="shared" si="4"/>
        <v/>
      </c>
      <c r="O29" t="e">
        <f t="shared" si="0"/>
        <v>#VALUE!</v>
      </c>
    </row>
    <row r="30" spans="1:16" x14ac:dyDescent="0.2">
      <c r="A30" s="222" t="str">
        <f t="array" ref="A30">IF(ISERROR(INDEX(Import1!$A$1:$I$201,SMALL(IF(Import1!$A$1:$I$201=$K$12,ROW(Import1!$A$1:$I$201)),ROW(7:7)),2)),"",INDEX(Import1!$A$1:$I$201,SMALL(IF(Import1!$A$1:$I$201=$K$12,ROW(Import1!$A$1:$I$201)),ROW(7:7)),2))</f>
        <v/>
      </c>
      <c r="B30" s="223" t="str">
        <f t="array" ref="B30">IF(ISERROR(INDEX(Import1!$A$1:$I$201,SMALL(IF(Import1!$A$1:$I$201=$K$12,ROW(Import1!$A$1:$I$201)),ROW(7:7)),5)),"",INDEX(Import1!$A$1:$I$201,SMALL(IF(Import1!$A$1:$I$201=$K$12,ROW(Import1!$A$1:$I$201)),ROW(7:7)),5))</f>
        <v/>
      </c>
      <c r="C30" s="224"/>
      <c r="D30" s="118"/>
      <c r="E30" s="360" t="str">
        <f>IF(AND(ISERROR(VLOOKUP(G20,N24:O45,2)),ISNUMBER(C14),ISNUMBER(C17),ISNUMBER(C18),ISNUMBER(C16),ISNUMBER(A24),ISNUMBER(B24))=TRUE,"Elevation Exceeds Input!","")</f>
        <v/>
      </c>
      <c r="F30" s="360"/>
      <c r="G30" s="360"/>
      <c r="H30" s="122"/>
      <c r="I30" s="4"/>
      <c r="K30" t="e">
        <f t="shared" si="1"/>
        <v>#VALUE!</v>
      </c>
      <c r="L30" t="e">
        <f t="shared" si="2"/>
        <v>#VALUE!</v>
      </c>
      <c r="M30" t="str">
        <f t="shared" si="3"/>
        <v/>
      </c>
      <c r="N30" t="str">
        <f t="shared" si="4"/>
        <v/>
      </c>
      <c r="O30" t="e">
        <f t="shared" si="0"/>
        <v>#VALUE!</v>
      </c>
      <c r="P30" t="b">
        <f>IF(E30="Elevation Exceeds Input!",TRUE,FALSE)</f>
        <v>0</v>
      </c>
    </row>
    <row r="31" spans="1:16" x14ac:dyDescent="0.2">
      <c r="A31" s="222" t="str">
        <f t="array" ref="A31">IF(ISERROR(INDEX(Import1!$A$1:$I$201,SMALL(IF(Import1!$A$1:$I$201=$K$12,ROW(Import1!$A$1:$I$201)),ROW(8:8)),2)),"",INDEX(Import1!$A$1:$I$201,SMALL(IF(Import1!$A$1:$I$201=$K$12,ROW(Import1!$A$1:$I$201)),ROW(8:8)),2))</f>
        <v/>
      </c>
      <c r="B31" s="223" t="str">
        <f t="array" ref="B31">IF(ISERROR(INDEX(Import1!$A$1:$I$201,SMALL(IF(Import1!$A$1:$I$201=$K$12,ROW(Import1!$A$1:$I$201)),ROW(8:8)),5)),"",INDEX(Import1!$A$1:$I$201,SMALL(IF(Import1!$A$1:$I$201=$K$12,ROW(Import1!$A$1:$I$201)),ROW(8:8)),5))</f>
        <v/>
      </c>
      <c r="C31" s="224"/>
      <c r="D31" s="118"/>
      <c r="E31" s="80" t="s">
        <v>125</v>
      </c>
      <c r="F31" s="81"/>
      <c r="G31" s="13" t="str">
        <f>IF(ISNUMBER(G25),IF(ISNUMBER(G29),G29-G25,""),"")</f>
        <v/>
      </c>
      <c r="H31" s="122"/>
      <c r="I31" s="4"/>
      <c r="K31" t="e">
        <f t="shared" si="1"/>
        <v>#VALUE!</v>
      </c>
      <c r="L31" t="e">
        <f t="shared" si="2"/>
        <v>#VALUE!</v>
      </c>
      <c r="M31" t="str">
        <f t="shared" si="3"/>
        <v/>
      </c>
      <c r="N31" t="str">
        <f t="shared" si="4"/>
        <v/>
      </c>
      <c r="O31" t="e">
        <f t="shared" si="0"/>
        <v>#VALUE!</v>
      </c>
    </row>
    <row r="32" spans="1:16" x14ac:dyDescent="0.2">
      <c r="A32" s="222" t="str">
        <f t="array" ref="A32">IF(ISERROR(INDEX(Import1!$A$1:$I$201,SMALL(IF(Import1!$A$1:$I$201=$K$12,ROW(Import1!$A$1:$I$201)),ROW(9:9)),2)),"",INDEX(Import1!$A$1:$I$201,SMALL(IF(Import1!$A$1:$I$201=$K$12,ROW(Import1!$A$1:$I$201)),ROW(9:9)),2))</f>
        <v/>
      </c>
      <c r="B32" s="223" t="str">
        <f t="array" ref="B32">IF(ISERROR(INDEX(Import1!$A$1:$I$201,SMALL(IF(Import1!$A$1:$I$201=$K$12,ROW(Import1!$A$1:$I$201)),ROW(9:9)),5)),"",INDEX(Import1!$A$1:$I$201,SMALL(IF(Import1!$A$1:$I$201=$K$12,ROW(Import1!$A$1:$I$201)),ROW(9:9)),5))</f>
        <v/>
      </c>
      <c r="C32" s="224"/>
      <c r="D32" s="118"/>
      <c r="E32" s="12" t="s">
        <v>140</v>
      </c>
      <c r="F32" s="81"/>
      <c r="G32" s="13" t="str">
        <f>IF(ISNUMBER(G26),IF(ISNUMBER(G29),G29-G26,""),"")</f>
        <v/>
      </c>
      <c r="H32" s="122"/>
      <c r="I32" s="4"/>
      <c r="K32" t="e">
        <f t="shared" si="1"/>
        <v>#VALUE!</v>
      </c>
      <c r="L32" t="e">
        <f t="shared" si="2"/>
        <v>#VALUE!</v>
      </c>
      <c r="M32" t="str">
        <f t="shared" si="3"/>
        <v/>
      </c>
      <c r="N32" t="str">
        <f t="shared" si="4"/>
        <v/>
      </c>
      <c r="O32" t="e">
        <f t="shared" si="0"/>
        <v>#VALUE!</v>
      </c>
    </row>
    <row r="33" spans="1:15" x14ac:dyDescent="0.2">
      <c r="A33" s="222" t="str">
        <f t="array" ref="A33">IF(ISERROR(INDEX(Import1!$A$1:$I$201,SMALL(IF(Import1!$A$1:$I$201=$K$12,ROW(Import1!$A$1:$I$201)),ROW(10:10)),2)),"",INDEX(Import1!$A$1:$I$201,SMALL(IF(Import1!$A$1:$I$201=$K$12,ROW(Import1!$A$1:$I$201)),ROW(10:10)),2))</f>
        <v/>
      </c>
      <c r="B33" s="223" t="str">
        <f t="array" ref="B33">IF(ISERROR(INDEX(Import1!$A$1:$I$201,SMALL(IF(Import1!$A$1:$I$201=$K$12,ROW(Import1!$A$1:$I$201)),ROW(10:10)),5)),"",INDEX(Import1!$A$1:$I$201,SMALL(IF(Import1!$A$1:$I$201=$K$12,ROW(Import1!$A$1:$I$201)),ROW(10:10)),5))</f>
        <v/>
      </c>
      <c r="C33" s="224"/>
      <c r="D33" s="118"/>
      <c r="E33" s="80" t="s">
        <v>133</v>
      </c>
      <c r="F33" s="83"/>
      <c r="G33" s="22" t="str">
        <f>IF(ISNUMBER(G32),IF(G32&lt;=5,3,IF(G32&lt;=10,6,IF(G32&lt;=15,8,""))),"")</f>
        <v/>
      </c>
      <c r="H33" s="123"/>
      <c r="I33" s="4"/>
      <c r="K33" t="e">
        <f t="shared" si="1"/>
        <v>#VALUE!</v>
      </c>
      <c r="L33" t="e">
        <f t="shared" si="2"/>
        <v>#VALUE!</v>
      </c>
      <c r="M33" t="str">
        <f t="shared" si="3"/>
        <v/>
      </c>
      <c r="N33" t="str">
        <f t="shared" si="4"/>
        <v/>
      </c>
      <c r="O33" t="e">
        <f t="shared" si="0"/>
        <v>#VALUE!</v>
      </c>
    </row>
    <row r="34" spans="1:15" x14ac:dyDescent="0.2">
      <c r="A34" s="222" t="str">
        <f t="array" ref="A34">IF(ISERROR(INDEX(Import1!$A$1:$I$201,SMALL(IF(Import1!$A$1:$I$201=$K$12,ROW(Import1!$A$1:$I$201)),ROW(11:11)),2)),"",INDEX(Import1!$A$1:$I$201,SMALL(IF(Import1!$A$1:$I$201=$K$12,ROW(Import1!$A$1:$I$201)),ROW(11:11)),2))</f>
        <v/>
      </c>
      <c r="B34" s="223" t="str">
        <f t="array" ref="B34">IF(ISERROR(INDEX(Import1!$A$1:$I$201,SMALL(IF(Import1!$A$1:$I$201=$K$12,ROW(Import1!$A$1:$I$201)),ROW(11:11)),5)),"",INDEX(Import1!$A$1:$I$201,SMALL(IF(Import1!$A$1:$I$201=$K$12,ROW(Import1!$A$1:$I$201)),ROW(11:11)),5))</f>
        <v/>
      </c>
      <c r="C34" s="224"/>
      <c r="D34" s="118"/>
      <c r="E34" s="360" t="str">
        <f>IF(ISNUMBER(G32),IF(G32&gt;15,"Fill Height Exceeds 638 Standard!",""),"")</f>
        <v/>
      </c>
      <c r="F34" s="360"/>
      <c r="G34" s="360"/>
      <c r="H34" s="122"/>
      <c r="I34" s="4"/>
      <c r="K34" t="e">
        <f t="shared" si="1"/>
        <v>#VALUE!</v>
      </c>
      <c r="L34" t="e">
        <f t="shared" si="2"/>
        <v>#VALUE!</v>
      </c>
      <c r="M34" t="str">
        <f t="shared" si="3"/>
        <v/>
      </c>
      <c r="N34" t="str">
        <f t="shared" si="4"/>
        <v/>
      </c>
      <c r="O34" t="e">
        <f t="shared" si="0"/>
        <v>#VALUE!</v>
      </c>
    </row>
    <row r="35" spans="1:15" x14ac:dyDescent="0.2">
      <c r="A35" s="222" t="str">
        <f t="array" ref="A35">IF(ISERROR(INDEX(Import1!$A$1:$I$201,SMALL(IF(Import1!$A$1:$I$201=$K$12,ROW(Import1!$A$1:$I$201)),ROW(12:12)),2)),"",INDEX(Import1!$A$1:$I$201,SMALL(IF(Import1!$A$1:$I$201=$K$12,ROW(Import1!$A$1:$I$201)),ROW(12:12)),2))</f>
        <v/>
      </c>
      <c r="B35" s="223" t="str">
        <f t="array" ref="B35">IF(ISERROR(INDEX(Import1!$A$1:$I$201,SMALL(IF(Import1!$A$1:$I$201=$K$12,ROW(Import1!$A$1:$I$201)),ROW(12:12)),5)),"",INDEX(Import1!$A$1:$I$201,SMALL(IF(Import1!$A$1:$I$201=$K$12,ROW(Import1!$A$1:$I$201)),ROW(12:12)),5))</f>
        <v/>
      </c>
      <c r="C35" s="224"/>
      <c r="D35" s="118"/>
      <c r="E35" s="80" t="s">
        <v>134</v>
      </c>
      <c r="F35" s="81"/>
      <c r="G35" s="85" t="str">
        <f>IF(ISTEXT(Position),IF(Position=Defaults!L34,0,IF(Position=Defaults!L32,Defaults!M32,IF(Position=Defaults!L33,Defaults!M33,""))),"")</f>
        <v/>
      </c>
      <c r="H35" s="122"/>
      <c r="I35" s="4"/>
      <c r="K35" t="e">
        <f t="shared" si="1"/>
        <v>#VALUE!</v>
      </c>
      <c r="L35" t="e">
        <f t="shared" si="2"/>
        <v>#VALUE!</v>
      </c>
      <c r="M35" t="str">
        <f t="shared" si="3"/>
        <v/>
      </c>
      <c r="N35" t="str">
        <f t="shared" si="4"/>
        <v/>
      </c>
      <c r="O35" t="e">
        <f t="shared" si="0"/>
        <v>#VALUE!</v>
      </c>
    </row>
    <row r="36" spans="1:15" x14ac:dyDescent="0.2">
      <c r="A36" s="222" t="str">
        <f t="array" ref="A36">IF(ISERROR(INDEX(Import1!$A$1:$I$201,SMALL(IF(Import1!$A$1:$I$201=$K$12,ROW(Import1!$A$1:$I$201)),ROW(13:13)),2)),"",INDEX(Import1!$A$1:$I$201,SMALL(IF(Import1!$A$1:$I$201=$K$12,ROW(Import1!$A$1:$I$201)),ROW(13:13)),2))</f>
        <v/>
      </c>
      <c r="B36" s="223" t="str">
        <f t="array" ref="B36">IF(ISERROR(INDEX(Import1!$A$1:$I$201,SMALL(IF(Import1!$A$1:$I$201=$K$12,ROW(Import1!$A$1:$I$201)),ROW(13:13)),5)),"",INDEX(Import1!$A$1:$I$201,SMALL(IF(Import1!$A$1:$I$201=$K$12,ROW(Import1!$A$1:$I$201)),ROW(13:13)),5))</f>
        <v/>
      </c>
      <c r="C36" s="224"/>
      <c r="D36" s="118"/>
      <c r="E36" s="366"/>
      <c r="F36" s="366"/>
      <c r="G36" s="366"/>
      <c r="H36" s="122"/>
      <c r="I36" s="4"/>
      <c r="K36" t="e">
        <f t="shared" si="1"/>
        <v>#VALUE!</v>
      </c>
      <c r="L36" t="e">
        <f t="shared" si="2"/>
        <v>#VALUE!</v>
      </c>
      <c r="M36" t="str">
        <f t="shared" si="3"/>
        <v/>
      </c>
      <c r="N36" t="str">
        <f t="shared" si="4"/>
        <v/>
      </c>
      <c r="O36" t="e">
        <f t="shared" si="0"/>
        <v>#VALUE!</v>
      </c>
    </row>
    <row r="37" spans="1:15" x14ac:dyDescent="0.2">
      <c r="A37" s="222" t="str">
        <f t="array" ref="A37">IF(ISERROR(INDEX(Import1!$A$1:$I$201,SMALL(IF(Import1!$A$1:$I$201=$K$12,ROW(Import1!$A$1:$I$201)),ROW(14:14)),2)),"",INDEX(Import1!$A$1:$I$201,SMALL(IF(Import1!$A$1:$I$201=$K$12,ROW(Import1!$A$1:$I$201)),ROW(14:14)),2))</f>
        <v/>
      </c>
      <c r="B37" s="223" t="str">
        <f t="array" ref="B37">IF(ISERROR(INDEX(Import1!$A$1:$I$201,SMALL(IF(Import1!$A$1:$I$201=$K$12,ROW(Import1!$A$1:$I$201)),ROW(14:14)),5)),"",INDEX(Import1!$A$1:$I$201,SMALL(IF(Import1!$A$1:$I$201=$K$12,ROW(Import1!$A$1:$I$201)),ROW(14:14)),5))</f>
        <v/>
      </c>
      <c r="C37" s="224"/>
      <c r="D37" s="118"/>
      <c r="E37" s="80" t="s">
        <v>135</v>
      </c>
      <c r="F37" s="84"/>
      <c r="G37" s="175" t="str">
        <f>IF(Position=Defaults!L24,"No Orifice",IF(AND(ISNUMBER(G35),ISNUMBER(C18),ISNUMBER(G16),ISNUMBER(G29))=TRUE,(4*144/PI()*G16/3600/C18/0.6/(64.4*(0.7*G31+G35))^0.5)^0.5,""))</f>
        <v/>
      </c>
      <c r="H37" s="124"/>
      <c r="I37" s="4"/>
      <c r="K37" t="e">
        <f t="shared" si="1"/>
        <v>#VALUE!</v>
      </c>
      <c r="L37" t="e">
        <f t="shared" si="2"/>
        <v>#VALUE!</v>
      </c>
      <c r="M37" t="str">
        <f t="shared" si="3"/>
        <v/>
      </c>
      <c r="N37" t="str">
        <f t="shared" si="4"/>
        <v/>
      </c>
      <c r="O37" t="e">
        <f t="shared" si="0"/>
        <v>#VALUE!</v>
      </c>
    </row>
    <row r="38" spans="1:15" x14ac:dyDescent="0.2">
      <c r="A38" s="222" t="str">
        <f t="array" ref="A38">IF(ISERROR(INDEX(Import1!$A$1:$I$201,SMALL(IF(Import1!$A$1:$I$201=$K$12,ROW(Import1!$A$1:$I$201)),ROW(15:15)),2)),"",INDEX(Import1!$A$1:$I$201,SMALL(IF(Import1!$A$1:$I$201=$K$12,ROW(Import1!$A$1:$I$201)),ROW(15:15)),2))</f>
        <v/>
      </c>
      <c r="B38" s="223" t="str">
        <f t="array" ref="B38">IF(ISERROR(INDEX(Import1!$A$1:$I$201,SMALL(IF(Import1!$A$1:$I$201=$K$12,ROW(Import1!$A$1:$I$201)),ROW(15:15)),5)),"",INDEX(Import1!$A$1:$I$201,SMALL(IF(Import1!$A$1:$I$201=$K$12,ROW(Import1!$A$1:$I$201)),ROW(15:15)),5))</f>
        <v/>
      </c>
      <c r="C38" s="224"/>
      <c r="D38" s="118"/>
      <c r="E38" s="364" t="str">
        <f>IF(Position=Defaults!L24,"Use Riser? (Yes or No)","Design Orifice Dia. (in.)")</f>
        <v>Design Orifice Dia. (in.)</v>
      </c>
      <c r="F38" s="365"/>
      <c r="G38" s="176"/>
      <c r="H38" s="4"/>
      <c r="I38" s="4"/>
      <c r="K38" t="e">
        <f t="shared" si="1"/>
        <v>#VALUE!</v>
      </c>
      <c r="L38" t="e">
        <f t="shared" si="2"/>
        <v>#VALUE!</v>
      </c>
      <c r="M38" t="str">
        <f t="shared" si="3"/>
        <v/>
      </c>
      <c r="N38" t="str">
        <f t="shared" si="4"/>
        <v/>
      </c>
      <c r="O38" t="e">
        <f t="shared" si="0"/>
        <v>#VALUE!</v>
      </c>
    </row>
    <row r="39" spans="1:15" x14ac:dyDescent="0.2">
      <c r="A39" s="222" t="str">
        <f t="array" ref="A39">IF(ISERROR(INDEX(Import1!$A$1:$I$201,SMALL(IF(Import1!$A$1:$I$201=$K$12,ROW(Import1!$A$1:$I$201)),ROW(16:16)),2)),"",INDEX(Import1!$A$1:$I$201,SMALL(IF(Import1!$A$1:$I$201=$K$12,ROW(Import1!$A$1:$I$201)),ROW(16:16)),2))</f>
        <v/>
      </c>
      <c r="B39" s="223" t="str">
        <f t="array" ref="B39">IF(ISERROR(INDEX(Import1!$A$1:$I$201,SMALL(IF(Import1!$A$1:$I$201=$K$12,ROW(Import1!$A$1:$I$201)),ROW(16:16)),5)),"",INDEX(Import1!$A$1:$I$201,SMALL(IF(Import1!$A$1:$I$201=$K$12,ROW(Import1!$A$1:$I$201)),ROW(16:16)),5))</f>
        <v/>
      </c>
      <c r="C39" s="224"/>
      <c r="D39" s="118"/>
      <c r="E39" s="367"/>
      <c r="F39" s="367"/>
      <c r="G39" s="367"/>
      <c r="H39" s="4"/>
      <c r="I39" s="4"/>
      <c r="K39" t="e">
        <f t="shared" si="1"/>
        <v>#VALUE!</v>
      </c>
      <c r="L39" t="e">
        <f t="shared" si="2"/>
        <v>#VALUE!</v>
      </c>
      <c r="M39" t="str">
        <f t="shared" si="3"/>
        <v/>
      </c>
      <c r="N39" t="str">
        <f t="shared" si="4"/>
        <v/>
      </c>
      <c r="O39" t="e">
        <f t="shared" si="0"/>
        <v>#VALUE!</v>
      </c>
    </row>
    <row r="40" spans="1:15" x14ac:dyDescent="0.2">
      <c r="A40" s="222" t="str">
        <f t="array" ref="A40">IF(ISERROR(INDEX(Import1!$A$1:$I$201,SMALL(IF(Import1!$A$1:$I$201=$K$12,ROW(Import1!$A$1:$I$201)),ROW(17:17)),2)),"",INDEX(Import1!$A$1:$I$201,SMALL(IF(Import1!$A$1:$I$201=$K$12,ROW(Import1!$A$1:$I$201)),ROW(17:17)),2))</f>
        <v/>
      </c>
      <c r="B40" s="223" t="str">
        <f t="array" ref="B40">IF(ISERROR(INDEX(Import1!$A$1:$I$201,SMALL(IF(Import1!$A$1:$I$201=$K$12,ROW(Import1!$A$1:$I$201)),ROW(17:17)),5)),"",INDEX(Import1!$A$1:$I$201,SMALL(IF(Import1!$A$1:$I$201=$K$12,ROW(Import1!$A$1:$I$201)),ROW(17:17)),5))</f>
        <v/>
      </c>
      <c r="C40" s="224"/>
      <c r="D40" s="118"/>
      <c r="E40" s="80" t="s">
        <v>136</v>
      </c>
      <c r="F40" s="84"/>
      <c r="G40" s="87" t="str">
        <f>IF(Position=Defaults!L24,G16/C18/3600,IF(ISNUMBER(G38),0.6*PI()*G38^2/576*(64.4*(0.7*G31+G35))^0.5,""))</f>
        <v/>
      </c>
      <c r="H40" s="4"/>
      <c r="I40" s="4"/>
      <c r="K40" t="e">
        <f t="shared" si="1"/>
        <v>#VALUE!</v>
      </c>
      <c r="L40" t="e">
        <f t="shared" si="2"/>
        <v>#VALUE!</v>
      </c>
      <c r="M40" t="str">
        <f t="shared" si="3"/>
        <v/>
      </c>
      <c r="N40" t="str">
        <f t="shared" si="4"/>
        <v/>
      </c>
      <c r="O40" t="e">
        <f t="shared" si="0"/>
        <v>#VALUE!</v>
      </c>
    </row>
    <row r="41" spans="1:15" x14ac:dyDescent="0.2">
      <c r="A41" s="222" t="str">
        <f t="array" ref="A41">IF(ISERROR(INDEX(Import1!$A$1:$I$201,SMALL(IF(Import1!$A$1:$I$201=$K$12,ROW(Import1!$A$1:$I$201)),ROW(18:18)),2)),"",INDEX(Import1!$A$1:$I$201,SMALL(IF(Import1!$A$1:$I$201=$K$12,ROW(Import1!$A$1:$I$201)),ROW(18:18)),2))</f>
        <v/>
      </c>
      <c r="B41" s="223" t="str">
        <f t="array" ref="B41">IF(ISERROR(INDEX(Import1!$A$1:$I$201,SMALL(IF(Import1!$A$1:$I$201=$K$12,ROW(Import1!$A$1:$I$201)),ROW(18:18)),5)),"",INDEX(Import1!$A$1:$I$201,SMALL(IF(Import1!$A$1:$I$201=$K$12,ROW(Import1!$A$1:$I$201)),ROW(18:18)),5))</f>
        <v/>
      </c>
      <c r="C41" s="224"/>
      <c r="D41" s="4"/>
      <c r="E41" s="80" t="s">
        <v>137</v>
      </c>
      <c r="F41" s="84"/>
      <c r="G41" s="86" t="str">
        <f>IF(ISNUMBER(G45),IF(Position=Defaults!L24,IF(G38="YES",K49,IF(G38="NO",K50,K49)),IF(ISNUMBER(G38),0.6*PI()*G38^2/576*(64.4*(G31+G35))^0.5,"")),"")</f>
        <v/>
      </c>
      <c r="H41" s="4"/>
      <c r="I41" s="4"/>
      <c r="K41" t="e">
        <f t="shared" si="1"/>
        <v>#VALUE!</v>
      </c>
      <c r="L41" t="e">
        <f t="shared" si="2"/>
        <v>#VALUE!</v>
      </c>
      <c r="M41" t="str">
        <f t="shared" si="3"/>
        <v/>
      </c>
      <c r="N41" t="str">
        <f t="shared" si="4"/>
        <v/>
      </c>
      <c r="O41" t="e">
        <f t="shared" si="0"/>
        <v>#VALUE!</v>
      </c>
    </row>
    <row r="42" spans="1:15" x14ac:dyDescent="0.2">
      <c r="A42" s="222" t="str">
        <f t="array" ref="A42">IF(ISERROR(INDEX(Import1!$A$1:$I$201,SMALL(IF(Import1!$A$1:$I$201=$K$12,ROW(Import1!$A$1:$I$201)),ROW(19:19)),2)),"",INDEX(Import1!$A$1:$I$201,SMALL(IF(Import1!$A$1:$I$201=$K$12,ROW(Import1!$A$1:$I$201)),ROW(19:19)),2))</f>
        <v/>
      </c>
      <c r="B42" s="223" t="str">
        <f t="array" ref="B42">IF(ISERROR(INDEX(Import1!$A$1:$I$201,SMALL(IF(Import1!$A$1:$I$201=$K$12,ROW(Import1!$A$1:$I$201)),ROW(19:19)),5)),"",INDEX(Import1!$A$1:$I$201,SMALL(IF(Import1!$A$1:$I$201=$K$12,ROW(Import1!$A$1:$I$201)),ROW(19:19)),5))</f>
        <v/>
      </c>
      <c r="C42" s="224"/>
      <c r="D42" s="4"/>
      <c r="E42" s="368"/>
      <c r="F42" s="368"/>
      <c r="G42" s="368"/>
      <c r="H42" s="4"/>
      <c r="I42" s="4"/>
      <c r="K42" t="e">
        <f t="shared" si="1"/>
        <v>#VALUE!</v>
      </c>
      <c r="L42" t="e">
        <f t="shared" si="2"/>
        <v>#VALUE!</v>
      </c>
      <c r="M42" t="str">
        <f t="shared" si="3"/>
        <v/>
      </c>
      <c r="N42" t="str">
        <f t="shared" si="4"/>
        <v/>
      </c>
      <c r="O42" t="e">
        <f t="shared" si="0"/>
        <v>#VALUE!</v>
      </c>
    </row>
    <row r="43" spans="1:15" x14ac:dyDescent="0.2">
      <c r="A43" s="222" t="str">
        <f t="array" ref="A43">IF(ISERROR(INDEX(Import1!$A$1:$I$201,SMALL(IF(Import1!$A$1:$I$201=$K$12,ROW(Import1!$A$1:$I$201)),ROW(20:20)),2)),"",INDEX(Import1!$A$1:$I$201,SMALL(IF(Import1!$A$1:$I$201=$K$12,ROW(Import1!$A$1:$I$201)),ROW(20:20)),2))</f>
        <v/>
      </c>
      <c r="B43" s="223" t="str">
        <f t="array" ref="B43">IF(ISERROR(INDEX(Import1!$A$1:$I$201,SMALL(IF(Import1!$A$1:$I$201=$K$12,ROW(Import1!$A$1:$I$201)),ROW(20:20)),5)),"",INDEX(Import1!$A$1:$I$201,SMALL(IF(Import1!$A$1:$I$201=$K$12,ROW(Import1!$A$1:$I$201)),ROW(20:20)),5))</f>
        <v/>
      </c>
      <c r="C43" s="224"/>
      <c r="D43" s="5"/>
      <c r="E43" s="80" t="s">
        <v>138</v>
      </c>
      <c r="F43" s="84"/>
      <c r="G43" s="22" t="str">
        <f>IF(Position=Defaults!L24,IF(ISNUMBER(G40),G16/3600/G40,""),IF(ISNUMBER(G40),G16/3600/G40,""))</f>
        <v/>
      </c>
      <c r="H43" s="4"/>
      <c r="I43" s="4"/>
      <c r="K43" t="e">
        <f t="shared" si="1"/>
        <v>#VALUE!</v>
      </c>
      <c r="L43" t="e">
        <f t="shared" si="2"/>
        <v>#VALUE!</v>
      </c>
      <c r="M43" t="str">
        <f t="shared" si="3"/>
        <v/>
      </c>
      <c r="N43" t="str">
        <f t="shared" si="4"/>
        <v/>
      </c>
      <c r="O43" t="e">
        <f t="shared" si="0"/>
        <v>#VALUE!</v>
      </c>
    </row>
    <row r="44" spans="1:15" x14ac:dyDescent="0.2">
      <c r="A44" s="222" t="str">
        <f t="array" ref="A44">IF(ISERROR(INDEX(Import1!$A$1:$I$201,SMALL(IF(Import1!$A$1:$I$201=$K$12,ROW(Import1!$A$1:$I$201)),ROW(21:21)),2)),"",INDEX(Import1!$A$1:$I$201,SMALL(IF(Import1!$A$1:$I$201=$K$12,ROW(Import1!$A$1:$I$201)),ROW(21:21)),2))</f>
        <v/>
      </c>
      <c r="B44" s="223" t="str">
        <f t="array" ref="B44">IF(ISERROR(INDEX(Import1!$A$1:$I$201,SMALL(IF(Import1!$A$1:$I$201=$K$12,ROW(Import1!$A$1:$I$201)),ROW(21:21)),5)),"",INDEX(Import1!$A$1:$I$201,SMALL(IF(Import1!$A$1:$I$201=$K$12,ROW(Import1!$A$1:$I$201)),ROW(21:21)),5))</f>
        <v/>
      </c>
      <c r="C44" s="224"/>
      <c r="D44" s="4"/>
      <c r="E44" s="368"/>
      <c r="F44" s="368"/>
      <c r="G44" s="368"/>
      <c r="H44" s="4"/>
      <c r="I44" s="4"/>
      <c r="K44" t="e">
        <f t="shared" si="1"/>
        <v>#VALUE!</v>
      </c>
      <c r="L44" t="e">
        <f t="shared" si="2"/>
        <v>#VALUE!</v>
      </c>
      <c r="M44" t="str">
        <f t="shared" si="3"/>
        <v/>
      </c>
      <c r="N44" t="str">
        <f t="shared" si="4"/>
        <v/>
      </c>
      <c r="O44" t="e">
        <f t="shared" si="0"/>
        <v>#VALUE!</v>
      </c>
    </row>
    <row r="45" spans="1:15" x14ac:dyDescent="0.2">
      <c r="A45" s="222" t="str">
        <f t="array" ref="A45">IF(ISERROR(INDEX(Import1!$A$1:$I$201,SMALL(IF(Import1!$A$1:$I$201=$K$12,ROW(Import1!$A$1:$I$201)),ROW(22:22)),2)),"",INDEX(Import1!$A$1:$I$201,SMALL(IF(Import1!$A$1:$I$201=$K$12,ROW(Import1!$A$1:$I$201)),ROW(22:22)),2))</f>
        <v/>
      </c>
      <c r="B45" s="223" t="str">
        <f t="array" ref="B45">IF(ISERROR(INDEX(Import1!$A$1:$I$201,SMALL(IF(Import1!$A$1:$I$201=$K$12,ROW(Import1!$A$1:$I$201)),ROW(22:22)),5)),"",INDEX(Import1!$A$1:$I$201,SMALL(IF(Import1!$A$1:$I$201=$K$12,ROW(Import1!$A$1:$I$201)),ROW(22:22)),5))</f>
        <v/>
      </c>
      <c r="C45" s="224"/>
      <c r="D45" s="122"/>
      <c r="E45" s="80" t="s">
        <v>139</v>
      </c>
      <c r="F45" s="27"/>
      <c r="G45" s="88" t="str">
        <f>IF(Position=Defaults!L24,IF(G38="YES",K47,IF(G38="NO",K48,K47)),K46)</f>
        <v/>
      </c>
      <c r="H45" s="4"/>
      <c r="I45" s="4"/>
      <c r="K45" t="e">
        <f t="shared" si="1"/>
        <v>#VALUE!</v>
      </c>
      <c r="L45" t="e">
        <f t="shared" si="2"/>
        <v>#VALUE!</v>
      </c>
      <c r="M45" t="str">
        <f t="shared" si="3"/>
        <v/>
      </c>
      <c r="N45" t="str">
        <f t="shared" si="4"/>
        <v/>
      </c>
      <c r="O45" t="e">
        <f t="shared" si="0"/>
        <v>#VALUE!</v>
      </c>
    </row>
    <row r="46" spans="1:15" x14ac:dyDescent="0.2">
      <c r="A46" s="125"/>
      <c r="B46" s="125"/>
      <c r="C46" s="125"/>
      <c r="D46" s="125"/>
      <c r="E46" s="5"/>
      <c r="F46" s="5"/>
      <c r="G46" s="125"/>
      <c r="H46" s="5"/>
      <c r="I46" s="5"/>
      <c r="K46" t="str">
        <f>IF(ISNUMBER(G38),IF(IF((IF(G38&lt;=3.5,6,IF(G38&lt;=5.5,8,IF(G38&lt;=6,10,12))))=6,0.37*(MIN(3,G31))^1.5042,IF((IF(G38&lt;=3.5,6,IF(G38&lt;=5.5,8,IF(G38&lt;=6,10,12))))=8,0.5208*(MIN(3.33,G31))^1.5003,IF((IF(G38&lt;=3.5,6,IF(G38&lt;=5.5,8,IF(G38&lt;=6,10,12))))=10,0.8386*(MIN(3.33,G31))^1.4969,1.0444*(MIN(3.5,G31))^1.5004)))&gt;=G40,(IF(G38&lt;=3.5,6,IF(G38&lt;=5.5,8,IF(G38&lt;=6,10,12)))),IF(IF((IF(G38&lt;=3.5,6,IF(G38&lt;=5.5,8,IF(G38&lt;=6,10,12))))+2=8,0.5208*(MIN(3.33,G31))^1.5003,IF((IF(G38&lt;=3.5,6,IF(G38&lt;=5.5,8,IF(G38&lt;=6,10,12))))+2=10,0.8386*(MIN(3.33,G31))^1.4969,1.0444*(MIN(3.5,G31))^1.5004))&gt;=G40,(IF(G38&lt;=3.5,8,IF(G38&lt;=5.5,10,IF(G38&lt;=6,12,"----------------")))),IF(IF((IF(G38&lt;=3.5,6,IF(G38&lt;=5.5,8,IF(G38&lt;=6,10,12))))+4=10,0.8386*(MIN(3.33,G31))^1.4969,1.0444*(MIN(3.5,G31))^1.5004)&gt;=G40,(IF(G38&lt;=3.5,10,IF(G38&lt;=5.5,12,"----------------"))),"----------------"))),"")</f>
        <v/>
      </c>
    </row>
    <row r="47" spans="1:15" x14ac:dyDescent="0.2">
      <c r="A47" s="125"/>
      <c r="B47" s="125"/>
      <c r="C47" s="125"/>
      <c r="D47" s="125"/>
      <c r="E47" s="125"/>
      <c r="F47" s="125"/>
      <c r="G47" s="125"/>
      <c r="H47" s="125"/>
      <c r="I47" s="125"/>
      <c r="K47" t="str">
        <f>IF(0.37*(MIN(3,G31))^1.5042&gt;=G40,6,IF(0.5208*(MIN(3,G31))^1.5003&gt;=G40,8,IF(0.6695*(MIN(3,G31))^1.5004&gt;=G40,10,IF(1.0444*(MIN(3,G31))^1.5004&gt;=G40,12,"----------------"))))</f>
        <v>----------------</v>
      </c>
    </row>
    <row r="48" spans="1:15" ht="16.5" customHeight="1" x14ac:dyDescent="0.2">
      <c r="A48" s="122"/>
      <c r="B48" s="122"/>
      <c r="C48" s="122"/>
      <c r="D48" s="122"/>
      <c r="E48" s="122"/>
      <c r="F48" s="122"/>
      <c r="G48" s="122"/>
      <c r="H48" s="122"/>
      <c r="I48" s="122"/>
      <c r="K48" t="e">
        <f>IF(0.6*PI()*6^2/576*(64.4*0.7*G31)^0.5&gt;=G40,6,IF(0.6*PI()*8^2/576*(64.4*0.7*G31)^0.5&gt;=G40,8,IF(0.6*PI()*10^2/576*(64.4*0.7*G31)^0.5&gt;=G40,10,IF(0.6*PI()*12^2/576*(64.4*0.7*G31)^0.5&gt;=G40,12,"----------------"))))</f>
        <v>#VALUE!</v>
      </c>
    </row>
    <row r="49" spans="1:12" x14ac:dyDescent="0.2">
      <c r="A49" s="122"/>
      <c r="B49" s="122"/>
      <c r="C49" s="122"/>
      <c r="D49" s="122"/>
      <c r="E49" s="122"/>
      <c r="F49" s="122"/>
      <c r="G49" s="122"/>
      <c r="H49" s="122"/>
      <c r="I49" s="122"/>
      <c r="J49" s="4"/>
      <c r="K49" s="4" t="str">
        <f>IF(G45=6,IF(0.37*(MIN(3,G31))^1.5042&lt;=0.6*PI()*G45^2/576*(64.4*G31)^0.5,0.37*(MIN(3,G31))^1.5042,0.6*PI()*G45^2/576*(64.4*G31)^0.5),IF(G45=8,IF(0.5208*(MIN(3,G31))^1.5003&lt;=0.6*PI()*G45^2/576*(64.4*G31)^0.5,0.5208*(MIN(3,G31))^1.5003,0.6*PI()*G45^2/576*(64.4*G31)^0.5),IF(G45=10,IF(0.6695*(MIN(3,G31))^1.5004&lt;=0.6*PI()*G45^2/576*(64.4*G31)^0.5,0.6695*(MIN(3,G31))^1.5004,0.6*PI()*G45^2/576*(64.4*G31)^0.5),IF(G45=12,IF(1.0444*(MIN(3,G31))^1.5004&lt;=0.6*PI()*G45^2/576*(64.4*G31)^0.5,1.0444*(MIN(3,G31))^1.5004),"Too Large"))))</f>
        <v>Too Large</v>
      </c>
      <c r="L49" s="4"/>
    </row>
    <row r="50" spans="1:12" x14ac:dyDescent="0.2">
      <c r="A50" s="122"/>
      <c r="B50" s="122"/>
      <c r="C50" s="122"/>
      <c r="D50" s="122"/>
      <c r="E50" s="122"/>
      <c r="F50" s="122"/>
      <c r="G50" s="122"/>
      <c r="H50" s="122"/>
      <c r="I50" s="122"/>
      <c r="J50" s="4"/>
      <c r="K50" s="4" t="e">
        <f>0.6*PI()*G45^2/576*(64.4*G31)^0.5</f>
        <v>#VALUE!</v>
      </c>
      <c r="L50" s="4"/>
    </row>
    <row r="51" spans="1:12" x14ac:dyDescent="0.2">
      <c r="A51" s="122"/>
      <c r="B51" s="122"/>
      <c r="C51" s="122"/>
      <c r="D51" s="122"/>
      <c r="E51" s="122"/>
      <c r="F51" s="122"/>
      <c r="G51" s="122"/>
      <c r="H51" s="122"/>
      <c r="I51" s="122"/>
      <c r="J51" s="4"/>
      <c r="K51" s="4"/>
      <c r="L51" s="4"/>
    </row>
    <row r="52" spans="1:12" x14ac:dyDescent="0.2">
      <c r="A52" s="122"/>
      <c r="B52" s="122"/>
      <c r="C52" s="122"/>
      <c r="D52" s="122"/>
      <c r="E52" s="122"/>
      <c r="F52" s="122"/>
      <c r="G52" s="122"/>
      <c r="H52" s="122"/>
      <c r="I52" s="122"/>
      <c r="K52" s="4"/>
      <c r="L52" s="4"/>
    </row>
    <row r="53" spans="1:12" x14ac:dyDescent="0.2">
      <c r="A53" s="122"/>
      <c r="B53" s="122"/>
      <c r="C53" s="122"/>
      <c r="D53" s="122"/>
      <c r="E53" s="122"/>
      <c r="F53" s="122"/>
      <c r="G53" s="122"/>
      <c r="H53" s="122"/>
      <c r="I53" s="122"/>
      <c r="J53" s="4"/>
      <c r="K53" s="4"/>
      <c r="L53" s="4"/>
    </row>
    <row r="54" spans="1:12" x14ac:dyDescent="0.2">
      <c r="A54" s="122"/>
      <c r="B54" s="122"/>
      <c r="C54" s="122"/>
      <c r="D54" s="122"/>
      <c r="E54" s="122"/>
      <c r="F54" s="122"/>
      <c r="G54" s="122"/>
      <c r="H54" s="122"/>
      <c r="I54" s="122"/>
    </row>
    <row r="55" spans="1:12" x14ac:dyDescent="0.2">
      <c r="A55" s="130"/>
      <c r="B55" s="4"/>
      <c r="C55" s="4"/>
      <c r="D55" s="4"/>
      <c r="E55" s="4"/>
      <c r="F55" s="122"/>
      <c r="G55" s="122"/>
      <c r="H55" s="122"/>
      <c r="I55" s="122"/>
    </row>
    <row r="56" spans="1:12" x14ac:dyDescent="0.2">
      <c r="A56" s="4"/>
      <c r="B56" s="4"/>
      <c r="C56" s="4"/>
      <c r="D56" s="4"/>
      <c r="E56" s="5"/>
      <c r="F56" s="122"/>
      <c r="G56" s="122"/>
      <c r="H56" s="122"/>
      <c r="I56" s="122"/>
    </row>
    <row r="57" spans="1:12" x14ac:dyDescent="0.2">
      <c r="A57" s="111"/>
      <c r="B57" s="111"/>
      <c r="C57" s="118"/>
      <c r="D57" s="5"/>
      <c r="E57" s="5"/>
      <c r="F57" s="122"/>
      <c r="G57" s="122"/>
      <c r="H57" s="122"/>
      <c r="I57" s="122"/>
    </row>
    <row r="58" spans="1:12" x14ac:dyDescent="0.2">
      <c r="A58" s="112"/>
      <c r="B58" s="5"/>
      <c r="C58" s="113"/>
      <c r="D58" s="110"/>
      <c r="E58" s="5"/>
      <c r="F58" s="122"/>
      <c r="G58" s="122"/>
      <c r="H58" s="122"/>
      <c r="I58" s="122"/>
    </row>
    <row r="59" spans="1:12" x14ac:dyDescent="0.2">
      <c r="A59" s="112"/>
      <c r="B59" s="5"/>
      <c r="C59" s="5"/>
      <c r="D59" s="110"/>
      <c r="E59" s="5"/>
      <c r="F59" s="122"/>
      <c r="G59" s="122"/>
      <c r="H59" s="122"/>
      <c r="I59" s="122"/>
    </row>
    <row r="60" spans="1:12" x14ac:dyDescent="0.2">
      <c r="A60" s="111"/>
      <c r="B60" s="111"/>
      <c r="C60" s="111"/>
      <c r="D60" s="99"/>
      <c r="E60" s="5"/>
      <c r="F60" s="122"/>
      <c r="G60" s="122"/>
      <c r="H60" s="122"/>
      <c r="I60" s="122"/>
    </row>
    <row r="61" spans="1:12" x14ac:dyDescent="0.2">
      <c r="A61" s="114"/>
      <c r="B61" s="5"/>
      <c r="C61" s="5"/>
      <c r="D61" s="99"/>
      <c r="E61" s="5"/>
      <c r="F61" s="122"/>
      <c r="G61" s="122"/>
      <c r="H61" s="122"/>
      <c r="I61" s="122"/>
    </row>
    <row r="62" spans="1:12" x14ac:dyDescent="0.2">
      <c r="A62" s="111"/>
      <c r="B62" s="111"/>
      <c r="C62" s="111"/>
      <c r="D62" s="115"/>
      <c r="E62" s="4"/>
      <c r="F62" s="122"/>
      <c r="G62" s="122"/>
      <c r="H62" s="122"/>
      <c r="I62" s="122"/>
    </row>
    <row r="63" spans="1:12" x14ac:dyDescent="0.2">
      <c r="A63" s="5"/>
      <c r="B63" s="5"/>
      <c r="C63" s="5"/>
      <c r="D63" s="5"/>
      <c r="E63" s="4"/>
      <c r="F63" s="122"/>
      <c r="G63" s="122"/>
      <c r="H63" s="122"/>
      <c r="I63" s="122"/>
    </row>
    <row r="64" spans="1:12" x14ac:dyDescent="0.2">
      <c r="A64" s="112"/>
      <c r="B64" s="5"/>
      <c r="C64" s="110"/>
      <c r="D64" s="5"/>
      <c r="E64" s="4"/>
      <c r="F64" s="122"/>
      <c r="G64" s="122"/>
      <c r="H64" s="122"/>
      <c r="I64" s="122"/>
    </row>
    <row r="65" spans="1:9" x14ac:dyDescent="0.2">
      <c r="A65" s="112"/>
      <c r="B65" s="5"/>
      <c r="C65" s="116"/>
      <c r="D65" s="5"/>
      <c r="E65" s="4"/>
      <c r="F65" s="122"/>
      <c r="G65" s="122"/>
      <c r="H65" s="122"/>
      <c r="I65" s="122"/>
    </row>
    <row r="66" spans="1:9" x14ac:dyDescent="0.2">
      <c r="A66" s="112"/>
      <c r="B66" s="5"/>
      <c r="C66" s="110"/>
      <c r="D66" s="5"/>
      <c r="E66" s="5"/>
      <c r="F66" s="122"/>
      <c r="G66" s="122"/>
      <c r="H66" s="122"/>
      <c r="I66" s="122"/>
    </row>
    <row r="67" spans="1:9" x14ac:dyDescent="0.2">
      <c r="A67" s="112"/>
      <c r="B67" s="5"/>
      <c r="C67" s="116"/>
      <c r="D67" s="5"/>
      <c r="E67" s="4"/>
      <c r="F67" s="122"/>
      <c r="G67" s="122"/>
      <c r="H67" s="122"/>
      <c r="I67" s="122"/>
    </row>
    <row r="68" spans="1:9" x14ac:dyDescent="0.2">
      <c r="A68" s="117"/>
      <c r="B68" s="117"/>
      <c r="C68" s="99"/>
      <c r="D68" s="5"/>
      <c r="E68" s="122"/>
      <c r="F68" s="122"/>
      <c r="G68" s="122"/>
      <c r="H68" s="122"/>
      <c r="I68" s="122"/>
    </row>
    <row r="69" spans="1:9" x14ac:dyDescent="0.2">
      <c r="A69" s="122"/>
      <c r="B69" s="122"/>
      <c r="C69" s="122"/>
      <c r="D69" s="122"/>
      <c r="E69" s="122"/>
      <c r="F69" s="122"/>
      <c r="G69" s="122"/>
      <c r="H69" s="122"/>
      <c r="I69" s="122"/>
    </row>
    <row r="70" spans="1:9" x14ac:dyDescent="0.2">
      <c r="A70" s="122"/>
      <c r="B70" s="122"/>
      <c r="C70" s="122"/>
      <c r="D70" s="122"/>
      <c r="E70" s="122"/>
      <c r="F70" s="122"/>
      <c r="G70" s="122"/>
      <c r="H70" s="122"/>
      <c r="I70" s="122"/>
    </row>
    <row r="71" spans="1:9" x14ac:dyDescent="0.2">
      <c r="A71" s="122"/>
      <c r="B71" s="122"/>
      <c r="C71" s="122"/>
      <c r="D71" s="122"/>
      <c r="E71" s="122"/>
      <c r="F71" s="122"/>
      <c r="G71" s="122"/>
      <c r="H71" s="122"/>
      <c r="I71" s="122"/>
    </row>
    <row r="72" spans="1:9" x14ac:dyDescent="0.2">
      <c r="A72" s="122"/>
      <c r="B72" s="122"/>
      <c r="C72" s="122"/>
      <c r="D72" s="122"/>
      <c r="E72" s="122"/>
      <c r="F72" s="122"/>
      <c r="G72" s="122"/>
      <c r="H72" s="122"/>
      <c r="I72" s="122"/>
    </row>
    <row r="73" spans="1:9" x14ac:dyDescent="0.2">
      <c r="A73" s="122"/>
      <c r="B73" s="122"/>
      <c r="C73" s="122"/>
      <c r="D73" s="122"/>
      <c r="E73" s="122"/>
      <c r="F73" s="122"/>
      <c r="G73" s="122"/>
      <c r="H73" s="122"/>
      <c r="I73" s="122"/>
    </row>
    <row r="74" spans="1:9" x14ac:dyDescent="0.2">
      <c r="A74" s="122"/>
      <c r="B74" s="122"/>
      <c r="C74" s="122"/>
      <c r="D74" s="122"/>
      <c r="E74" s="122"/>
      <c r="F74" s="122"/>
      <c r="G74" s="122"/>
      <c r="H74" s="122"/>
      <c r="I74" s="122"/>
    </row>
    <row r="75" spans="1:9" x14ac:dyDescent="0.2">
      <c r="A75" s="122"/>
      <c r="B75" s="122"/>
      <c r="C75" s="122"/>
      <c r="D75" s="122"/>
      <c r="E75" s="122"/>
      <c r="F75" s="122"/>
      <c r="G75" s="122"/>
      <c r="H75" s="122"/>
      <c r="I75" s="122"/>
    </row>
    <row r="76" spans="1:9" x14ac:dyDescent="0.2">
      <c r="A76" s="122"/>
      <c r="B76" s="122"/>
      <c r="C76" s="122"/>
      <c r="D76" s="122"/>
      <c r="E76" s="122"/>
      <c r="F76" s="122"/>
      <c r="G76" s="122"/>
      <c r="H76" s="122"/>
      <c r="I76" s="122"/>
    </row>
    <row r="77" spans="1:9" x14ac:dyDescent="0.2">
      <c r="A77" s="122"/>
      <c r="B77" s="122"/>
      <c r="C77" s="122"/>
      <c r="D77" s="122"/>
      <c r="E77" s="122"/>
      <c r="F77" s="122"/>
      <c r="G77" s="122"/>
      <c r="H77" s="122"/>
      <c r="I77" s="122"/>
    </row>
    <row r="78" spans="1:9" x14ac:dyDescent="0.2">
      <c r="A78" s="122"/>
      <c r="B78" s="122"/>
      <c r="C78" s="122"/>
      <c r="D78" s="122"/>
      <c r="E78" s="122"/>
      <c r="F78" s="122"/>
      <c r="G78" s="122"/>
      <c r="H78" s="122"/>
      <c r="I78" s="122"/>
    </row>
    <row r="79" spans="1:9" x14ac:dyDescent="0.2">
      <c r="A79" s="122"/>
      <c r="B79" s="122"/>
      <c r="C79" s="122"/>
      <c r="D79" s="122"/>
      <c r="E79" s="122"/>
      <c r="F79" s="122"/>
      <c r="G79" s="122"/>
      <c r="H79" s="122"/>
      <c r="I79" s="122"/>
    </row>
    <row r="80" spans="1:9" x14ac:dyDescent="0.2">
      <c r="A80" s="122"/>
      <c r="B80" s="122"/>
      <c r="C80" s="122"/>
      <c r="D80" s="122"/>
      <c r="E80" s="122"/>
      <c r="F80" s="122"/>
      <c r="G80" s="122"/>
      <c r="H80" s="122"/>
      <c r="I80" s="122"/>
    </row>
    <row r="81" spans="1:9" x14ac:dyDescent="0.2">
      <c r="A81" s="122"/>
      <c r="B81" s="122"/>
      <c r="C81" s="122"/>
      <c r="D81" s="122"/>
      <c r="E81" s="122"/>
      <c r="F81" s="122"/>
      <c r="G81" s="122"/>
      <c r="H81" s="122"/>
      <c r="I81" s="122"/>
    </row>
    <row r="82" spans="1:9" x14ac:dyDescent="0.2">
      <c r="A82" s="122"/>
      <c r="B82" s="122"/>
      <c r="C82" s="122"/>
      <c r="D82" s="122"/>
      <c r="E82" s="122"/>
      <c r="F82" s="122"/>
      <c r="G82" s="122"/>
      <c r="H82" s="122"/>
      <c r="I82" s="122"/>
    </row>
    <row r="83" spans="1:9" x14ac:dyDescent="0.2">
      <c r="A83" s="122"/>
      <c r="B83" s="122"/>
      <c r="C83" s="122"/>
      <c r="D83" s="122"/>
      <c r="E83" s="122"/>
      <c r="F83" s="122"/>
      <c r="G83" s="122"/>
      <c r="H83" s="122"/>
      <c r="I83" s="122"/>
    </row>
    <row r="84" spans="1:9" x14ac:dyDescent="0.2">
      <c r="A84" s="122"/>
      <c r="B84" s="122"/>
      <c r="C84" s="122"/>
      <c r="D84" s="122"/>
      <c r="E84" s="122"/>
      <c r="F84" s="122"/>
      <c r="G84" s="122"/>
      <c r="H84" s="122"/>
      <c r="I84" s="122"/>
    </row>
    <row r="85" spans="1:9" x14ac:dyDescent="0.2">
      <c r="A85" s="122"/>
      <c r="B85" s="122"/>
      <c r="C85" s="122"/>
      <c r="D85" s="122"/>
      <c r="E85" s="122"/>
      <c r="F85" s="122"/>
      <c r="G85" s="122"/>
      <c r="H85" s="122"/>
      <c r="I85" s="122"/>
    </row>
    <row r="86" spans="1:9" x14ac:dyDescent="0.2">
      <c r="A86" s="122"/>
      <c r="B86" s="122"/>
      <c r="C86" s="122"/>
      <c r="D86" s="122"/>
      <c r="E86" s="122"/>
      <c r="F86" s="122"/>
      <c r="G86" s="122"/>
      <c r="H86" s="122"/>
      <c r="I86" s="122"/>
    </row>
    <row r="87" spans="1:9" x14ac:dyDescent="0.2">
      <c r="A87" s="122"/>
      <c r="B87" s="122"/>
      <c r="C87" s="122"/>
      <c r="D87" s="122"/>
      <c r="E87" s="122"/>
      <c r="F87" s="122"/>
      <c r="G87" s="122"/>
      <c r="H87" s="122"/>
      <c r="I87" s="122"/>
    </row>
    <row r="88" spans="1:9" x14ac:dyDescent="0.2">
      <c r="A88" s="122"/>
      <c r="B88" s="122"/>
      <c r="C88" s="122"/>
      <c r="D88" s="122"/>
      <c r="E88" s="122"/>
      <c r="F88" s="122"/>
      <c r="G88" s="122"/>
      <c r="H88" s="122"/>
      <c r="I88" s="122"/>
    </row>
    <row r="89" spans="1:9" x14ac:dyDescent="0.2">
      <c r="A89" s="122"/>
      <c r="B89" s="122"/>
      <c r="C89" s="122"/>
      <c r="D89" s="122"/>
      <c r="E89" s="122"/>
      <c r="F89" s="122"/>
      <c r="G89" s="122"/>
      <c r="H89" s="122"/>
      <c r="I89" s="122"/>
    </row>
    <row r="90" spans="1:9" x14ac:dyDescent="0.2">
      <c r="A90" s="122"/>
      <c r="B90" s="122"/>
      <c r="C90" s="122"/>
      <c r="D90" s="122"/>
      <c r="E90" s="122"/>
      <c r="F90" s="122"/>
      <c r="G90" s="122"/>
      <c r="H90" s="122"/>
      <c r="I90" s="122"/>
    </row>
    <row r="91" spans="1:9" x14ac:dyDescent="0.2">
      <c r="A91" s="122"/>
      <c r="B91" s="122"/>
      <c r="C91" s="122"/>
      <c r="D91" s="122"/>
      <c r="E91" s="122"/>
      <c r="F91" s="122"/>
      <c r="G91" s="122"/>
      <c r="H91" s="122"/>
      <c r="I91" s="122"/>
    </row>
    <row r="92" spans="1:9" x14ac:dyDescent="0.2">
      <c r="A92" s="122"/>
      <c r="B92" s="122"/>
      <c r="C92" s="122"/>
      <c r="D92" s="122"/>
      <c r="E92" s="122"/>
      <c r="F92" s="122"/>
      <c r="G92" s="122"/>
      <c r="H92" s="122"/>
      <c r="I92" s="122"/>
    </row>
    <row r="93" spans="1:9" x14ac:dyDescent="0.2">
      <c r="A93" s="122"/>
      <c r="B93" s="122"/>
      <c r="C93" s="122"/>
      <c r="D93" s="122"/>
      <c r="E93" s="122"/>
      <c r="F93" s="122"/>
      <c r="G93" s="122"/>
      <c r="H93" s="122"/>
      <c r="I93" s="122"/>
    </row>
    <row r="94" spans="1:9" x14ac:dyDescent="0.2">
      <c r="A94" s="122"/>
      <c r="B94" s="122"/>
      <c r="C94" s="122"/>
      <c r="D94" s="122"/>
      <c r="E94" s="122"/>
      <c r="F94" s="122"/>
      <c r="G94" s="122"/>
      <c r="H94" s="122"/>
      <c r="I94" s="122"/>
    </row>
    <row r="95" spans="1:9" x14ac:dyDescent="0.2">
      <c r="A95" s="122"/>
      <c r="B95" s="122"/>
      <c r="C95" s="122"/>
      <c r="D95" s="122"/>
      <c r="E95" s="122"/>
      <c r="F95" s="122"/>
      <c r="G95" s="122"/>
      <c r="H95" s="122"/>
      <c r="I95" s="122"/>
    </row>
    <row r="96" spans="1:9" x14ac:dyDescent="0.2">
      <c r="A96" s="122"/>
      <c r="B96" s="122"/>
      <c r="C96" s="122"/>
      <c r="D96" s="122"/>
      <c r="E96" s="122"/>
      <c r="F96" s="122"/>
      <c r="G96" s="122"/>
      <c r="H96" s="122"/>
      <c r="I96" s="122"/>
    </row>
    <row r="97" spans="1:9" x14ac:dyDescent="0.2">
      <c r="A97" s="122"/>
      <c r="B97" s="122"/>
      <c r="C97" s="122"/>
      <c r="D97" s="122"/>
      <c r="E97" s="122"/>
      <c r="F97" s="122"/>
      <c r="G97" s="122"/>
      <c r="H97" s="122"/>
      <c r="I97" s="122"/>
    </row>
    <row r="98" spans="1:9" x14ac:dyDescent="0.2">
      <c r="A98" s="122"/>
      <c r="B98" s="122"/>
      <c r="C98" s="122"/>
      <c r="D98" s="122"/>
      <c r="E98" s="122"/>
      <c r="F98" s="122"/>
      <c r="G98" s="122"/>
      <c r="H98" s="122"/>
      <c r="I98" s="122"/>
    </row>
    <row r="99" spans="1:9" x14ac:dyDescent="0.2">
      <c r="A99" s="122"/>
      <c r="B99" s="122"/>
      <c r="C99" s="122"/>
      <c r="D99" s="122"/>
      <c r="E99" s="122"/>
      <c r="F99" s="122"/>
      <c r="G99" s="122"/>
      <c r="H99" s="122"/>
      <c r="I99" s="122"/>
    </row>
    <row r="100" spans="1:9" x14ac:dyDescent="0.2">
      <c r="A100" s="122"/>
      <c r="B100" s="122"/>
      <c r="C100" s="122"/>
      <c r="D100" s="122"/>
      <c r="E100" s="122"/>
      <c r="F100" s="122"/>
      <c r="G100" s="122"/>
      <c r="H100" s="122"/>
      <c r="I100" s="122"/>
    </row>
    <row r="101" spans="1:9" x14ac:dyDescent="0.2">
      <c r="A101" s="122"/>
      <c r="B101" s="122"/>
      <c r="C101" s="122"/>
      <c r="D101" s="122"/>
      <c r="E101" s="122"/>
      <c r="F101" s="122"/>
      <c r="G101" s="122"/>
      <c r="H101" s="122"/>
      <c r="I101" s="122"/>
    </row>
    <row r="102" spans="1:9" x14ac:dyDescent="0.2">
      <c r="A102" s="122"/>
      <c r="B102" s="122"/>
      <c r="C102" s="122"/>
      <c r="D102" s="122"/>
      <c r="E102" s="122"/>
      <c r="F102" s="122"/>
      <c r="G102" s="122"/>
      <c r="H102" s="122"/>
      <c r="I102" s="122"/>
    </row>
    <row r="103" spans="1:9" x14ac:dyDescent="0.2">
      <c r="A103" s="122"/>
      <c r="B103" s="122"/>
      <c r="C103" s="122"/>
      <c r="D103" s="122"/>
      <c r="E103" s="122"/>
      <c r="F103" s="122"/>
      <c r="G103" s="122"/>
      <c r="H103" s="122"/>
      <c r="I103" s="122"/>
    </row>
    <row r="104" spans="1:9" x14ac:dyDescent="0.2">
      <c r="A104" s="122"/>
      <c r="B104" s="122"/>
      <c r="C104" s="122"/>
      <c r="D104" s="122"/>
      <c r="E104" s="122"/>
      <c r="F104" s="122"/>
      <c r="G104" s="122"/>
      <c r="H104" s="122"/>
      <c r="I104" s="122"/>
    </row>
    <row r="105" spans="1:9" x14ac:dyDescent="0.2">
      <c r="A105" s="122"/>
      <c r="B105" s="122"/>
      <c r="C105" s="122"/>
      <c r="D105" s="122"/>
      <c r="E105" s="122"/>
      <c r="F105" s="122"/>
      <c r="G105" s="122"/>
      <c r="H105" s="122"/>
      <c r="I105" s="122"/>
    </row>
    <row r="106" spans="1:9" x14ac:dyDescent="0.2">
      <c r="A106" s="122"/>
      <c r="B106" s="122"/>
      <c r="C106" s="122"/>
      <c r="D106" s="122"/>
      <c r="E106" s="122"/>
      <c r="F106" s="122"/>
      <c r="G106" s="122"/>
      <c r="H106" s="122"/>
      <c r="I106" s="122"/>
    </row>
    <row r="107" spans="1:9" x14ac:dyDescent="0.2">
      <c r="A107" s="122"/>
      <c r="B107" s="122"/>
      <c r="C107" s="122"/>
      <c r="D107" s="122"/>
      <c r="E107" s="122"/>
      <c r="F107" s="122"/>
      <c r="G107" s="122"/>
      <c r="H107" s="122"/>
      <c r="I107" s="122"/>
    </row>
    <row r="108" spans="1:9" x14ac:dyDescent="0.2">
      <c r="A108" s="122"/>
      <c r="B108" s="122"/>
      <c r="C108" s="122"/>
      <c r="D108" s="122"/>
      <c r="E108" s="122"/>
      <c r="F108" s="122"/>
      <c r="G108" s="122"/>
      <c r="H108" s="122"/>
      <c r="I108" s="122"/>
    </row>
    <row r="109" spans="1:9" x14ac:dyDescent="0.2">
      <c r="A109" s="122"/>
      <c r="B109" s="122"/>
      <c r="C109" s="122"/>
      <c r="D109" s="122"/>
      <c r="E109" s="122"/>
      <c r="F109" s="122"/>
      <c r="G109" s="122"/>
      <c r="H109" s="122"/>
      <c r="I109" s="122"/>
    </row>
    <row r="110" spans="1:9" x14ac:dyDescent="0.2">
      <c r="A110" s="122"/>
      <c r="B110" s="122"/>
      <c r="C110" s="122"/>
      <c r="D110" s="122"/>
      <c r="E110" s="122"/>
      <c r="F110" s="122"/>
      <c r="G110" s="122"/>
      <c r="H110" s="122"/>
      <c r="I110" s="122"/>
    </row>
    <row r="111" spans="1:9" x14ac:dyDescent="0.2">
      <c r="A111" s="122"/>
      <c r="B111" s="122"/>
      <c r="C111" s="122"/>
      <c r="D111" s="122"/>
      <c r="E111" s="122"/>
      <c r="F111" s="122"/>
      <c r="G111" s="122"/>
      <c r="H111" s="122"/>
      <c r="I111" s="122"/>
    </row>
    <row r="112" spans="1:9" x14ac:dyDescent="0.2">
      <c r="A112" s="122"/>
      <c r="B112" s="122"/>
      <c r="C112" s="122"/>
      <c r="D112" s="122"/>
      <c r="E112" s="122"/>
      <c r="F112" s="122"/>
      <c r="G112" s="122"/>
      <c r="H112" s="122"/>
      <c r="I112" s="122"/>
    </row>
    <row r="113" spans="1:9" x14ac:dyDescent="0.2">
      <c r="A113" s="122"/>
      <c r="B113" s="122"/>
      <c r="C113" s="122"/>
      <c r="D113" s="122"/>
      <c r="E113" s="122"/>
      <c r="F113" s="122"/>
      <c r="G113" s="122"/>
      <c r="H113" s="122"/>
      <c r="I113" s="122"/>
    </row>
    <row r="114" spans="1:9" x14ac:dyDescent="0.2">
      <c r="A114" s="122"/>
      <c r="B114" s="122"/>
      <c r="C114" s="122"/>
      <c r="D114" s="122"/>
      <c r="E114" s="122"/>
      <c r="F114" s="122"/>
      <c r="G114" s="122"/>
      <c r="H114" s="122"/>
      <c r="I114" s="122"/>
    </row>
    <row r="115" spans="1:9" x14ac:dyDescent="0.2">
      <c r="A115" s="122"/>
      <c r="B115" s="122"/>
      <c r="C115" s="122"/>
      <c r="D115" s="122"/>
      <c r="E115" s="122"/>
      <c r="F115" s="122"/>
      <c r="G115" s="122"/>
      <c r="H115" s="122"/>
      <c r="I115" s="122"/>
    </row>
    <row r="116" spans="1:9" x14ac:dyDescent="0.2">
      <c r="A116" s="122"/>
      <c r="B116" s="122"/>
      <c r="C116" s="122"/>
      <c r="D116" s="122"/>
      <c r="E116" s="122"/>
      <c r="F116" s="122"/>
      <c r="G116" s="122"/>
      <c r="H116" s="122"/>
      <c r="I116" s="122"/>
    </row>
    <row r="117" spans="1:9" x14ac:dyDescent="0.2">
      <c r="A117" s="122"/>
      <c r="B117" s="122"/>
      <c r="C117" s="122"/>
      <c r="D117" s="122"/>
      <c r="E117" s="122"/>
      <c r="F117" s="122"/>
      <c r="G117" s="122"/>
      <c r="H117" s="122"/>
      <c r="I117" s="122"/>
    </row>
    <row r="118" spans="1:9" x14ac:dyDescent="0.2">
      <c r="A118" s="122"/>
      <c r="B118" s="122"/>
      <c r="C118" s="122"/>
      <c r="D118" s="122"/>
      <c r="E118" s="122"/>
      <c r="F118" s="122"/>
      <c r="G118" s="122"/>
      <c r="H118" s="122"/>
      <c r="I118" s="122"/>
    </row>
    <row r="119" spans="1:9" x14ac:dyDescent="0.2">
      <c r="A119" s="122"/>
      <c r="B119" s="122"/>
      <c r="C119" s="122"/>
      <c r="D119" s="122"/>
      <c r="E119" s="122"/>
      <c r="F119" s="122"/>
      <c r="G119" s="122"/>
      <c r="H119" s="122"/>
      <c r="I119" s="122"/>
    </row>
    <row r="120" spans="1:9" x14ac:dyDescent="0.2">
      <c r="A120" s="122"/>
      <c r="B120" s="122"/>
      <c r="C120" s="122"/>
      <c r="D120" s="122"/>
      <c r="E120" s="122"/>
      <c r="F120" s="122"/>
      <c r="G120" s="122"/>
      <c r="H120" s="122"/>
      <c r="I120" s="122"/>
    </row>
    <row r="121" spans="1:9" x14ac:dyDescent="0.2">
      <c r="A121" s="122"/>
      <c r="B121" s="122"/>
      <c r="C121" s="122"/>
      <c r="D121" s="122"/>
      <c r="E121" s="122"/>
      <c r="F121" s="122"/>
      <c r="G121" s="122"/>
      <c r="H121" s="122"/>
      <c r="I121" s="122"/>
    </row>
    <row r="122" spans="1:9" x14ac:dyDescent="0.2">
      <c r="A122" s="122"/>
      <c r="B122" s="122"/>
      <c r="C122" s="122"/>
      <c r="D122" s="122"/>
      <c r="E122" s="122"/>
      <c r="F122" s="122"/>
      <c r="G122" s="122"/>
      <c r="H122" s="122"/>
      <c r="I122" s="122"/>
    </row>
    <row r="123" spans="1:9" x14ac:dyDescent="0.2">
      <c r="A123" s="122"/>
      <c r="B123" s="122"/>
      <c r="C123" s="122"/>
      <c r="D123" s="122"/>
      <c r="E123" s="122"/>
      <c r="F123" s="122"/>
      <c r="G123" s="122"/>
      <c r="H123" s="122"/>
      <c r="I123" s="122"/>
    </row>
    <row r="124" spans="1:9" x14ac:dyDescent="0.2">
      <c r="A124" s="122"/>
      <c r="B124" s="122"/>
      <c r="C124" s="122"/>
      <c r="D124" s="122"/>
      <c r="E124" s="122"/>
      <c r="F124" s="122"/>
      <c r="G124" s="122"/>
      <c r="H124" s="122"/>
      <c r="I124" s="122"/>
    </row>
    <row r="125" spans="1:9" x14ac:dyDescent="0.2">
      <c r="A125" s="122"/>
      <c r="B125" s="122"/>
      <c r="C125" s="122"/>
      <c r="D125" s="122"/>
      <c r="E125" s="122"/>
      <c r="F125" s="122"/>
      <c r="G125" s="122"/>
      <c r="H125" s="122"/>
      <c r="I125" s="122"/>
    </row>
    <row r="126" spans="1:9" x14ac:dyDescent="0.2">
      <c r="A126" s="122"/>
      <c r="B126" s="122"/>
      <c r="C126" s="122"/>
      <c r="D126" s="122"/>
      <c r="E126" s="122"/>
      <c r="F126" s="122"/>
      <c r="G126" s="122"/>
      <c r="H126" s="122"/>
      <c r="I126" s="122"/>
    </row>
    <row r="127" spans="1:9" x14ac:dyDescent="0.2">
      <c r="A127" s="122"/>
      <c r="B127" s="122"/>
      <c r="C127" s="122"/>
      <c r="D127" s="122"/>
      <c r="E127" s="122"/>
      <c r="F127" s="122"/>
      <c r="G127" s="122"/>
      <c r="H127" s="122"/>
      <c r="I127" s="122"/>
    </row>
    <row r="128" spans="1:9" x14ac:dyDescent="0.2">
      <c r="A128" s="122"/>
      <c r="B128" s="122"/>
      <c r="C128" s="122"/>
      <c r="D128" s="122"/>
      <c r="E128" s="122"/>
      <c r="F128" s="122"/>
      <c r="G128" s="122"/>
      <c r="H128" s="122"/>
      <c r="I128" s="122"/>
    </row>
    <row r="129" spans="1:9" x14ac:dyDescent="0.2">
      <c r="A129" s="122"/>
      <c r="B129" s="122"/>
      <c r="C129" s="122"/>
      <c r="D129" s="122"/>
      <c r="E129" s="122"/>
      <c r="F129" s="122"/>
      <c r="G129" s="122"/>
      <c r="H129" s="122"/>
      <c r="I129" s="122"/>
    </row>
    <row r="130" spans="1:9" x14ac:dyDescent="0.2">
      <c r="A130" s="122"/>
      <c r="B130" s="122"/>
      <c r="C130" s="122"/>
      <c r="D130" s="122"/>
      <c r="E130" s="122"/>
      <c r="F130" s="122"/>
      <c r="G130" s="122"/>
      <c r="H130" s="122"/>
      <c r="I130" s="122"/>
    </row>
    <row r="131" spans="1:9" x14ac:dyDescent="0.2">
      <c r="A131" s="122"/>
      <c r="B131" s="122"/>
      <c r="C131" s="122"/>
      <c r="D131" s="122"/>
      <c r="E131" s="122"/>
      <c r="F131" s="122"/>
      <c r="G131" s="122"/>
      <c r="H131" s="122"/>
      <c r="I131" s="122"/>
    </row>
    <row r="132" spans="1:9" x14ac:dyDescent="0.2">
      <c r="A132" s="122"/>
      <c r="B132" s="122"/>
      <c r="C132" s="122"/>
      <c r="D132" s="122"/>
      <c r="E132" s="122"/>
      <c r="F132" s="122"/>
      <c r="G132" s="122"/>
      <c r="H132" s="122"/>
      <c r="I132" s="122"/>
    </row>
    <row r="133" spans="1:9" x14ac:dyDescent="0.2">
      <c r="A133" s="122"/>
      <c r="B133" s="122"/>
      <c r="C133" s="122"/>
      <c r="D133" s="122"/>
      <c r="E133" s="122"/>
      <c r="F133" s="122"/>
      <c r="G133" s="122"/>
      <c r="H133" s="122"/>
      <c r="I133" s="122"/>
    </row>
    <row r="134" spans="1:9" x14ac:dyDescent="0.2">
      <c r="A134" s="122"/>
      <c r="B134" s="122"/>
      <c r="C134" s="122"/>
      <c r="D134" s="122"/>
      <c r="E134" s="122"/>
      <c r="F134" s="122"/>
      <c r="G134" s="122"/>
      <c r="H134" s="122"/>
      <c r="I134" s="122"/>
    </row>
    <row r="135" spans="1:9" x14ac:dyDescent="0.2">
      <c r="A135" s="122"/>
      <c r="B135" s="122"/>
      <c r="C135" s="122"/>
      <c r="D135" s="122"/>
      <c r="E135" s="122"/>
      <c r="F135" s="122"/>
      <c r="G135" s="122"/>
      <c r="H135" s="122"/>
      <c r="I135" s="122"/>
    </row>
    <row r="136" spans="1:9" x14ac:dyDescent="0.2">
      <c r="A136" s="122"/>
      <c r="B136" s="122"/>
      <c r="C136" s="122"/>
      <c r="D136" s="122"/>
      <c r="E136" s="122"/>
      <c r="F136" s="122"/>
      <c r="G136" s="122"/>
      <c r="H136" s="122"/>
      <c r="I136" s="122"/>
    </row>
    <row r="137" spans="1:9" x14ac:dyDescent="0.2">
      <c r="A137" s="122"/>
      <c r="B137" s="122"/>
      <c r="C137" s="122"/>
      <c r="D137" s="122"/>
      <c r="E137" s="122"/>
      <c r="F137" s="122"/>
      <c r="G137" s="122"/>
      <c r="H137" s="122"/>
      <c r="I137" s="122"/>
    </row>
    <row r="138" spans="1:9" x14ac:dyDescent="0.2">
      <c r="A138" s="122"/>
      <c r="B138" s="122"/>
      <c r="C138" s="122"/>
      <c r="D138" s="122"/>
      <c r="E138" s="122"/>
      <c r="F138" s="122"/>
      <c r="G138" s="122"/>
      <c r="H138" s="122"/>
      <c r="I138" s="122"/>
    </row>
    <row r="139" spans="1:9" x14ac:dyDescent="0.2">
      <c r="A139" s="122"/>
      <c r="B139" s="122"/>
      <c r="C139" s="122"/>
      <c r="D139" s="122"/>
      <c r="E139" s="122"/>
      <c r="F139" s="122"/>
      <c r="G139" s="122"/>
      <c r="H139" s="122"/>
      <c r="I139" s="122"/>
    </row>
    <row r="140" spans="1:9" x14ac:dyDescent="0.2">
      <c r="A140" s="122"/>
      <c r="B140" s="122"/>
      <c r="C140" s="122"/>
      <c r="D140" s="122"/>
      <c r="E140" s="122"/>
      <c r="F140" s="122"/>
      <c r="G140" s="122"/>
      <c r="H140" s="122"/>
      <c r="I140" s="122"/>
    </row>
    <row r="141" spans="1:9" x14ac:dyDescent="0.2">
      <c r="A141" s="122"/>
      <c r="B141" s="122"/>
      <c r="C141" s="122"/>
      <c r="D141" s="122"/>
      <c r="E141" s="122"/>
      <c r="F141" s="122"/>
      <c r="G141" s="122"/>
      <c r="H141" s="122"/>
      <c r="I141" s="122"/>
    </row>
    <row r="142" spans="1:9" x14ac:dyDescent="0.2">
      <c r="A142" s="122"/>
      <c r="B142" s="122"/>
      <c r="C142" s="122"/>
      <c r="D142" s="122"/>
      <c r="E142" s="122"/>
      <c r="F142" s="122"/>
      <c r="G142" s="122"/>
      <c r="H142" s="122"/>
      <c r="I142" s="122"/>
    </row>
    <row r="143" spans="1:9" x14ac:dyDescent="0.2">
      <c r="A143" s="122"/>
      <c r="B143" s="122"/>
      <c r="C143" s="122"/>
      <c r="D143" s="122"/>
      <c r="E143" s="122"/>
      <c r="F143" s="122"/>
      <c r="G143" s="122"/>
      <c r="H143" s="122"/>
      <c r="I143" s="122"/>
    </row>
    <row r="144" spans="1:9" x14ac:dyDescent="0.2">
      <c r="A144" s="122"/>
      <c r="B144" s="122"/>
      <c r="C144" s="122"/>
      <c r="D144" s="122"/>
      <c r="E144" s="122"/>
      <c r="F144" s="122"/>
      <c r="G144" s="122"/>
      <c r="H144" s="122"/>
      <c r="I144" s="122"/>
    </row>
    <row r="145" spans="1:9" x14ac:dyDescent="0.2">
      <c r="A145" s="122"/>
      <c r="B145" s="122"/>
      <c r="C145" s="122"/>
      <c r="D145" s="122"/>
      <c r="E145" s="122"/>
      <c r="F145" s="122"/>
      <c r="G145" s="122"/>
      <c r="H145" s="122"/>
      <c r="I145" s="122"/>
    </row>
    <row r="146" spans="1:9" x14ac:dyDescent="0.2">
      <c r="A146" s="122"/>
      <c r="B146" s="122"/>
      <c r="C146" s="122"/>
      <c r="D146" s="122"/>
      <c r="E146" s="122"/>
      <c r="F146" s="122"/>
      <c r="G146" s="122"/>
      <c r="H146" s="122"/>
      <c r="I146" s="122"/>
    </row>
    <row r="147" spans="1:9" x14ac:dyDescent="0.2">
      <c r="A147" s="122"/>
      <c r="B147" s="122"/>
      <c r="C147" s="122"/>
      <c r="D147" s="122"/>
      <c r="E147" s="122"/>
      <c r="F147" s="122"/>
      <c r="G147" s="122"/>
      <c r="H147" s="122"/>
      <c r="I147" s="122"/>
    </row>
    <row r="148" spans="1:9" x14ac:dyDescent="0.2">
      <c r="A148" s="122"/>
      <c r="B148" s="122"/>
      <c r="C148" s="122"/>
      <c r="D148" s="122"/>
      <c r="E148" s="122"/>
      <c r="F148" s="122"/>
      <c r="G148" s="122"/>
      <c r="H148" s="122"/>
      <c r="I148" s="122"/>
    </row>
    <row r="149" spans="1:9" x14ac:dyDescent="0.2">
      <c r="A149" s="122"/>
      <c r="B149" s="122"/>
      <c r="C149" s="122"/>
      <c r="D149" s="122"/>
      <c r="E149" s="122"/>
      <c r="F149" s="122"/>
      <c r="G149" s="122"/>
      <c r="H149" s="122"/>
      <c r="I149" s="122"/>
    </row>
    <row r="150" spans="1:9" x14ac:dyDescent="0.2">
      <c r="A150" s="122"/>
      <c r="B150" s="122"/>
      <c r="C150" s="122"/>
      <c r="D150" s="122"/>
      <c r="E150" s="122"/>
      <c r="F150" s="122"/>
      <c r="G150" s="122"/>
      <c r="H150" s="122"/>
      <c r="I150" s="122"/>
    </row>
    <row r="151" spans="1:9" x14ac:dyDescent="0.2">
      <c r="A151" s="122"/>
      <c r="B151" s="122"/>
      <c r="C151" s="122"/>
      <c r="D151" s="122"/>
      <c r="E151" s="122"/>
      <c r="F151" s="122"/>
      <c r="G151" s="122"/>
      <c r="H151" s="122"/>
      <c r="I151" s="122"/>
    </row>
    <row r="152" spans="1:9" x14ac:dyDescent="0.2">
      <c r="A152" s="122"/>
      <c r="B152" s="122"/>
      <c r="C152" s="122"/>
      <c r="D152" s="122"/>
      <c r="E152" s="122"/>
      <c r="F152" s="122"/>
      <c r="G152" s="122"/>
      <c r="H152" s="122"/>
      <c r="I152" s="122"/>
    </row>
    <row r="153" spans="1:9" x14ac:dyDescent="0.2">
      <c r="A153" s="122"/>
      <c r="B153" s="122"/>
      <c r="C153" s="122"/>
      <c r="D153" s="122"/>
      <c r="E153" s="122"/>
      <c r="F153" s="122"/>
      <c r="G153" s="122"/>
      <c r="H153" s="122"/>
      <c r="I153" s="122"/>
    </row>
    <row r="154" spans="1:9" x14ac:dyDescent="0.2">
      <c r="A154" s="122"/>
      <c r="B154" s="122"/>
      <c r="C154" s="122"/>
      <c r="D154" s="122"/>
      <c r="E154" s="122"/>
      <c r="F154" s="122"/>
      <c r="G154" s="122"/>
      <c r="H154" s="122"/>
      <c r="I154" s="122"/>
    </row>
    <row r="155" spans="1:9" x14ac:dyDescent="0.2">
      <c r="A155" s="122"/>
      <c r="B155" s="122"/>
      <c r="C155" s="122"/>
      <c r="D155" s="122"/>
      <c r="E155" s="122"/>
      <c r="F155" s="122"/>
      <c r="G155" s="122"/>
      <c r="H155" s="122"/>
      <c r="I155" s="122"/>
    </row>
    <row r="156" spans="1:9" x14ac:dyDescent="0.2">
      <c r="A156" s="122"/>
      <c r="B156" s="122"/>
      <c r="C156" s="122"/>
      <c r="D156" s="122"/>
      <c r="E156" s="122"/>
      <c r="F156" s="122"/>
      <c r="G156" s="122"/>
      <c r="H156" s="122"/>
      <c r="I156" s="122"/>
    </row>
    <row r="157" spans="1:9" x14ac:dyDescent="0.2">
      <c r="A157" s="122"/>
      <c r="B157" s="122"/>
      <c r="C157" s="122"/>
      <c r="D157" s="122"/>
      <c r="E157" s="122"/>
      <c r="F157" s="122"/>
      <c r="G157" s="122"/>
      <c r="H157" s="122"/>
      <c r="I157" s="122"/>
    </row>
    <row r="158" spans="1:9" x14ac:dyDescent="0.2">
      <c r="A158" s="122"/>
      <c r="B158" s="122"/>
      <c r="C158" s="122"/>
      <c r="D158" s="122"/>
      <c r="E158" s="122"/>
      <c r="F158" s="122"/>
      <c r="G158" s="122"/>
      <c r="H158" s="122"/>
      <c r="I158" s="122"/>
    </row>
    <row r="159" spans="1:9" x14ac:dyDescent="0.2">
      <c r="A159" s="122"/>
      <c r="B159" s="122"/>
      <c r="C159" s="122"/>
      <c r="D159" s="122"/>
      <c r="E159" s="122"/>
      <c r="F159" s="122"/>
      <c r="G159" s="122"/>
      <c r="H159" s="122"/>
      <c r="I159" s="122"/>
    </row>
    <row r="160" spans="1:9" x14ac:dyDescent="0.2">
      <c r="A160" s="122"/>
      <c r="B160" s="122"/>
      <c r="C160" s="122"/>
      <c r="D160" s="122"/>
      <c r="E160" s="122"/>
      <c r="F160" s="122"/>
      <c r="G160" s="122"/>
      <c r="H160" s="122"/>
      <c r="I160" s="122"/>
    </row>
    <row r="161" spans="1:9" x14ac:dyDescent="0.2">
      <c r="A161" s="122"/>
      <c r="B161" s="122"/>
      <c r="C161" s="122"/>
      <c r="D161" s="122"/>
      <c r="E161" s="122"/>
      <c r="F161" s="122"/>
      <c r="G161" s="122"/>
      <c r="H161" s="122"/>
      <c r="I161" s="122"/>
    </row>
    <row r="162" spans="1:9" x14ac:dyDescent="0.2">
      <c r="A162" s="122"/>
      <c r="B162" s="122"/>
      <c r="C162" s="122"/>
      <c r="D162" s="122"/>
      <c r="E162" s="122"/>
      <c r="F162" s="122"/>
      <c r="G162" s="122"/>
      <c r="H162" s="122"/>
      <c r="I162" s="122"/>
    </row>
    <row r="163" spans="1:9" x14ac:dyDescent="0.2">
      <c r="A163" s="122"/>
      <c r="B163" s="122"/>
      <c r="C163" s="122"/>
      <c r="D163" s="122"/>
      <c r="E163" s="122"/>
      <c r="F163" s="122"/>
      <c r="G163" s="122"/>
      <c r="H163" s="122"/>
      <c r="I163" s="122"/>
    </row>
    <row r="164" spans="1:9" x14ac:dyDescent="0.2">
      <c r="A164" s="122"/>
      <c r="B164" s="122"/>
      <c r="C164" s="122"/>
      <c r="D164" s="122"/>
      <c r="E164" s="122"/>
      <c r="F164" s="122"/>
      <c r="G164" s="122"/>
      <c r="H164" s="122"/>
      <c r="I164" s="122"/>
    </row>
    <row r="165" spans="1:9" x14ac:dyDescent="0.2">
      <c r="A165" s="122"/>
      <c r="B165" s="122"/>
      <c r="C165" s="122"/>
      <c r="D165" s="122"/>
      <c r="E165" s="122"/>
      <c r="F165" s="122"/>
      <c r="G165" s="122"/>
      <c r="H165" s="122"/>
      <c r="I165" s="122"/>
    </row>
    <row r="166" spans="1:9" x14ac:dyDescent="0.2">
      <c r="A166" s="122"/>
      <c r="B166" s="122"/>
      <c r="C166" s="122"/>
      <c r="D166" s="122"/>
      <c r="E166" s="122"/>
      <c r="F166" s="122"/>
      <c r="G166" s="122"/>
      <c r="H166" s="122"/>
      <c r="I166" s="122"/>
    </row>
    <row r="167" spans="1:9" x14ac:dyDescent="0.2">
      <c r="A167" s="122"/>
      <c r="B167" s="122"/>
      <c r="C167" s="122"/>
      <c r="D167" s="122"/>
      <c r="E167" s="122"/>
      <c r="F167" s="122"/>
      <c r="G167" s="122"/>
      <c r="H167" s="122"/>
      <c r="I167" s="122"/>
    </row>
    <row r="168" spans="1:9" x14ac:dyDescent="0.2">
      <c r="A168" s="122"/>
      <c r="B168" s="122"/>
      <c r="C168" s="122"/>
      <c r="D168" s="122"/>
      <c r="E168" s="122"/>
      <c r="F168" s="122"/>
      <c r="G168" s="122"/>
      <c r="H168" s="122"/>
      <c r="I168" s="122"/>
    </row>
    <row r="169" spans="1:9" x14ac:dyDescent="0.2">
      <c r="A169" s="122"/>
      <c r="B169" s="122"/>
      <c r="C169" s="122"/>
      <c r="D169" s="122"/>
      <c r="E169" s="122"/>
      <c r="F169" s="122"/>
      <c r="G169" s="122"/>
      <c r="H169" s="122"/>
      <c r="I169" s="122"/>
    </row>
    <row r="170" spans="1:9" x14ac:dyDescent="0.2">
      <c r="A170" s="122"/>
      <c r="B170" s="122"/>
      <c r="C170" s="122"/>
      <c r="D170" s="122"/>
      <c r="E170" s="122"/>
      <c r="F170" s="122"/>
      <c r="G170" s="122"/>
      <c r="H170" s="122"/>
      <c r="I170" s="122"/>
    </row>
    <row r="171" spans="1:9" x14ac:dyDescent="0.2">
      <c r="A171" s="122"/>
      <c r="B171" s="122"/>
      <c r="C171" s="122"/>
      <c r="D171" s="122"/>
      <c r="E171" s="122"/>
      <c r="F171" s="122"/>
      <c r="G171" s="122"/>
      <c r="H171" s="122"/>
      <c r="I171" s="122"/>
    </row>
    <row r="172" spans="1:9" x14ac:dyDescent="0.2">
      <c r="A172" s="122"/>
      <c r="B172" s="122"/>
      <c r="C172" s="122"/>
      <c r="D172" s="122"/>
      <c r="E172" s="122"/>
      <c r="F172" s="122"/>
      <c r="G172" s="122"/>
      <c r="H172" s="122"/>
      <c r="I172" s="122"/>
    </row>
    <row r="173" spans="1:9" x14ac:dyDescent="0.2">
      <c r="A173" s="122"/>
      <c r="B173" s="122"/>
      <c r="C173" s="122"/>
      <c r="D173" s="122"/>
      <c r="E173" s="122"/>
      <c r="F173" s="122"/>
      <c r="G173" s="122"/>
      <c r="H173" s="122"/>
      <c r="I173" s="122"/>
    </row>
    <row r="174" spans="1:9" x14ac:dyDescent="0.2">
      <c r="A174" s="122"/>
      <c r="B174" s="122"/>
      <c r="C174" s="122"/>
      <c r="D174" s="122"/>
      <c r="E174" s="122"/>
      <c r="F174" s="122"/>
      <c r="G174" s="122"/>
      <c r="H174" s="122"/>
      <c r="I174" s="122"/>
    </row>
    <row r="175" spans="1:9" x14ac:dyDescent="0.2">
      <c r="A175" s="122"/>
      <c r="B175" s="122"/>
      <c r="C175" s="122"/>
      <c r="D175" s="122"/>
      <c r="E175" s="122"/>
      <c r="F175" s="122"/>
      <c r="G175" s="122"/>
      <c r="H175" s="122"/>
      <c r="I175" s="122"/>
    </row>
    <row r="176" spans="1:9" x14ac:dyDescent="0.2">
      <c r="A176" s="122"/>
      <c r="B176" s="122"/>
      <c r="C176" s="122"/>
      <c r="D176" s="122"/>
      <c r="E176" s="122"/>
      <c r="F176" s="122"/>
      <c r="G176" s="122"/>
      <c r="H176" s="122"/>
      <c r="I176" s="122"/>
    </row>
    <row r="177" spans="1:9" x14ac:dyDescent="0.2">
      <c r="A177" s="122"/>
      <c r="B177" s="122"/>
      <c r="C177" s="122"/>
      <c r="D177" s="122"/>
      <c r="E177" s="122"/>
      <c r="F177" s="122"/>
      <c r="G177" s="122"/>
      <c r="H177" s="122"/>
      <c r="I177" s="122"/>
    </row>
    <row r="178" spans="1:9" x14ac:dyDescent="0.2">
      <c r="A178" s="122"/>
      <c r="B178" s="122"/>
      <c r="C178" s="122"/>
      <c r="D178" s="122"/>
      <c r="E178" s="122"/>
      <c r="F178" s="122"/>
      <c r="G178" s="122"/>
      <c r="H178" s="122"/>
      <c r="I178" s="122"/>
    </row>
    <row r="179" spans="1:9" x14ac:dyDescent="0.2">
      <c r="A179" s="122"/>
      <c r="B179" s="122"/>
      <c r="C179" s="122"/>
      <c r="D179" s="122"/>
      <c r="E179" s="122"/>
      <c r="F179" s="122"/>
      <c r="G179" s="122"/>
      <c r="H179" s="122"/>
      <c r="I179" s="122"/>
    </row>
    <row r="180" spans="1:9" x14ac:dyDescent="0.2">
      <c r="A180" s="122"/>
      <c r="B180" s="122"/>
      <c r="C180" s="122"/>
      <c r="D180" s="122"/>
      <c r="E180" s="122"/>
      <c r="F180" s="122"/>
      <c r="G180" s="122"/>
      <c r="H180" s="122"/>
      <c r="I180" s="122"/>
    </row>
    <row r="181" spans="1:9" x14ac:dyDescent="0.2">
      <c r="A181" s="122"/>
      <c r="B181" s="122"/>
      <c r="C181" s="122"/>
      <c r="D181" s="122"/>
      <c r="E181" s="122"/>
      <c r="F181" s="122"/>
      <c r="G181" s="122"/>
      <c r="H181" s="122"/>
      <c r="I181" s="122"/>
    </row>
    <row r="182" spans="1:9" x14ac:dyDescent="0.2">
      <c r="A182" s="122"/>
      <c r="B182" s="122"/>
      <c r="C182" s="122"/>
      <c r="D182" s="122"/>
      <c r="E182" s="122"/>
      <c r="F182" s="122"/>
      <c r="G182" s="122"/>
      <c r="H182" s="122"/>
      <c r="I182" s="122"/>
    </row>
    <row r="183" spans="1:9" x14ac:dyDescent="0.2">
      <c r="A183" s="122"/>
      <c r="B183" s="122"/>
      <c r="C183" s="122"/>
      <c r="D183" s="122"/>
      <c r="E183" s="122"/>
      <c r="F183" s="122"/>
      <c r="G183" s="122"/>
      <c r="H183" s="122"/>
      <c r="I183" s="122"/>
    </row>
    <row r="184" spans="1:9" x14ac:dyDescent="0.2">
      <c r="A184" s="122"/>
      <c r="B184" s="122"/>
      <c r="C184" s="122"/>
      <c r="D184" s="122"/>
      <c r="E184" s="122"/>
      <c r="F184" s="122"/>
      <c r="G184" s="122"/>
      <c r="H184" s="122"/>
      <c r="I184" s="122"/>
    </row>
    <row r="185" spans="1:9" x14ac:dyDescent="0.2">
      <c r="A185" s="122"/>
      <c r="B185" s="122"/>
      <c r="C185" s="122"/>
      <c r="D185" s="122"/>
      <c r="E185" s="122"/>
      <c r="F185" s="122"/>
      <c r="G185" s="122"/>
      <c r="H185" s="122"/>
      <c r="I185" s="122"/>
    </row>
    <row r="186" spans="1:9" x14ac:dyDescent="0.2">
      <c r="A186" s="122"/>
      <c r="B186" s="122"/>
      <c r="C186" s="122"/>
      <c r="D186" s="122"/>
      <c r="E186" s="122"/>
      <c r="F186" s="122"/>
      <c r="G186" s="122"/>
      <c r="H186" s="122"/>
      <c r="I186" s="122"/>
    </row>
    <row r="187" spans="1:9" x14ac:dyDescent="0.2">
      <c r="A187" s="122"/>
      <c r="B187" s="122"/>
      <c r="C187" s="122"/>
      <c r="D187" s="122"/>
      <c r="E187" s="122"/>
      <c r="F187" s="122"/>
      <c r="G187" s="122"/>
      <c r="H187" s="122"/>
      <c r="I187" s="122"/>
    </row>
    <row r="188" spans="1:9" x14ac:dyDescent="0.2">
      <c r="A188" s="122"/>
      <c r="B188" s="122"/>
      <c r="C188" s="122"/>
      <c r="D188" s="122"/>
      <c r="E188" s="122"/>
      <c r="F188" s="122"/>
      <c r="G188" s="122"/>
      <c r="H188" s="122"/>
      <c r="I188" s="122"/>
    </row>
    <row r="189" spans="1:9" x14ac:dyDescent="0.2">
      <c r="A189" s="122"/>
      <c r="B189" s="122"/>
      <c r="C189" s="122"/>
      <c r="D189" s="122"/>
      <c r="E189" s="122"/>
      <c r="F189" s="122"/>
      <c r="G189" s="122"/>
      <c r="H189" s="122"/>
      <c r="I189" s="122"/>
    </row>
    <row r="190" spans="1:9" x14ac:dyDescent="0.2">
      <c r="A190" s="122"/>
      <c r="B190" s="122"/>
      <c r="C190" s="122"/>
      <c r="D190" s="122"/>
      <c r="E190" s="122"/>
      <c r="F190" s="122"/>
      <c r="G190" s="122"/>
      <c r="H190" s="122"/>
      <c r="I190" s="122"/>
    </row>
    <row r="191" spans="1:9" x14ac:dyDescent="0.2">
      <c r="A191" s="122"/>
      <c r="B191" s="122"/>
      <c r="C191" s="122"/>
      <c r="D191" s="122"/>
      <c r="E191" s="122"/>
      <c r="F191" s="122"/>
      <c r="G191" s="122"/>
      <c r="H191" s="122"/>
      <c r="I191" s="122"/>
    </row>
    <row r="192" spans="1:9" x14ac:dyDescent="0.2">
      <c r="A192" s="122"/>
      <c r="B192" s="122"/>
      <c r="C192" s="122"/>
      <c r="D192" s="122"/>
      <c r="E192" s="122"/>
      <c r="F192" s="122"/>
      <c r="G192" s="122"/>
      <c r="H192" s="122"/>
      <c r="I192" s="122"/>
    </row>
    <row r="193" spans="1:9" x14ac:dyDescent="0.2">
      <c r="A193" s="122"/>
      <c r="B193" s="122"/>
      <c r="C193" s="122"/>
      <c r="D193" s="122"/>
      <c r="E193" s="122"/>
      <c r="F193" s="122"/>
      <c r="G193" s="122"/>
      <c r="H193" s="122"/>
      <c r="I193" s="122"/>
    </row>
    <row r="194" spans="1:9" x14ac:dyDescent="0.2">
      <c r="A194" s="122"/>
      <c r="B194" s="122"/>
      <c r="C194" s="122"/>
      <c r="D194" s="122"/>
      <c r="E194" s="122"/>
      <c r="F194" s="122"/>
      <c r="G194" s="122"/>
      <c r="H194" s="122"/>
      <c r="I194" s="122"/>
    </row>
    <row r="195" spans="1:9" x14ac:dyDescent="0.2">
      <c r="A195" s="122"/>
      <c r="B195" s="122"/>
      <c r="C195" s="122"/>
      <c r="D195" s="122"/>
      <c r="E195" s="122"/>
      <c r="F195" s="122"/>
      <c r="G195" s="122"/>
      <c r="H195" s="122"/>
      <c r="I195" s="122"/>
    </row>
    <row r="196" spans="1:9" x14ac:dyDescent="0.2">
      <c r="A196" s="122"/>
      <c r="B196" s="122"/>
      <c r="C196" s="122"/>
      <c r="D196" s="122"/>
      <c r="E196" s="122"/>
      <c r="F196" s="122"/>
      <c r="G196" s="122"/>
      <c r="H196" s="122"/>
      <c r="I196" s="122"/>
    </row>
    <row r="197" spans="1:9" x14ac:dyDescent="0.2">
      <c r="A197" s="122"/>
      <c r="B197" s="122"/>
      <c r="C197" s="122"/>
      <c r="D197" s="122"/>
      <c r="E197" s="122"/>
      <c r="F197" s="122"/>
      <c r="G197" s="122"/>
      <c r="H197" s="122"/>
      <c r="I197" s="122"/>
    </row>
    <row r="198" spans="1:9" x14ac:dyDescent="0.2">
      <c r="A198" s="122"/>
      <c r="B198" s="122"/>
      <c r="C198" s="122"/>
      <c r="D198" s="122"/>
      <c r="E198" s="122"/>
      <c r="F198" s="122"/>
      <c r="G198" s="122"/>
      <c r="H198" s="122"/>
      <c r="I198" s="122"/>
    </row>
    <row r="199" spans="1:9" x14ac:dyDescent="0.2">
      <c r="A199" s="122"/>
      <c r="B199" s="122"/>
      <c r="C199" s="122"/>
      <c r="D199" s="122"/>
      <c r="E199" s="122"/>
      <c r="F199" s="122"/>
      <c r="G199" s="122"/>
      <c r="H199" s="122"/>
      <c r="I199" s="122"/>
    </row>
    <row r="200" spans="1:9" x14ac:dyDescent="0.2">
      <c r="A200" s="122"/>
      <c r="B200" s="122"/>
      <c r="C200" s="122"/>
      <c r="D200" s="122"/>
      <c r="E200" s="122"/>
      <c r="F200" s="122"/>
      <c r="G200" s="122"/>
      <c r="H200" s="122"/>
      <c r="I200" s="122"/>
    </row>
    <row r="201" spans="1:9" x14ac:dyDescent="0.2">
      <c r="A201" s="122"/>
      <c r="B201" s="122"/>
      <c r="C201" s="122"/>
      <c r="D201" s="122"/>
      <c r="E201" s="122"/>
      <c r="F201" s="122"/>
      <c r="G201" s="122"/>
      <c r="H201" s="122"/>
      <c r="I201" s="122"/>
    </row>
    <row r="202" spans="1:9" x14ac:dyDescent="0.2">
      <c r="A202" s="122"/>
      <c r="B202" s="122"/>
      <c r="C202" s="122"/>
      <c r="D202" s="122"/>
      <c r="E202" s="122"/>
      <c r="F202" s="122"/>
      <c r="G202" s="122"/>
      <c r="H202" s="122"/>
      <c r="I202" s="122"/>
    </row>
    <row r="203" spans="1:9" x14ac:dyDescent="0.2">
      <c r="A203" s="122"/>
      <c r="B203" s="122"/>
      <c r="C203" s="122"/>
      <c r="D203" s="122"/>
      <c r="E203" s="122"/>
      <c r="F203" s="122"/>
      <c r="G203" s="122"/>
      <c r="H203" s="122"/>
      <c r="I203" s="122"/>
    </row>
    <row r="204" spans="1:9" x14ac:dyDescent="0.2">
      <c r="A204" s="122"/>
      <c r="B204" s="122"/>
      <c r="C204" s="122"/>
      <c r="D204" s="122"/>
      <c r="E204" s="122"/>
      <c r="F204" s="122"/>
      <c r="G204" s="122"/>
      <c r="H204" s="122"/>
      <c r="I204" s="122"/>
    </row>
    <row r="205" spans="1:9" x14ac:dyDescent="0.2">
      <c r="A205" s="122"/>
      <c r="B205" s="122"/>
      <c r="C205" s="122"/>
      <c r="D205" s="122"/>
      <c r="E205" s="122"/>
      <c r="F205" s="122"/>
      <c r="G205" s="122"/>
      <c r="H205" s="122"/>
      <c r="I205" s="122"/>
    </row>
    <row r="206" spans="1:9" x14ac:dyDescent="0.2">
      <c r="A206" s="122"/>
      <c r="B206" s="122"/>
      <c r="C206" s="122"/>
      <c r="D206" s="122"/>
      <c r="E206" s="122"/>
      <c r="F206" s="122"/>
      <c r="G206" s="122"/>
      <c r="H206" s="122"/>
      <c r="I206" s="122"/>
    </row>
    <row r="207" spans="1:9" x14ac:dyDescent="0.2">
      <c r="A207" s="122"/>
      <c r="B207" s="122"/>
      <c r="C207" s="122"/>
      <c r="D207" s="122"/>
      <c r="E207" s="122"/>
      <c r="F207" s="122"/>
      <c r="G207" s="122"/>
      <c r="H207" s="122"/>
      <c r="I207" s="122"/>
    </row>
    <row r="208" spans="1:9" x14ac:dyDescent="0.2">
      <c r="A208" s="122"/>
      <c r="B208" s="122"/>
      <c r="C208" s="122"/>
      <c r="D208" s="122"/>
      <c r="E208" s="122"/>
      <c r="F208" s="122"/>
      <c r="G208" s="122"/>
      <c r="H208" s="122"/>
      <c r="I208" s="122"/>
    </row>
    <row r="209" spans="1:9" x14ac:dyDescent="0.2">
      <c r="A209" s="122"/>
      <c r="B209" s="122"/>
      <c r="C209" s="122"/>
      <c r="D209" s="122"/>
      <c r="E209" s="122"/>
      <c r="F209" s="122"/>
      <c r="G209" s="122"/>
      <c r="H209" s="122"/>
      <c r="I209" s="122"/>
    </row>
    <row r="210" spans="1:9" x14ac:dyDescent="0.2">
      <c r="A210" s="122"/>
      <c r="B210" s="122"/>
      <c r="C210" s="122"/>
      <c r="D210" s="122"/>
      <c r="E210" s="122"/>
      <c r="F210" s="122"/>
      <c r="G210" s="122"/>
      <c r="H210" s="122"/>
      <c r="I210" s="122"/>
    </row>
    <row r="211" spans="1:9" x14ac:dyDescent="0.2">
      <c r="A211" s="122"/>
      <c r="B211" s="122"/>
      <c r="C211" s="122"/>
      <c r="D211" s="122"/>
      <c r="E211" s="122"/>
      <c r="F211" s="122"/>
      <c r="G211" s="122"/>
      <c r="H211" s="122"/>
      <c r="I211" s="122"/>
    </row>
    <row r="212" spans="1:9" x14ac:dyDescent="0.2">
      <c r="A212" s="122"/>
      <c r="B212" s="122"/>
      <c r="C212" s="122"/>
      <c r="D212" s="122"/>
      <c r="E212" s="122"/>
      <c r="F212" s="122"/>
      <c r="G212" s="122"/>
      <c r="H212" s="122"/>
      <c r="I212" s="122"/>
    </row>
    <row r="213" spans="1:9" x14ac:dyDescent="0.2">
      <c r="A213" s="122"/>
      <c r="B213" s="122"/>
      <c r="C213" s="122"/>
      <c r="D213" s="122"/>
      <c r="E213" s="122"/>
      <c r="F213" s="122"/>
      <c r="G213" s="122"/>
      <c r="H213" s="122"/>
      <c r="I213" s="122"/>
    </row>
    <row r="214" spans="1:9" x14ac:dyDescent="0.2">
      <c r="A214" s="122"/>
      <c r="B214" s="122"/>
      <c r="C214" s="122"/>
      <c r="D214" s="122"/>
      <c r="E214" s="122"/>
      <c r="F214" s="122"/>
      <c r="G214" s="122"/>
      <c r="H214" s="122"/>
      <c r="I214" s="122"/>
    </row>
    <row r="215" spans="1:9" x14ac:dyDescent="0.2">
      <c r="A215" s="122"/>
      <c r="B215" s="122"/>
      <c r="C215" s="122"/>
      <c r="D215" s="122"/>
      <c r="E215" s="122"/>
      <c r="F215" s="122"/>
      <c r="G215" s="122"/>
      <c r="H215" s="122"/>
      <c r="I215" s="122"/>
    </row>
    <row r="216" spans="1:9" x14ac:dyDescent="0.2">
      <c r="A216" s="122"/>
      <c r="B216" s="122"/>
      <c r="C216" s="122"/>
      <c r="D216" s="122"/>
      <c r="E216" s="122"/>
      <c r="F216" s="122"/>
      <c r="G216" s="122"/>
      <c r="H216" s="122"/>
      <c r="I216" s="122"/>
    </row>
    <row r="217" spans="1:9" x14ac:dyDescent="0.2">
      <c r="A217" s="122"/>
      <c r="B217" s="122"/>
      <c r="C217" s="122"/>
      <c r="D217" s="122"/>
      <c r="E217" s="122"/>
      <c r="F217" s="122"/>
      <c r="G217" s="122"/>
      <c r="H217" s="122"/>
      <c r="I217" s="122"/>
    </row>
    <row r="218" spans="1:9" x14ac:dyDescent="0.2">
      <c r="A218" s="122"/>
      <c r="B218" s="122"/>
      <c r="C218" s="122"/>
      <c r="D218" s="122"/>
      <c r="E218" s="122"/>
      <c r="F218" s="122"/>
      <c r="G218" s="122"/>
      <c r="H218" s="122"/>
      <c r="I218" s="122"/>
    </row>
    <row r="219" spans="1:9" x14ac:dyDescent="0.2">
      <c r="A219" s="122"/>
      <c r="B219" s="122"/>
      <c r="C219" s="122"/>
      <c r="D219" s="122"/>
      <c r="E219" s="122"/>
      <c r="F219" s="122"/>
      <c r="G219" s="122"/>
      <c r="H219" s="122"/>
      <c r="I219" s="122"/>
    </row>
    <row r="220" spans="1:9" x14ac:dyDescent="0.2">
      <c r="A220" s="122"/>
      <c r="B220" s="122"/>
      <c r="C220" s="122"/>
      <c r="D220" s="122"/>
      <c r="E220" s="122"/>
      <c r="F220" s="122"/>
      <c r="G220" s="122"/>
      <c r="H220" s="122"/>
      <c r="I220" s="122"/>
    </row>
    <row r="221" spans="1:9" x14ac:dyDescent="0.2">
      <c r="A221" s="122"/>
      <c r="B221" s="122"/>
      <c r="C221" s="122"/>
      <c r="D221" s="122"/>
      <c r="E221" s="122"/>
      <c r="F221" s="122"/>
      <c r="G221" s="122"/>
      <c r="H221" s="122"/>
      <c r="I221" s="122"/>
    </row>
    <row r="222" spans="1:9" x14ac:dyDescent="0.2">
      <c r="A222" s="122"/>
      <c r="B222" s="122"/>
      <c r="C222" s="122"/>
      <c r="D222" s="122"/>
      <c r="E222" s="122"/>
      <c r="F222" s="122"/>
      <c r="G222" s="122"/>
      <c r="H222" s="122"/>
      <c r="I222" s="122"/>
    </row>
    <row r="223" spans="1:9" x14ac:dyDescent="0.2">
      <c r="A223" s="122"/>
      <c r="B223" s="122"/>
      <c r="C223" s="122"/>
      <c r="D223" s="122"/>
      <c r="E223" s="122"/>
      <c r="F223" s="122"/>
      <c r="G223" s="122"/>
      <c r="H223" s="122"/>
      <c r="I223" s="122"/>
    </row>
  </sheetData>
  <sheetProtection selectLockedCells="1"/>
  <mergeCells count="19">
    <mergeCell ref="E34:G34"/>
    <mergeCell ref="A1:C1"/>
    <mergeCell ref="B5:C5"/>
    <mergeCell ref="B23:C23"/>
    <mergeCell ref="E27:G27"/>
    <mergeCell ref="E24:G24"/>
    <mergeCell ref="H15:I15"/>
    <mergeCell ref="G1:I1"/>
    <mergeCell ref="E30:G30"/>
    <mergeCell ref="F12:G12"/>
    <mergeCell ref="B3:E3"/>
    <mergeCell ref="B7:C7"/>
    <mergeCell ref="H5:I5"/>
    <mergeCell ref="A15:D15"/>
    <mergeCell ref="E44:G44"/>
    <mergeCell ref="E36:G36"/>
    <mergeCell ref="E39:G39"/>
    <mergeCell ref="E42:G42"/>
    <mergeCell ref="E38:F38"/>
  </mergeCells>
  <phoneticPr fontId="2" type="noConversion"/>
  <conditionalFormatting sqref="E66">
    <cfRule type="expression" dxfId="31" priority="1" stopIfTrue="1">
      <formula>E61&gt;D68</formula>
    </cfRule>
  </conditionalFormatting>
  <conditionalFormatting sqref="D67">
    <cfRule type="expression" dxfId="30" priority="2" stopIfTrue="1">
      <formula>D62&gt;C68</formula>
    </cfRule>
  </conditionalFormatting>
  <conditionalFormatting sqref="D59">
    <cfRule type="cellIs" dxfId="29" priority="3" stopIfTrue="1" operator="lessThan">
      <formula>$D$58</formula>
    </cfRule>
  </conditionalFormatting>
  <conditionalFormatting sqref="I26">
    <cfRule type="cellIs" dxfId="28" priority="4" stopIfTrue="1" operator="lessThan">
      <formula>1</formula>
    </cfRule>
  </conditionalFormatting>
  <conditionalFormatting sqref="C14">
    <cfRule type="expression" dxfId="27" priority="5" stopIfTrue="1">
      <formula>$J$18&gt;0</formula>
    </cfRule>
  </conditionalFormatting>
  <conditionalFormatting sqref="E30:G30">
    <cfRule type="expression" dxfId="26" priority="6" stopIfTrue="1">
      <formula>$P$30=TRUE</formula>
    </cfRule>
  </conditionalFormatting>
  <conditionalFormatting sqref="A15:D15">
    <cfRule type="expression" dxfId="25" priority="7" stopIfTrue="1">
      <formula>$C$14&gt;40</formula>
    </cfRule>
  </conditionalFormatting>
  <conditionalFormatting sqref="E34:G34">
    <cfRule type="expression" dxfId="24" priority="8" stopIfTrue="1">
      <formula>AND($G$32&gt;15,ISNUMBER($G$32))</formula>
    </cfRule>
  </conditionalFormatting>
  <conditionalFormatting sqref="G38">
    <cfRule type="expression" dxfId="23" priority="9" stopIfTrue="1">
      <formula>Position="No Orifice"</formula>
    </cfRule>
  </conditionalFormatting>
  <pageMargins left="0.6" right="0.6" top="1" bottom="0.75" header="0.5" footer="0.5"/>
  <pageSetup scale="99" orientation="portrait" r:id="rId1"/>
  <headerFooter alignWithMargins="0"/>
  <drawing r:id="rId2"/>
  <legacyDrawing r:id="rId3"/>
  <controls>
    <mc:AlternateContent xmlns:mc="http://schemas.openxmlformats.org/markup-compatibility/2006">
      <mc:Choice Requires="x14">
        <control shapeId="5133" r:id="rId4" name="CommandButton2">
          <controlPr locked="0" defaultSize="0" print="0" autoLine="0" r:id="rId5">
            <anchor moveWithCells="1">
              <from>
                <xdr:col>4</xdr:col>
                <xdr:colOff>76200</xdr:colOff>
                <xdr:row>4</xdr:row>
                <xdr:rowOff>47625</xdr:rowOff>
              </from>
              <to>
                <xdr:col>5</xdr:col>
                <xdr:colOff>190500</xdr:colOff>
                <xdr:row>5</xdr:row>
                <xdr:rowOff>123825</xdr:rowOff>
              </to>
            </anchor>
          </controlPr>
        </control>
      </mc:Choice>
      <mc:Fallback>
        <control shapeId="5133" r:id="rId4" name="CommandButton2"/>
      </mc:Fallback>
    </mc:AlternateContent>
    <mc:AlternateContent xmlns:mc="http://schemas.openxmlformats.org/markup-compatibility/2006">
      <mc:Choice Requires="x14">
        <control shapeId="5127" r:id="rId6" name="ComboBox3">
          <controlPr locked="0" defaultSize="0" autoLine="0" linkedCell="Position" listFillRange="Defaults!L32:L34" r:id="rId7">
            <anchor moveWithCells="1">
              <from>
                <xdr:col>6</xdr:col>
                <xdr:colOff>9525</xdr:colOff>
                <xdr:row>21</xdr:row>
                <xdr:rowOff>142875</xdr:rowOff>
              </from>
              <to>
                <xdr:col>7</xdr:col>
                <xdr:colOff>200025</xdr:colOff>
                <xdr:row>23</xdr:row>
                <xdr:rowOff>28575</xdr:rowOff>
              </to>
            </anchor>
          </controlPr>
        </control>
      </mc:Choice>
      <mc:Fallback>
        <control shapeId="5127" r:id="rId6" name="ComboBox3"/>
      </mc:Fallback>
    </mc:AlternateContent>
    <mc:AlternateContent xmlns:mc="http://schemas.openxmlformats.org/markup-compatibility/2006">
      <mc:Choice Requires="x14">
        <control shapeId="5125" r:id="rId8" name="ComboBox2">
          <controlPr locked="0" defaultSize="0" autoLine="0" linkedCell="Storm" listFillRange="Defaults!L18:L19" r:id="rId9">
            <anchor moveWithCells="1">
              <from>
                <xdr:col>1</xdr:col>
                <xdr:colOff>142875</xdr:colOff>
                <xdr:row>10</xdr:row>
                <xdr:rowOff>133350</xdr:rowOff>
              </from>
              <to>
                <xdr:col>2</xdr:col>
                <xdr:colOff>171450</xdr:colOff>
                <xdr:row>12</xdr:row>
                <xdr:rowOff>47625</xdr:rowOff>
              </to>
            </anchor>
          </controlPr>
        </control>
      </mc:Choice>
      <mc:Fallback>
        <control shapeId="5125" r:id="rId8" name="ComboBox2"/>
      </mc:Fallback>
    </mc:AlternateContent>
    <mc:AlternateContent xmlns:mc="http://schemas.openxmlformats.org/markup-compatibility/2006">
      <mc:Choice Requires="x14">
        <control shapeId="5124" r:id="rId10" name="ComboBox1">
          <controlPr locked="0" defaultSize="0" autoFill="0" autoLine="0" linkedCell="County" listFillRange="Defaults!B2:B93" r:id="rId11">
            <anchor moveWithCells="1">
              <from>
                <xdr:col>1</xdr:col>
                <xdr:colOff>0</xdr:colOff>
                <xdr:row>3</xdr:row>
                <xdr:rowOff>142875</xdr:rowOff>
              </from>
              <to>
                <xdr:col>3</xdr:col>
                <xdr:colOff>57150</xdr:colOff>
                <xdr:row>5</xdr:row>
                <xdr:rowOff>38100</xdr:rowOff>
              </to>
            </anchor>
          </controlPr>
        </control>
      </mc:Choice>
      <mc:Fallback>
        <control shapeId="5124" r:id="rId10" name="ComboBox1"/>
      </mc:Fallback>
    </mc:AlternateContent>
    <mc:AlternateContent xmlns:mc="http://schemas.openxmlformats.org/markup-compatibility/2006">
      <mc:Choice Requires="x14">
        <control shapeId="5123" r:id="rId12" name="CommandButton1">
          <controlPr defaultSize="0" print="0" autoLine="0" r:id="rId13">
            <anchor moveWithCells="1">
              <from>
                <xdr:col>7</xdr:col>
                <xdr:colOff>371475</xdr:colOff>
                <xdr:row>7</xdr:row>
                <xdr:rowOff>104775</xdr:rowOff>
              </from>
              <to>
                <xdr:col>8</xdr:col>
                <xdr:colOff>390525</xdr:colOff>
                <xdr:row>9</xdr:row>
                <xdr:rowOff>57150</xdr:rowOff>
              </to>
            </anchor>
          </controlPr>
        </control>
      </mc:Choice>
      <mc:Fallback>
        <control shapeId="5123" r:id="rId12" name="CommandButton1"/>
      </mc:Fallback>
    </mc:AlternateContent>
    <mc:AlternateContent xmlns:mc="http://schemas.openxmlformats.org/markup-compatibility/2006">
      <mc:Choice Requires="x14">
        <control shapeId="5142" r:id="rId14" name="OptionButton1">
          <controlPr autoLine="0" linkedCell="Defaults!M75" r:id="rId15">
            <anchor moveWithCells="1">
              <from>
                <xdr:col>7</xdr:col>
                <xdr:colOff>266700</xdr:colOff>
                <xdr:row>15</xdr:row>
                <xdr:rowOff>57150</xdr:rowOff>
              </from>
              <to>
                <xdr:col>8</xdr:col>
                <xdr:colOff>485775</xdr:colOff>
                <xdr:row>16</xdr:row>
                <xdr:rowOff>123825</xdr:rowOff>
              </to>
            </anchor>
          </controlPr>
        </control>
      </mc:Choice>
      <mc:Fallback>
        <control shapeId="5142" r:id="rId14" name="OptionButton1"/>
      </mc:Fallback>
    </mc:AlternateContent>
    <mc:AlternateContent xmlns:mc="http://schemas.openxmlformats.org/markup-compatibility/2006">
      <mc:Choice Requires="x14">
        <control shapeId="5143" r:id="rId16" name="OptionButton2">
          <controlPr autoLine="0" linkedCell="Defaults!M76" r:id="rId17">
            <anchor moveWithCells="1">
              <from>
                <xdr:col>7</xdr:col>
                <xdr:colOff>266700</xdr:colOff>
                <xdr:row>16</xdr:row>
                <xdr:rowOff>142875</xdr:rowOff>
              </from>
              <to>
                <xdr:col>8</xdr:col>
                <xdr:colOff>409575</xdr:colOff>
                <xdr:row>18</xdr:row>
                <xdr:rowOff>28575</xdr:rowOff>
              </to>
            </anchor>
          </controlPr>
        </control>
      </mc:Choice>
      <mc:Fallback>
        <control shapeId="5143" r:id="rId16" name="Option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indexed="42"/>
  </sheetPr>
  <dimension ref="A1:AE1912"/>
  <sheetViews>
    <sheetView showGridLines="0" zoomScaleNormal="100" workbookViewId="0">
      <selection activeCell="D10" sqref="D10"/>
    </sheetView>
  </sheetViews>
  <sheetFormatPr defaultRowHeight="12.75" x14ac:dyDescent="0.2"/>
  <cols>
    <col min="1" max="1" width="6.5703125" customWidth="1"/>
    <col min="2" max="2" width="8.28515625" customWidth="1"/>
    <col min="3" max="3" width="8.140625" customWidth="1"/>
    <col min="4" max="4" width="10.140625" customWidth="1"/>
    <col min="5" max="5" width="10.28515625" bestFit="1" customWidth="1"/>
    <col min="6" max="6" width="9.7109375" customWidth="1"/>
    <col min="7" max="7" width="10.28515625" bestFit="1" customWidth="1"/>
    <col min="8" max="8" width="10.7109375" customWidth="1"/>
    <col min="9" max="9" width="8.42578125" customWidth="1"/>
    <col min="10" max="10" width="14.85546875" customWidth="1"/>
    <col min="11" max="11" width="7.28515625" customWidth="1"/>
    <col min="12" max="12" width="18.7109375" hidden="1" customWidth="1"/>
    <col min="13" max="20" width="7.28515625" hidden="1" customWidth="1"/>
    <col min="21" max="32" width="7.28515625" customWidth="1"/>
  </cols>
  <sheetData>
    <row r="1" spans="1:13" ht="24.75" thickTop="1" thickBot="1" x14ac:dyDescent="0.4">
      <c r="A1" s="232" t="s">
        <v>152</v>
      </c>
      <c r="B1" s="233"/>
      <c r="C1" s="233"/>
      <c r="D1" s="233"/>
      <c r="E1" s="231"/>
      <c r="F1" s="231"/>
      <c r="G1" s="231"/>
      <c r="H1" s="234"/>
      <c r="I1" s="374"/>
      <c r="J1" s="375"/>
    </row>
    <row r="2" spans="1:13" ht="12.75" customHeight="1" thickTop="1" x14ac:dyDescent="0.2">
      <c r="A2" s="2"/>
      <c r="B2" s="2"/>
      <c r="C2" s="2"/>
      <c r="D2" s="1"/>
      <c r="E2" s="1"/>
      <c r="F2" s="3"/>
      <c r="G2" s="1"/>
      <c r="H2" s="1"/>
      <c r="I2" s="1"/>
      <c r="J2" s="1"/>
    </row>
    <row r="3" spans="1:13" ht="15.75" customHeight="1" x14ac:dyDescent="0.25">
      <c r="A3" s="386" t="s">
        <v>1</v>
      </c>
      <c r="B3" s="386"/>
      <c r="C3" s="352"/>
      <c r="D3" s="352"/>
      <c r="E3" s="352"/>
      <c r="F3" s="352"/>
      <c r="G3" s="352"/>
      <c r="H3" s="5"/>
      <c r="I3" s="6" t="s">
        <v>0</v>
      </c>
      <c r="J3" s="65">
        <f ca="1">TODAY()</f>
        <v>41305</v>
      </c>
    </row>
    <row r="4" spans="1:13" ht="12.75" customHeight="1" x14ac:dyDescent="0.2">
      <c r="A4" s="1"/>
      <c r="B4" s="1"/>
      <c r="H4" s="1"/>
      <c r="I4" s="1"/>
      <c r="J4" s="1"/>
      <c r="M4" s="191"/>
    </row>
    <row r="5" spans="1:13" ht="12.75" customHeight="1" x14ac:dyDescent="0.2">
      <c r="A5" s="387" t="s">
        <v>3</v>
      </c>
      <c r="B5" s="387"/>
      <c r="C5" s="192"/>
      <c r="D5" s="192"/>
      <c r="E5" s="1"/>
      <c r="H5" s="8" t="s">
        <v>2</v>
      </c>
      <c r="I5" s="354"/>
      <c r="J5" s="354"/>
      <c r="M5" s="167"/>
    </row>
    <row r="6" spans="1:13" ht="12.75" customHeight="1" x14ac:dyDescent="0.2">
      <c r="A6" s="2"/>
      <c r="B6" s="10"/>
      <c r="C6" s="10"/>
      <c r="D6" s="10"/>
      <c r="E6" s="1"/>
      <c r="F6" s="66"/>
      <c r="G6" s="66"/>
      <c r="H6" s="67" t="s">
        <v>116</v>
      </c>
      <c r="I6" s="382"/>
      <c r="J6" s="382"/>
    </row>
    <row r="7" spans="1:13" ht="12.75" customHeight="1" x14ac:dyDescent="0.2">
      <c r="A7" s="387" t="s">
        <v>115</v>
      </c>
      <c r="B7" s="387"/>
      <c r="C7" s="354"/>
      <c r="D7" s="354"/>
      <c r="E7" s="354"/>
      <c r="F7" s="1"/>
      <c r="G7" s="1"/>
      <c r="H7" s="67" t="s">
        <v>0</v>
      </c>
      <c r="I7" s="382"/>
      <c r="J7" s="382"/>
    </row>
    <row r="8" spans="1:13" ht="12.75" customHeight="1" x14ac:dyDescent="0.2">
      <c r="J8" s="1"/>
    </row>
    <row r="9" spans="1:13" ht="12.75" customHeight="1" x14ac:dyDescent="0.2">
      <c r="A9" s="387" t="s">
        <v>4</v>
      </c>
      <c r="B9" s="387"/>
      <c r="C9" s="7"/>
      <c r="D9" s="70" t="s">
        <v>5</v>
      </c>
      <c r="E9" s="9"/>
      <c r="F9" s="71" t="s">
        <v>202</v>
      </c>
      <c r="G9" s="9"/>
      <c r="H9" s="72" t="s">
        <v>114</v>
      </c>
      <c r="I9" s="1"/>
      <c r="J9" s="1"/>
    </row>
    <row r="10" spans="1:13" ht="12.75" customHeight="1" x14ac:dyDescent="0.2">
      <c r="A10" s="68"/>
      <c r="B10" s="68"/>
      <c r="C10" s="68"/>
      <c r="D10" s="68"/>
      <c r="E10" s="68"/>
      <c r="F10" s="68"/>
      <c r="G10" s="68"/>
      <c r="H10" s="68"/>
      <c r="I10" s="24"/>
      <c r="J10" s="24"/>
    </row>
    <row r="12" spans="1:13" x14ac:dyDescent="0.2">
      <c r="A12" s="388" t="str">
        <f>IF(ISNUMBER('WASCOB Design 1'!G45),"Basin "&amp;'WASCOB Design 1'!F12&amp;" Tile Inlet Stationing","")</f>
        <v/>
      </c>
      <c r="B12" s="388"/>
      <c r="C12" s="388"/>
      <c r="D12" s="388"/>
      <c r="E12" s="388"/>
      <c r="F12" s="162"/>
      <c r="M12" t="b">
        <f>IF(ISNUMBER('WASCOB Design 1'!$G$45),TRUE,FALSE)</f>
        <v>0</v>
      </c>
    </row>
    <row r="13" spans="1:13" x14ac:dyDescent="0.2">
      <c r="A13" s="388" t="str">
        <f>IF(ISNUMBER('WASCOB Design 2'!G45),"Basin "&amp;'WASCOB Design 2'!F12&amp;" Tile Inlet Stationing","")</f>
        <v/>
      </c>
      <c r="B13" s="388"/>
      <c r="C13" s="388"/>
      <c r="D13" s="388"/>
      <c r="E13" s="388"/>
      <c r="F13" s="162"/>
      <c r="M13" t="b">
        <f>IF(ISNUMBER('WASCOB Design 2'!$G$45),TRUE,FALSE)</f>
        <v>0</v>
      </c>
    </row>
    <row r="14" spans="1:13" x14ac:dyDescent="0.2">
      <c r="A14" s="388" t="str">
        <f>IF(ISNUMBER('WASCOB Design 3'!G45),"Basin "&amp;'WASCOB Design 3'!F12&amp;" Tile Inlet Stationing","")</f>
        <v/>
      </c>
      <c r="B14" s="388"/>
      <c r="C14" s="388"/>
      <c r="D14" s="388"/>
      <c r="E14" s="388"/>
      <c r="F14" s="162"/>
      <c r="M14" t="b">
        <f>IF(ISNUMBER('WASCOB Design 3'!$G$45),TRUE,FALSE)</f>
        <v>0</v>
      </c>
    </row>
    <row r="16" spans="1:13" ht="33.75" customHeight="1" x14ac:dyDescent="0.2">
      <c r="A16" s="94" t="s">
        <v>150</v>
      </c>
      <c r="B16" s="384" t="s">
        <v>11</v>
      </c>
      <c r="C16" s="385"/>
      <c r="D16" s="95" t="s">
        <v>155</v>
      </c>
      <c r="E16" s="95" t="s">
        <v>156</v>
      </c>
      <c r="F16" s="95" t="s">
        <v>158</v>
      </c>
      <c r="G16" s="95" t="s">
        <v>157</v>
      </c>
      <c r="H16" s="94" t="s">
        <v>154</v>
      </c>
      <c r="I16" s="376" t="s">
        <v>153</v>
      </c>
      <c r="J16" s="377"/>
      <c r="K16" s="92"/>
    </row>
    <row r="17" spans="1:18" ht="15" customHeight="1" x14ac:dyDescent="0.2">
      <c r="A17" s="97">
        <v>1</v>
      </c>
      <c r="B17" s="105"/>
      <c r="C17" s="181"/>
      <c r="D17" s="158"/>
      <c r="E17" s="89"/>
      <c r="F17" s="96" t="str">
        <f>IF(AND(ISNUMBER(D17),ISNUMBER(E17),ISTEXT(L17)=TRUE),P17+Q17+R17,"")</f>
        <v/>
      </c>
      <c r="G17" s="20"/>
      <c r="H17" s="160"/>
      <c r="I17" s="378"/>
      <c r="J17" s="379"/>
      <c r="L17" s="167"/>
      <c r="M17" s="167"/>
      <c r="P17" s="141" t="str">
        <f>IF(D17&gt;E17,IF(ISNUMBER(E17),IF(AND($F$12&lt;=D17,$F$12&gt;E17)=TRUE,IF(Defaults!$M$37=TRUE,'WASCOB Design 1'!$G$40,IF(Defaults!$M$38=TRUE,'WASCOB Design 1'!$G$41,"0")),IF(ISNUMBER(P16),P16,"0")),""),IF(ISNUMBER(E17),IF(AND(ISNUMBER($F$12),$F$12&gt;=D17,$F$12&lt;E17)=TRUE,IF(Defaults!$M$37=TRUE,'WASCOB Design 1'!$G$40,IF(Defaults!$M$38=TRUE,'WASCOB Design 1'!$G$41,"")),IF(ISNUMBER(P16),P16,"0")),""))</f>
        <v/>
      </c>
      <c r="Q17" s="141" t="str">
        <f>IF(D17&gt;E17,IF(ISNUMBER(E17),IF(AND($F$13&lt;=D17,$F$13&gt;E17)=TRUE,IF(Defaults!$M$37=TRUE,'WASCOB Design 2'!$G$40,IF(Defaults!$M$38=TRUE,'WASCOB Design 2'!$G$41,"0")),IF(ISNUMBER(Q16),Q16,"0")),""),IF(ISNUMBER(E17),IF(AND(ISNUMBER($F$13),$F$13&gt;=D17,$F$13&lt;E17)=TRUE,IF(Defaults!$M$37=TRUE,'WASCOB Design 2'!$G$40,IF(Defaults!$M$38=TRUE,'WASCOB Design 2'!$G$41,"")),IF(ISNUMBER(Q16),Q16,"0")),""))</f>
        <v/>
      </c>
      <c r="R17" s="141" t="str">
        <f>IF(D17&gt;E17,IF(ISNUMBER(E17),IF(AND($F$14&lt;=D17,$F$14&gt;E17)=TRUE,IF(Defaults!$M$37=TRUE,'WASCOB Design 3'!$G$40,IF(Defaults!$M$38=TRUE,'WASCOB Design 3'!$G$41,"0")),IF(ISNUMBER(R16),R16,"0")),""),IF(ISNUMBER(E17),IF(AND(ISNUMBER($F$14),$F$14&gt;=D17,$F$14&lt;E17)=TRUE,IF(Defaults!$M$37=TRUE,'WASCOB Design 3'!$G$40,IF(Defaults!$M$38=TRUE,'WASCOB Design 3'!$G$41,"")),IF(ISNUMBER(R16),R16,"0")),""))</f>
        <v/>
      </c>
    </row>
    <row r="18" spans="1:18" ht="15" customHeight="1" x14ac:dyDescent="0.2">
      <c r="A18" s="97">
        <v>2</v>
      </c>
      <c r="B18" s="106"/>
      <c r="C18" s="182"/>
      <c r="D18" s="98" t="str">
        <f t="shared" ref="D18:D26" si="0">IF(ISNUMBER(E18),E17,"")</f>
        <v/>
      </c>
      <c r="E18" s="89"/>
      <c r="F18" s="96" t="str">
        <f t="shared" ref="F18:F26" si="1">IF(AND(ISNUMBER(D18),ISNUMBER(E18),ISTEXT(L18)=TRUE),P18+Q18+R18,"")</f>
        <v/>
      </c>
      <c r="G18" s="20"/>
      <c r="H18" s="160"/>
      <c r="I18" s="380"/>
      <c r="J18" s="381"/>
      <c r="L18" s="167"/>
      <c r="M18" s="167"/>
      <c r="P18" s="141" t="str">
        <f>IF(D18&gt;E18,IF(ISNUMBER(E18),IF(AND($F$12&lt;=D18,$F$12&gt;E18)=TRUE,IF(Defaults!$M$37=TRUE,'WASCOB Design 1'!$G$40,IF(Defaults!$M$38=TRUE,'WASCOB Design 1'!$G$41,"0")),IF(ISNUMBER(P17),P17,"0")),""),IF(ISNUMBER(E18),IF(AND(ISNUMBER($F$12),$F$12&gt;=D18,$F$12&lt;E18)=TRUE,IF(Defaults!$M$37=TRUE,'WASCOB Design 1'!$G$40,IF(Defaults!$M$38=TRUE,'WASCOB Design 1'!$G$41,"")),IF(ISNUMBER(P17),P17,"0")),""))</f>
        <v/>
      </c>
      <c r="Q18" s="141" t="str">
        <f>IF(D18&gt;E18,IF(ISNUMBER(E18),IF(AND($F$13&lt;=D18,$F$13&gt;E18)=TRUE,IF(Defaults!$M$37=TRUE,'WASCOB Design 2'!$G$40,IF(Defaults!$M$38=TRUE,'WASCOB Design 2'!$G$41,"0")),IF(ISNUMBER(Q17),Q17,"0")),""),IF(ISNUMBER(E18),IF(AND(ISNUMBER($F$13),$F$13&gt;=D18,$F$13&lt;E18)=TRUE,IF(Defaults!$M$37=TRUE,'WASCOB Design 2'!$G$40,IF(Defaults!$M$38=TRUE,'WASCOB Design 2'!$G$41,"")),IF(ISNUMBER(Q17),Q17,"0")),""))</f>
        <v/>
      </c>
      <c r="R18" s="141" t="str">
        <f>IF(D18&gt;E18,IF(ISNUMBER(E18),IF(AND($F$14&lt;=D18,$F$14&gt;E18)=TRUE,IF(Defaults!$M$37=TRUE,'WASCOB Design 3'!$G$40,IF(Defaults!$M$38=TRUE,'WASCOB Design 3'!$G$41,"0")),IF(ISNUMBER(R17),R17,"0")),""),IF(ISNUMBER(E18),IF(AND(ISNUMBER($F$14),$F$14&gt;=D18,$F$14&lt;E18)=TRUE,IF(Defaults!$M$37=TRUE,'WASCOB Design 3'!$G$40,IF(Defaults!$M$38=TRUE,'WASCOB Design 3'!$G$41,"")),IF(ISNUMBER(R17),R17,"0")),""))</f>
        <v/>
      </c>
    </row>
    <row r="19" spans="1:18" ht="15" customHeight="1" x14ac:dyDescent="0.2">
      <c r="A19" s="97">
        <v>3</v>
      </c>
      <c r="B19" s="106"/>
      <c r="C19" s="182"/>
      <c r="D19" s="98" t="str">
        <f t="shared" si="0"/>
        <v/>
      </c>
      <c r="E19" s="89"/>
      <c r="F19" s="96" t="str">
        <f t="shared" si="1"/>
        <v/>
      </c>
      <c r="G19" s="20"/>
      <c r="H19" s="160"/>
      <c r="I19" s="380"/>
      <c r="J19" s="381"/>
      <c r="L19" s="167"/>
      <c r="M19" s="167"/>
      <c r="P19" s="141" t="str">
        <f>IF(D19&gt;E19,IF(ISNUMBER(E19),IF(AND($F$12&lt;=D19,$F$12&gt;E19)=TRUE,IF(Defaults!$M$37=TRUE,'WASCOB Design 1'!$G$40,IF(Defaults!$M$38=TRUE,'WASCOB Design 1'!$G$41,"0")),IF(ISNUMBER(P18),P18,"0")),""),IF(ISNUMBER(E19),IF(AND(ISNUMBER($F$12),$F$12&gt;=D19,$F$12&lt;E19)=TRUE,IF(Defaults!$M$37=TRUE,'WASCOB Design 1'!$G$40,IF(Defaults!$M$38=TRUE,'WASCOB Design 1'!$G$41,"")),IF(ISNUMBER(P18),P18,"0")),""))</f>
        <v/>
      </c>
      <c r="Q19" s="141" t="str">
        <f>IF(D19&gt;E19,IF(ISNUMBER(E19),IF(AND($F$13&lt;=D19,$F$13&gt;E19)=TRUE,IF(Defaults!$M$37=TRUE,'WASCOB Design 2'!$G$40,IF(Defaults!$M$38=TRUE,'WASCOB Design 2'!$G$41,"0")),IF(ISNUMBER(Q18),Q18,"0")),""),IF(ISNUMBER(E19),IF(AND(ISNUMBER($F$13),$F$13&gt;=D19,$F$13&lt;E19)=TRUE,IF(Defaults!$M$37=TRUE,'WASCOB Design 2'!$G$40,IF(Defaults!$M$38=TRUE,'WASCOB Design 2'!$G$41,"")),IF(ISNUMBER(Q18),Q18,"0")),""))</f>
        <v/>
      </c>
      <c r="R19" s="141" t="str">
        <f>IF(D19&gt;E19,IF(ISNUMBER(E19),IF(AND($F$14&lt;=D19,$F$14&gt;E19)=TRUE,IF(Defaults!$M$37=TRUE,'WASCOB Design 3'!$G$40,IF(Defaults!$M$38=TRUE,'WASCOB Design 3'!$G$41,"0")),IF(ISNUMBER(R18),R18,"0")),""),IF(ISNUMBER(E19),IF(AND(ISNUMBER($F$14),$F$14&gt;=D19,$F$14&lt;E19)=TRUE,IF(Defaults!$M$37=TRUE,'WASCOB Design 3'!$G$40,IF(Defaults!$M$38=TRUE,'WASCOB Design 3'!$G$41,"")),IF(ISNUMBER(R18),R18,"0")),""))</f>
        <v/>
      </c>
    </row>
    <row r="20" spans="1:18" ht="15" customHeight="1" x14ac:dyDescent="0.2">
      <c r="A20" s="97">
        <v>4</v>
      </c>
      <c r="B20" s="106"/>
      <c r="C20" s="182"/>
      <c r="D20" s="98" t="str">
        <f t="shared" si="0"/>
        <v/>
      </c>
      <c r="E20" s="89"/>
      <c r="F20" s="96" t="str">
        <f t="shared" si="1"/>
        <v/>
      </c>
      <c r="G20" s="20"/>
      <c r="H20" s="160"/>
      <c r="I20" s="380"/>
      <c r="J20" s="381"/>
      <c r="L20" s="167"/>
      <c r="M20" s="167"/>
      <c r="P20" s="141" t="str">
        <f>IF(D20&gt;E20,IF(ISNUMBER(E20),IF(AND($F$12&lt;=D20,$F$12&gt;E20)=TRUE,IF(Defaults!$M$37=TRUE,'WASCOB Design 1'!$G$40,IF(Defaults!$M$38=TRUE,'WASCOB Design 1'!$G$41,"0")),IF(ISNUMBER(P19),P19,"0")),""),IF(ISNUMBER(E20),IF(AND(ISNUMBER($F$12),$F$12&gt;=D20,$F$12&lt;E20)=TRUE,IF(Defaults!$M$37=TRUE,'WASCOB Design 1'!$G$40,IF(Defaults!$M$38=TRUE,'WASCOB Design 1'!$G$41,"")),IF(ISNUMBER(P19),P19,"0")),""))</f>
        <v/>
      </c>
      <c r="Q20" s="141" t="str">
        <f>IF(D20&gt;E20,IF(ISNUMBER(E20),IF(AND($F$13&lt;=D20,$F$13&gt;E20)=TRUE,IF(Defaults!$M$37=TRUE,'WASCOB Design 2'!$G$40,IF(Defaults!$M$38=TRUE,'WASCOB Design 2'!$G$41,"0")),IF(ISNUMBER(Q19),Q19,"0")),""),IF(ISNUMBER(E20),IF(AND(ISNUMBER($F$13),$F$13&gt;=D20,$F$13&lt;E20)=TRUE,IF(Defaults!$M$37=TRUE,'WASCOB Design 2'!$G$40,IF(Defaults!$M$38=TRUE,'WASCOB Design 2'!$G$41,"")),IF(ISNUMBER(Q19),Q19,"0")),""))</f>
        <v/>
      </c>
      <c r="R20" s="141" t="str">
        <f>IF(D20&gt;E20,IF(ISNUMBER(E20),IF(AND($F$14&lt;=D20,$F$14&gt;E20)=TRUE,IF(Defaults!$M$37=TRUE,'WASCOB Design 3'!$G$40,IF(Defaults!$M$38=TRUE,'WASCOB Design 3'!$G$41,"0")),IF(ISNUMBER(R19),R19,"0")),""),IF(ISNUMBER(E20),IF(AND(ISNUMBER($F$14),$F$14&gt;=D20,$F$14&lt;E20)=TRUE,IF(Defaults!$M$37=TRUE,'WASCOB Design 3'!$G$40,IF(Defaults!$M$38=TRUE,'WASCOB Design 3'!$G$41,"")),IF(ISNUMBER(R19),R19,"0")),""))</f>
        <v/>
      </c>
    </row>
    <row r="21" spans="1:18" ht="14.25" customHeight="1" x14ac:dyDescent="0.2">
      <c r="A21" s="97">
        <v>5</v>
      </c>
      <c r="B21" s="107"/>
      <c r="C21" s="183"/>
      <c r="D21" s="98" t="str">
        <f t="shared" si="0"/>
        <v/>
      </c>
      <c r="E21" s="159"/>
      <c r="F21" s="96" t="str">
        <f t="shared" si="1"/>
        <v/>
      </c>
      <c r="G21" s="177"/>
      <c r="H21" s="161"/>
      <c r="I21" s="389"/>
      <c r="J21" s="390"/>
      <c r="K21" s="102"/>
      <c r="L21" s="168"/>
      <c r="M21" s="167"/>
      <c r="P21" s="141" t="str">
        <f>IF(D21&gt;E21,IF(ISNUMBER(E21),IF(AND($F$12&lt;=D21,$F$12&gt;E21)=TRUE,IF(Defaults!$M$37=TRUE,'WASCOB Design 1'!$G$40,IF(Defaults!$M$38=TRUE,'WASCOB Design 1'!$G$41,"0")),IF(ISNUMBER(P20),P20,"0")),""),IF(ISNUMBER(E21),IF(AND(ISNUMBER($F$12),$F$12&gt;=D21,$F$12&lt;E21)=TRUE,IF(Defaults!$M$37=TRUE,'WASCOB Design 1'!$G$40,IF(Defaults!$M$38=TRUE,'WASCOB Design 1'!$G$41,"")),IF(ISNUMBER(P20),P20,"0")),""))</f>
        <v/>
      </c>
      <c r="Q21" s="141" t="str">
        <f>IF(D21&gt;E21,IF(ISNUMBER(E21),IF(AND($F$13&lt;=D21,$F$13&gt;E21)=TRUE,IF(Defaults!$M$37=TRUE,'WASCOB Design 2'!$G$40,IF(Defaults!$M$38=TRUE,'WASCOB Design 2'!$G$41,"0")),IF(ISNUMBER(Q20),Q20,"0")),""),IF(ISNUMBER(E21),IF(AND(ISNUMBER($F$13),$F$13&gt;=D21,$F$13&lt;E21)=TRUE,IF(Defaults!$M$37=TRUE,'WASCOB Design 2'!$G$40,IF(Defaults!$M$38=TRUE,'WASCOB Design 2'!$G$41,"")),IF(ISNUMBER(Q20),Q20,"0")),""))</f>
        <v/>
      </c>
      <c r="R21" s="141" t="str">
        <f>IF(D21&gt;E21,IF(ISNUMBER(E21),IF(AND($F$14&lt;=D21,$F$14&gt;E21)=TRUE,IF(Defaults!$M$37=TRUE,'WASCOB Design 3'!$G$40,IF(Defaults!$M$38=TRUE,'WASCOB Design 3'!$G$41,"0")),IF(ISNUMBER(R20),R20,"0")),""),IF(ISNUMBER(E21),IF(AND(ISNUMBER($F$14),$F$14&gt;=D21,$F$14&lt;E21)=TRUE,IF(Defaults!$M$37=TRUE,'WASCOB Design 3'!$G$40,IF(Defaults!$M$38=TRUE,'WASCOB Design 3'!$G$41,"")),IF(ISNUMBER(R20),R20,"0")),""))</f>
        <v/>
      </c>
    </row>
    <row r="22" spans="1:18" ht="14.25" customHeight="1" x14ac:dyDescent="0.2">
      <c r="A22" s="104">
        <v>6</v>
      </c>
      <c r="B22" s="106"/>
      <c r="C22" s="182"/>
      <c r="D22" s="98" t="str">
        <f t="shared" si="0"/>
        <v/>
      </c>
      <c r="E22" s="89"/>
      <c r="F22" s="96" t="str">
        <f t="shared" si="1"/>
        <v/>
      </c>
      <c r="G22" s="20"/>
      <c r="H22" s="160"/>
      <c r="I22" s="26"/>
      <c r="J22" s="103"/>
      <c r="L22" s="167"/>
      <c r="M22" s="167"/>
      <c r="P22" s="141" t="str">
        <f>IF(D22&gt;E22,IF(ISNUMBER(E22),IF(AND($F$12&lt;=D22,$F$12&gt;E22)=TRUE,IF(Defaults!$M$37=TRUE,'WASCOB Design 1'!$G$40,IF(Defaults!$M$38=TRUE,'WASCOB Design 1'!$G$41,"0")),IF(ISNUMBER(P21),P21,"0")),""),IF(ISNUMBER(E22),IF(AND(ISNUMBER($F$12),$F$12&gt;=D22,$F$12&lt;E22)=TRUE,IF(Defaults!$M$37=TRUE,'WASCOB Design 1'!$G$40,IF(Defaults!$M$38=TRUE,'WASCOB Design 1'!$G$41,"")),IF(ISNUMBER(P21),P21,"0")),""))</f>
        <v/>
      </c>
      <c r="Q22" s="141" t="str">
        <f>IF(D22&gt;E22,IF(ISNUMBER(E22),IF(AND($F$13&lt;=D22,$F$13&gt;E22)=TRUE,IF(Defaults!$M$37=TRUE,'WASCOB Design 2'!$G$40,IF(Defaults!$M$38=TRUE,'WASCOB Design 2'!$G$41,"0")),IF(ISNUMBER(Q21),Q21,"0")),""),IF(ISNUMBER(E22),IF(AND(ISNUMBER($F$13),$F$13&gt;=D22,$F$13&lt;E22)=TRUE,IF(Defaults!$M$37=TRUE,'WASCOB Design 2'!$G$40,IF(Defaults!$M$38=TRUE,'WASCOB Design 2'!$G$41,"")),IF(ISNUMBER(Q21),Q21,"0")),""))</f>
        <v/>
      </c>
      <c r="R22" s="141" t="str">
        <f>IF(D22&gt;E22,IF(ISNUMBER(E22),IF(AND($F$14&lt;=D22,$F$14&gt;E22)=TRUE,IF(Defaults!$M$37=TRUE,'WASCOB Design 3'!$G$40,IF(Defaults!$M$38=TRUE,'WASCOB Design 3'!$G$41,"0")),IF(ISNUMBER(R21),R21,"0")),""),IF(ISNUMBER(E22),IF(AND(ISNUMBER($F$14),$F$14&gt;=D22,$F$14&lt;E22)=TRUE,IF(Defaults!$M$37=TRUE,'WASCOB Design 3'!$G$40,IF(Defaults!$M$38=TRUE,'WASCOB Design 3'!$G$41,"")),IF(ISNUMBER(R21),R21,"0")),""))</f>
        <v/>
      </c>
    </row>
    <row r="23" spans="1:18" ht="14.25" customHeight="1" x14ac:dyDescent="0.2">
      <c r="A23" s="104">
        <v>7</v>
      </c>
      <c r="B23" s="106"/>
      <c r="C23" s="182"/>
      <c r="D23" s="98" t="str">
        <f t="shared" si="0"/>
        <v/>
      </c>
      <c r="E23" s="89"/>
      <c r="F23" s="96" t="str">
        <f t="shared" si="1"/>
        <v/>
      </c>
      <c r="G23" s="20"/>
      <c r="H23" s="160"/>
      <c r="I23" s="26"/>
      <c r="J23" s="103"/>
      <c r="L23" s="167"/>
      <c r="M23" s="167"/>
      <c r="P23" s="141" t="str">
        <f>IF(D23&gt;E23,IF(ISNUMBER(E23),IF(AND($F$12&lt;=D23,$F$12&gt;E23)=TRUE,IF(Defaults!$M$37=TRUE,'WASCOB Design 1'!$G$40,IF(Defaults!$M$38=TRUE,'WASCOB Design 1'!$G$41,"0")),IF(ISNUMBER(P22),P22,"0")),""),IF(ISNUMBER(E23),IF(AND(ISNUMBER($F$12),$F$12&gt;=D23,$F$12&lt;E23)=TRUE,IF(Defaults!$M$37=TRUE,'WASCOB Design 1'!$G$40,IF(Defaults!$M$38=TRUE,'WASCOB Design 1'!$G$41,"")),IF(ISNUMBER(P22),P22,"0")),""))</f>
        <v/>
      </c>
      <c r="Q23" t="str">
        <f>IF(D23&gt;E23,IF(ISNUMBER(E23),IF(AND($F$13&lt;=D23,$F$13&gt;E23)=TRUE,IF(Defaults!$M$37=TRUE,'WASCOB Design 2'!$G$40,IF(Defaults!$M$38=TRUE,'WASCOB Design 2'!$G$41,"0")),IF(ISNUMBER(Q22),Q22,"0")),""),IF(ISNUMBER(E23),IF(AND(ISNUMBER($F$13),$F$13&gt;=D23,$F$13&lt;E23)=TRUE,IF(Defaults!$M$37=TRUE,'WASCOB Design 2'!$G$40,IF(Defaults!$M$38=TRUE,'WASCOB Design 2'!$G$41,"")),IF(ISNUMBER(Q22),Q22,"0")),""))</f>
        <v/>
      </c>
      <c r="R23" t="str">
        <f>IF(D23&gt;E23,IF(ISNUMBER(E23),IF(AND($F$14&lt;=D23,$F$14&gt;E23)=TRUE,IF(Defaults!$M$37=TRUE,'WASCOB Design 3'!$G$40,IF(Defaults!$M$38=TRUE,'WASCOB Design 3'!$G$41,"0")),IF(ISNUMBER(R22),R22,"0")),""),IF(ISNUMBER(E23),IF(AND(ISNUMBER($F$14),$F$14&gt;=D23,$F$14&lt;E23)=TRUE,IF(Defaults!$M$37=TRUE,'WASCOB Design 3'!$G$40,IF(Defaults!$M$38=TRUE,'WASCOB Design 3'!$G$41,"")),IF(ISNUMBER(R22),R22,"0")),""))</f>
        <v/>
      </c>
    </row>
    <row r="24" spans="1:18" ht="14.25" customHeight="1" x14ac:dyDescent="0.2">
      <c r="A24" s="104">
        <v>8</v>
      </c>
      <c r="B24" s="106"/>
      <c r="C24" s="182"/>
      <c r="D24" s="98" t="str">
        <f t="shared" si="0"/>
        <v/>
      </c>
      <c r="E24" s="89"/>
      <c r="F24" s="96" t="str">
        <f t="shared" si="1"/>
        <v/>
      </c>
      <c r="G24" s="20"/>
      <c r="H24" s="160"/>
      <c r="I24" s="26"/>
      <c r="J24" s="103"/>
      <c r="L24" s="167"/>
      <c r="M24" s="167"/>
      <c r="P24" s="141" t="str">
        <f>IF(D24&gt;E24,IF(ISNUMBER(E24),IF(AND($F$12&lt;=D24,$F$12&gt;E24)=TRUE,IF(Defaults!$M$37=TRUE,'WASCOB Design 1'!$G$40,IF(Defaults!$M$38=TRUE,'WASCOB Design 1'!$G$41,"0")),IF(ISNUMBER(P23),P23,"0")),""),IF(ISNUMBER(E24),IF(AND(ISNUMBER($F$12),$F$12&gt;=D24,$F$12&lt;E24)=TRUE,IF(Defaults!$M$37=TRUE,'WASCOB Design 1'!$G$40,IF(Defaults!$M$38=TRUE,'WASCOB Design 1'!$G$41,"")),IF(ISNUMBER(P23),P23,"0")),""))</f>
        <v/>
      </c>
      <c r="Q24" t="str">
        <f>IF(D24&gt;E24,IF(ISNUMBER(E24),IF(AND($F$13&lt;=D24,$F$13&gt;E24)=TRUE,IF(Defaults!$M$37=TRUE,'WASCOB Design 2'!$G$40,IF(Defaults!$M$38=TRUE,'WASCOB Design 2'!$G$41,"0")),IF(ISNUMBER(Q23),Q23,"0")),""),IF(ISNUMBER(E24),IF(AND(ISNUMBER($F$13),$F$13&gt;=D24,$F$13&lt;E24)=TRUE,IF(Defaults!$M$37=TRUE,'WASCOB Design 2'!$G$40,IF(Defaults!$M$38=TRUE,'WASCOB Design 2'!$G$41,"")),IF(ISNUMBER(Q23),Q23,"0")),""))</f>
        <v/>
      </c>
      <c r="R24" t="str">
        <f>IF(D24&gt;E24,IF(ISNUMBER(E24),IF(AND($F$14&lt;=D24,$F$14&gt;E24)=TRUE,IF(Defaults!$M$37=TRUE,'WASCOB Design 3'!$G$40,IF(Defaults!$M$38=TRUE,'WASCOB Design 3'!$G$41,"0")),IF(ISNUMBER(R23),R23,"0")),""),IF(ISNUMBER(E24),IF(AND(ISNUMBER($F$14),$F$14&gt;=D24,$F$14&lt;E24)=TRUE,IF(Defaults!$M$37=TRUE,'WASCOB Design 3'!$G$40,IF(Defaults!$M$38=TRUE,'WASCOB Design 3'!$G$41,"")),IF(ISNUMBER(R23),R23,"0")),""))</f>
        <v/>
      </c>
    </row>
    <row r="25" spans="1:18" ht="14.25" customHeight="1" x14ac:dyDescent="0.2">
      <c r="A25" s="104">
        <v>9</v>
      </c>
      <c r="B25" s="106"/>
      <c r="C25" s="182"/>
      <c r="D25" s="98" t="str">
        <f t="shared" si="0"/>
        <v/>
      </c>
      <c r="E25" s="89"/>
      <c r="F25" s="96" t="str">
        <f t="shared" si="1"/>
        <v/>
      </c>
      <c r="G25" s="20"/>
      <c r="H25" s="160"/>
      <c r="I25" s="26"/>
      <c r="J25" s="103"/>
      <c r="L25" s="167"/>
      <c r="M25" s="167"/>
      <c r="P25" s="141" t="str">
        <f>IF(D25&gt;E25,IF(ISNUMBER(E25),IF(AND($F$12&lt;=D25,$F$12&gt;E25)=TRUE,IF(Defaults!$M$37=TRUE,'WASCOB Design 1'!$G$40,IF(Defaults!$M$38=TRUE,'WASCOB Design 1'!$G$41,"0")),IF(ISNUMBER(P24),P24,"0")),""),IF(ISNUMBER(E25),IF(AND(ISNUMBER($F$12),$F$12&gt;=D25,$F$12&lt;E25)=TRUE,IF(Defaults!$M$37=TRUE,'WASCOB Design 1'!$G$40,IF(Defaults!$M$38=TRUE,'WASCOB Design 1'!$G$41,"")),IF(ISNUMBER(P24),P24,"0")),""))</f>
        <v/>
      </c>
      <c r="Q25" t="str">
        <f>IF(D25&gt;E25,IF(ISNUMBER(E25),IF(AND($F$13&lt;=D25,$F$13&gt;E25)=TRUE,IF(Defaults!$M$37=TRUE,'WASCOB Design 2'!$G$40,IF(Defaults!$M$38=TRUE,'WASCOB Design 2'!$G$41,"0")),IF(ISNUMBER(Q24),Q24,"0")),""),IF(ISNUMBER(E25),IF(AND(ISNUMBER($F$13),$F$13&gt;=D25,$F$13&lt;E25)=TRUE,IF(Defaults!$M$37=TRUE,'WASCOB Design 2'!$G$40,IF(Defaults!$M$38=TRUE,'WASCOB Design 2'!$G$41,"")),IF(ISNUMBER(Q24),Q24,"0")),""))</f>
        <v/>
      </c>
      <c r="R25" t="str">
        <f>IF(D25&gt;E25,IF(ISNUMBER(E25),IF(AND($F$14&lt;=D25,$F$14&gt;E25)=TRUE,IF(Defaults!$M$37=TRUE,'WASCOB Design 3'!$G$40,IF(Defaults!$M$38=TRUE,'WASCOB Design 3'!$G$41,"0")),IF(ISNUMBER(R24),R24,"0")),""),IF(ISNUMBER(E25),IF(AND(ISNUMBER($F$14),$F$14&gt;=D25,$F$14&lt;E25)=TRUE,IF(Defaults!$M$37=TRUE,'WASCOB Design 3'!$G$40,IF(Defaults!$M$38=TRUE,'WASCOB Design 3'!$G$41,"")),IF(ISNUMBER(R24),R24,"0")),""))</f>
        <v/>
      </c>
    </row>
    <row r="26" spans="1:18" ht="15.75" customHeight="1" x14ac:dyDescent="0.2">
      <c r="A26" s="104">
        <v>10</v>
      </c>
      <c r="B26" s="108"/>
      <c r="C26" s="184"/>
      <c r="D26" s="98" t="str">
        <f t="shared" si="0"/>
        <v/>
      </c>
      <c r="E26" s="89"/>
      <c r="F26" s="96" t="str">
        <f t="shared" si="1"/>
        <v/>
      </c>
      <c r="G26" s="20"/>
      <c r="H26" s="160"/>
      <c r="I26" s="109"/>
      <c r="J26" s="101"/>
      <c r="L26" s="167"/>
      <c r="M26" s="167"/>
      <c r="P26" s="141" t="str">
        <f>IF(D26&gt;E26,IF(ISNUMBER(E26),IF(AND($F$12&lt;=D26,$F$12&gt;E26)=TRUE,IF(Defaults!$M$37=TRUE,'WASCOB Design 1'!$G$40,IF(Defaults!$M$38=TRUE,'WASCOB Design 1'!$G$41,"0")),IF(ISNUMBER(P25),P25,"0")),""),IF(ISNUMBER(E26),IF(AND(ISNUMBER($F$12),$F$12&gt;=D26,$F$12&lt;E26)=TRUE,IF(Defaults!$M$37=TRUE,'WASCOB Design 1'!$G$40,IF(Defaults!$M$38=TRUE,'WASCOB Design 1'!$G$41,"")),IF(ISNUMBER(P25),P25,"0")),""))</f>
        <v/>
      </c>
      <c r="Q26" t="str">
        <f>IF(D26&gt;E26,IF(ISNUMBER(E26),IF(AND($F$13&lt;=D26,$F$13&gt;E26)=TRUE,IF(Defaults!$M$37=TRUE,'WASCOB Design 2'!$G$40,IF(Defaults!$M$38=TRUE,'WASCOB Design 2'!$G$41,"0")),IF(ISNUMBER(Q25),Q25,"0")),""),IF(ISNUMBER(E26),IF(AND(ISNUMBER($F$13),$F$13&gt;=D26,$F$13&lt;E26)=TRUE,IF(Defaults!$M$37=TRUE,'WASCOB Design 2'!$G$40,IF(Defaults!$M$38=TRUE,'WASCOB Design 2'!$G$41,"")),IF(ISNUMBER(Q25),Q25,"0")),""))</f>
        <v/>
      </c>
      <c r="R26" t="str">
        <f>IF(D26&gt;E26,IF(ISNUMBER(E26),IF(AND($F$14&lt;=D26,$F$14&gt;E26)=TRUE,IF(Defaults!$M$37=TRUE,'WASCOB Design 3'!$G$40,IF(Defaults!$M$38=TRUE,'WASCOB Design 3'!$G$41,"0")),IF(ISNUMBER(R25),R25,"0")),""),IF(ISNUMBER(E26),IF(AND(ISNUMBER($F$14),$F$14&gt;=D26,$F$14&lt;E26)=TRUE,IF(Defaults!$M$37=TRUE,'WASCOB Design 3'!$G$40,IF(Defaults!$M$38=TRUE,'WASCOB Design 3'!$G$41,"")),IF(ISNUMBER(R25),R25,"0")),""))</f>
        <v/>
      </c>
    </row>
    <row r="27" spans="1:18" x14ac:dyDescent="0.2">
      <c r="F27" s="100"/>
      <c r="G27" s="4"/>
      <c r="H27" s="4"/>
      <c r="I27" s="4"/>
      <c r="J27" s="4"/>
    </row>
    <row r="28" spans="1:18" x14ac:dyDescent="0.2">
      <c r="F28" s="100"/>
      <c r="G28" s="1"/>
      <c r="H28" s="4"/>
      <c r="I28" s="4"/>
      <c r="J28" s="4"/>
    </row>
    <row r="29" spans="1:18" x14ac:dyDescent="0.2">
      <c r="F29" s="100"/>
      <c r="G29" s="4"/>
      <c r="H29" s="4"/>
      <c r="I29" s="5"/>
      <c r="J29" s="4"/>
    </row>
    <row r="30" spans="1:18" x14ac:dyDescent="0.2">
      <c r="F30" s="100"/>
      <c r="G30" s="5"/>
      <c r="H30" s="91"/>
      <c r="I30" s="4"/>
      <c r="J30" s="4"/>
    </row>
    <row r="31" spans="1:18" ht="12.75" customHeight="1" x14ac:dyDescent="0.2">
      <c r="A31" s="391" t="s">
        <v>150</v>
      </c>
      <c r="B31" s="393" t="s">
        <v>192</v>
      </c>
      <c r="C31" s="394"/>
      <c r="D31" s="391" t="s">
        <v>149</v>
      </c>
      <c r="E31" s="185" t="s">
        <v>199</v>
      </c>
      <c r="F31" s="187" t="s">
        <v>185</v>
      </c>
      <c r="G31" s="189" t="s">
        <v>196</v>
      </c>
      <c r="H31" s="189" t="s">
        <v>194</v>
      </c>
      <c r="I31" s="395" t="s">
        <v>187</v>
      </c>
      <c r="J31" s="396"/>
    </row>
    <row r="32" spans="1:18" x14ac:dyDescent="0.2">
      <c r="A32" s="392"/>
      <c r="B32" s="95" t="s">
        <v>201</v>
      </c>
      <c r="C32" s="95" t="s">
        <v>193</v>
      </c>
      <c r="D32" s="392"/>
      <c r="E32" s="186" t="s">
        <v>200</v>
      </c>
      <c r="F32" s="188" t="s">
        <v>198</v>
      </c>
      <c r="G32" s="190" t="s">
        <v>197</v>
      </c>
      <c r="H32" s="190" t="s">
        <v>195</v>
      </c>
      <c r="I32" s="397"/>
      <c r="J32" s="398"/>
    </row>
    <row r="33" spans="1:20" ht="15" customHeight="1" x14ac:dyDescent="0.2">
      <c r="A33" s="133">
        <v>1</v>
      </c>
      <c r="B33" s="142" t="str">
        <f>IF(AND(ISNUMBER(D17),ISNUMBER(E17),ISTEXT(L17))=TRUE,VLOOKUP(L17,L34:T39,9,FALSE),"")</f>
        <v/>
      </c>
      <c r="C33" s="21"/>
      <c r="D33" s="143" t="str">
        <f>IF(ISNUMBER(B33),IF(ISNUMBER(C33),IF(L17=Defaults!$L$2,VLOOKUP(C33,Defaults!$L$10:$M$15,2,FALSE),VLOOKUP(L17,Defaults!$L$2:$M$7,2,FALSE)),IF(L17=Defaults!$L$2,VLOOKUP(B33,Defaults!$L$10:$M$15,2,FALSE),VLOOKUP(L17,Defaults!$L$2:$M$7,2,FALSE))),"")</f>
        <v/>
      </c>
      <c r="E33" s="145" t="str">
        <f t="shared" ref="E33:E42" si="2">IF(F17=0,IF(OR(ISBLANK(G17),G17=0)=TRUE,0,IF(ISNUMBER(F17),IF(ISERROR(E46),"",E46),IF(ISNUMBER(G17),IF(ISERROR(E46),"",E46),0))),IF(ISERROR(E46),"",E46))</f>
        <v/>
      </c>
      <c r="F33" s="156" t="str">
        <f>IF(ISNUMBER(E33),IF(ISNUMBER(C33),IF(E33=0,0,((1.486/D33)*((((PI()*(C33/12)^2)/4)-(((C33/12)/2)^2*((2*ACOS((((C33/12)/2)-((C33/12)-(E33/12)))/((C33/12)/2)))-SIN(2*ACOS((((C33/12)/2)-((C33/12)-(E33/12)))/((C33/12)/2))))/2))/((PI()*(C33/12))-((2*ACOS((((C33/12)/2)-((C33/12)-(E33/12)))/((C33/12)/2)))*((C33/12)/2))))^(2/3)*H17^0.5)),IF(E33=0,0,((1.486/D33)*((((PI()*(B33/12)^2)/4)-(((B33/12)/2)^2*((2*ACOS((((B33/12)/2)-((B33/12)-(E33/12)))/((B33/12)/2)))-SIN(2*ACOS((((B33/12)/2)-((B33/12)-(E33/12)))/((B33/12)/2))))/2))/((PI()*(B33/12))-((2*ACOS((((B33/12)/2)-((B33/12)-(E33/12)))/((B33/12)/2)))*((B33/12)/2))))^(2/3)*H17^0.5))),"")</f>
        <v/>
      </c>
      <c r="G33" s="155" t="str">
        <f>IF(ISNUMBER(E33),IF(ISNUMBER(C33),IF(E33=0,0,((1.486/D33)*((((PI()*(C33/12)^2)/4)-(((C33/12)/2)^2*((2*ACOS((((C33/12)/2)-((C33/12)-(E33/12)))/((C33/12)/2)))-SIN(2*ACOS((((C33/12)/2)-((C33/12)-(E33/12)))/((C33/12)/2))))/2))/((PI()*(C33/12))-((2*ACOS((((C33/12)/2)-((C33/12)-(E33/12)))/((C33/12)/2)))*((C33/12)/2))))^(2/3)*H17^0.5)*(((PI()*(C33/12)^2)/4)-(((C33/12)/2)^2*((2*ACOS((((C33/12)/2)-((C33/12)-(E33/12)))/((C33/12)/2)))-SIN(2*ACOS((((C33/12)/2)-((C33/12)-(E33/12)))/((C33/12)/2))))/2))),IF(E33=0,0,((1.486/D33)*((((PI()*(B33/12)^2)/4)-(((B33/12)/2)^2*((2*ACOS((((B33/12)/2)-((B33/12)-(E33/12)))/((B33/12)/2)))-SIN(2*ACOS((((B33/12)/2)-((B33/12)-(E33/12)))/((B33/12)/2))))/2))/((PI()*(B33/12))-((2*ACOS((((B33/12)/2)-((B33/12)-(E33/12)))/((B33/12)/2)))*((B33/12)/2))))^(2/3)*H17^0.5)*(((PI()*(B33/12)^2)/4)-(((B33/12)/2)^2*((2*ACOS((((B33/12)/2)-((B33/12)-(E33/12)))/((B33/12)/2)))-SIN(2*ACOS((((B33/12)/2)-((B33/12)-(E33/12)))/((B33/12)/2))))/2)))),"")</f>
        <v/>
      </c>
      <c r="H33" s="144" t="str">
        <f t="shared" ref="H33:H42" si="3">IF(ISNUMBER(B33),ABS(D17-E17),"")</f>
        <v/>
      </c>
      <c r="I33" s="383" t="str">
        <f>IF(ISNUMBER(F33),IF(ISBLANK(M17),"",IF(OR(L17=Defaults!L2,L17=Defaults!L3)=TRUE,IF(F33&lt;=VLOOKUP(M17,Defaults!$O$41:$P$64,2,TRUE),"Perforated Tubing","Non-Perforated Tubing"),"")),"")</f>
        <v/>
      </c>
      <c r="J33" s="383"/>
      <c r="M33">
        <v>6</v>
      </c>
      <c r="N33">
        <v>8</v>
      </c>
      <c r="O33">
        <v>10</v>
      </c>
      <c r="P33">
        <v>12</v>
      </c>
      <c r="Q33">
        <v>15</v>
      </c>
      <c r="R33">
        <v>16</v>
      </c>
      <c r="S33">
        <v>18</v>
      </c>
      <c r="T33" s="140" t="s">
        <v>186</v>
      </c>
    </row>
    <row r="34" spans="1:20" ht="15" customHeight="1" x14ac:dyDescent="0.2">
      <c r="A34" s="97">
        <v>2</v>
      </c>
      <c r="B34" s="142" t="str">
        <f>IF(AND(ISNUMBER(D18),ISNUMBER(E18),ISTEXT(L18))=TRUE,VLOOKUP(L18,L42:T47,9,FALSE),"")</f>
        <v/>
      </c>
      <c r="C34" s="21"/>
      <c r="D34" s="143" t="str">
        <f>IF(ISNUMBER(B34),IF(ISNUMBER(C34),IF(L18=Defaults!$L$2,VLOOKUP(C34,Defaults!$L$10:$M$15,2,FALSE),VLOOKUP(L18,Defaults!$L$2:$M$7,2,FALSE)),IF(L18=Defaults!$L$2,VLOOKUP(B34,Defaults!$L$10:$M$15,2,FALSE),VLOOKUP(L18,Defaults!$L$2:$M$7,2,FALSE))),"")</f>
        <v/>
      </c>
      <c r="E34" s="145" t="str">
        <f t="shared" si="2"/>
        <v/>
      </c>
      <c r="F34" s="156" t="str">
        <f t="shared" ref="F34:F42" si="4">IF(ISNUMBER(E34),IF(ISNUMBER(C34),IF(E34=0,0,((1.486/D34)*((((PI()*(C34/12)^2)/4)-(((C34/12)/2)^2*((2*ACOS((((C34/12)/2)-((C34/12)-(E34/12)))/((C34/12)/2)))-SIN(2*ACOS((((C34/12)/2)-((C34/12)-(E34/12)))/((C34/12)/2))))/2))/((PI()*(C34/12))-((2*ACOS((((C34/12)/2)-((C34/12)-(E34/12)))/((C34/12)/2)))*((C34/12)/2))))^(2/3)*H18^0.5)),IF(E34=0,0,((1.486/D34)*((((PI()*(B34/12)^2)/4)-(((B34/12)/2)^2*((2*ACOS((((B34/12)/2)-((B34/12)-(E34/12)))/((B34/12)/2)))-SIN(2*ACOS((((B34/12)/2)-((B34/12)-(E34/12)))/((B34/12)/2))))/2))/((PI()*(B34/12))-((2*ACOS((((B34/12)/2)-((B34/12)-(E34/12)))/((B34/12)/2)))*((B34/12)/2))))^(2/3)*H18^0.5))),"")</f>
        <v/>
      </c>
      <c r="G34" s="155" t="str">
        <f t="shared" ref="G34:G42" si="5">IF(ISNUMBER(E34),IF(ISNUMBER(C34),IF(E34=0,0,((1.486/D34)*((((PI()*(C34/12)^2)/4)-(((C34/12)/2)^2*((2*ACOS((((C34/12)/2)-((C34/12)-(E34/12)))/((C34/12)/2)))-SIN(2*ACOS((((C34/12)/2)-((C34/12)-(E34/12)))/((C34/12)/2))))/2))/((PI()*(C34/12))-((2*ACOS((((C34/12)/2)-((C34/12)-(E34/12)))/((C34/12)/2)))*((C34/12)/2))))^(2/3)*H18^0.5)*(((PI()*(C34/12)^2)/4)-(((C34/12)/2)^2*((2*ACOS((((C34/12)/2)-((C34/12)-(E34/12)))/((C34/12)/2)))-SIN(2*ACOS((((C34/12)/2)-((C34/12)-(E34/12)))/((C34/12)/2))))/2))),IF(E34=0,0,((1.486/D34)*((((PI()*(B34/12)^2)/4)-(((B34/12)/2)^2*((2*ACOS((((B34/12)/2)-((B34/12)-(E34/12)))/((B34/12)/2)))-SIN(2*ACOS((((B34/12)/2)-((B34/12)-(E34/12)))/((B34/12)/2))))/2))/((PI()*(B34/12))-((2*ACOS((((B34/12)/2)-((B34/12)-(E34/12)))/((B34/12)/2)))*((B34/12)/2))))^(2/3)*H18^0.5)*(((PI()*(B34/12)^2)/4)-(((B34/12)/2)^2*((2*ACOS((((B34/12)/2)-((B34/12)-(E34/12)))/((B34/12)/2)))-SIN(2*ACOS((((B34/12)/2)-((B34/12)-(E34/12)))/((B34/12)/2))))/2)))),"")</f>
        <v/>
      </c>
      <c r="H34" s="144" t="str">
        <f t="shared" si="3"/>
        <v/>
      </c>
      <c r="I34" s="383" t="str">
        <f>IF(ISNUMBER(F34),IF(ISBLANK(M18),"",IF(OR(L18=Defaults!L2,L18=Defaults!L3)=TRUE,IF(F34&lt;=VLOOKUP(M18,Defaults!$O$41:$P$64,2,TRUE),"Perforated Tubing","Non-Perforated Tubing"),"")),"")</f>
        <v/>
      </c>
      <c r="J34" s="383"/>
      <c r="L34" t="str">
        <f>Defaults!$L$2</f>
        <v>CPT (Tile)</v>
      </c>
      <c r="M34" s="141">
        <f>((1.486/Defaults!$M$10)*((((PI()*(6/12)^2)/4)-(((6/12)/2)^2*((2*ACOS((((6/12)/2)-((6/12)-(6*0.938333/12)))/((6/12)/2)))-SIN(2*ACOS((((6/12)/2)-((6/12)-(6*0.938333/12)))/((6/12)/2))))/2))/((PI()*(6/12))-((2*ACOS((((6/12)/2)-((6/12)-(6*0.938333/12)))/((6/12)/2)))*((6/12)/2))))^(2/3)*$H$17^0.5)*(((PI()*(6/12)^2)/4)-(((6/12)/2)^2*((2*ACOS((((6/12)/2)-((6/12)-(6*0.938333/12)))/((6/12)/2)))-SIN(2*ACOS((((6/12)/2)-((6/12)-(6*0.938333/12)))/((6/12)/2))))/2))</f>
        <v>0</v>
      </c>
      <c r="N34" s="141">
        <f>((1.486/Defaults!$M$11)*((((PI()*(8/12)^2)/4)-(((8/12)/2)^2*((2*ACOS((((8/12)/2)-((8/12)-(8*0.938333/12)))/((8/12)/2)))-SIN(2*ACOS((((8/12)/2)-((8/12)-(8*0.938333/12)))/((8/12)/2))))/2))/((PI()*(8/12))-((2*ACOS((((8/12)/2)-((8/12)-(8*0.938333/12)))/((8/12)/2)))*((8/12)/2))))^(2/3)*$H$17^0.5)*(((PI()*(8/12)^2)/4)-(((8/12)/2)^2*((2*ACOS((((8/12)/2)-((8/12)-(8*0.938333/12)))/((8/12)/2)))-SIN(2*ACOS((((8/12)/2)-((8/12)-(8*0.938333/12)))/((8/12)/2))))/2))</f>
        <v>0</v>
      </c>
      <c r="O34" s="141">
        <f>((1.486/Defaults!$M$12)*((((PI()*(10/12)^2)/4)-(((10/12)/2)^2*((2*ACOS((((10/12)/2)-((10/12)-(10*0.938333/12)))/((10/12)/2)))-SIN(2*ACOS((((10/12)/2)-((10/12)-(10*0.938333/12)))/((10/12)/2))))/2))/((PI()*(10/12))-((2*ACOS((((10/12)/2)-((10/12)-(10*0.938333/12)))/((10/12)/2)))*((10/12)/2))))^(2/3)*$H$17^0.5)*(((PI()*(10/12)^2)/4)-(((10/12)/2)^2*((2*ACOS((((10/12)/2)-((10/12)-(10*0.938333/12)))/((10/12)/2)))-SIN(2*ACOS((((10/12)/2)-((10/12)-(10*0.938333/12)))/((10/12)/2))))/2))</f>
        <v>0</v>
      </c>
      <c r="P34" s="141">
        <f>((1.486/Defaults!$M$13)*((((PI()*(12/12)^2)/4)-(((12/12)/2)^2*((2*ACOS((((12/12)/2)-((12/12)-(12*0.938333/12)))/((12/12)/2)))-SIN(2*ACOS((((12/12)/2)-((12/12)-(12*0.938333/12)))/((12/12)/2))))/2))/((PI()*(12/12))-((2*ACOS((((12/12)/2)-((12/12)-(12*0.938333/12)))/((12/12)/2)))*((12/12)/2))))^(2/3)*$H$17^0.5)*(((PI()*(12/12)^2)/4)-(((12/12)/2)^2*((2*ACOS((((12/12)/2)-((12/12)-(12*0.938333/12)))/((12/12)/2)))-SIN(2*ACOS((((12/12)/2)-((12/12)-(12*0.938333/12)))/((12/12)/2))))/2))</f>
        <v>0</v>
      </c>
      <c r="Q34" s="141">
        <f>((1.486/Defaults!$M$14)*((((PI()*(15/12)^2)/4)-(((15/12)/2)^2*((2*ACOS((((15/12)/2)-((15/12)-(15*0.938333/12)))/((15/12)/2)))-SIN(2*ACOS((((15/12)/2)-((15/12)-(15*0.938333/12)))/((15/12)/2))))/2))/((PI()*(15/12))-((2*ACOS((((15/12)/2)-((15/12)-(15*0.938333/12)))/((15/12)/2)))*((15/12)/2))))^(2/3)*$H$17^0.5)*(((PI()*(15/12)^2)/4)-(((15/12)/2)^2*((2*ACOS((((15/12)/2)-((15/12)-(15*0.938333/12)))/((15/12)/2)))-SIN(2*ACOS((((15/12)/2)-((15/12)-(15*0.938333/12)))/((15/12)/2))))/2))</f>
        <v>0</v>
      </c>
      <c r="S34" s="141">
        <f>((1.486/Defaults!$M$15)*((((PI()*(18/12)^2)/4)-(((18/12)/2)^2*((2*ACOS((((18/12)/2)-((18/12)-(18*0.938333/12)))/((18/12)/2)))-SIN(2*ACOS((((18/12)/2)-((18/12)-(18*0.938333/12)))/((18/12)/2))))/2))/((PI()*(18/12))-((2*ACOS((((18/12)/2)-((18/12)-(18*0.938333/12)))/((18/12)/2)))*((18/12)/2))))^(2/3)*$H$17^0.5)*(((PI()*(18/12)^2)/4)-(((18/12)/2)^2*((2*ACOS((((18/12)/2)-((18/12)-(18*0.938333/12)))/((18/12)/2)))-SIN(2*ACOS((((18/12)/2)-((18/12)-(18*0.938333/12)))/((18/12)/2))))/2))</f>
        <v>0</v>
      </c>
      <c r="T34" t="e">
        <f>IF(($F$17+$G$17)&lt;=$M34,6,IF(($F$17+$G$17)&lt;=$N34,8,IF(($F$17+$G$17)&lt;=$O34,10,IF(($F$17+$G$17)&lt;=$P34,12,IF(($F$17+$G$17)&lt;=$Q34,15,IF(($F$17+$G$17)&lt;=$S34,18,"Too Large"))))))</f>
        <v>#VALUE!</v>
      </c>
    </row>
    <row r="35" spans="1:20" ht="15" customHeight="1" x14ac:dyDescent="0.2">
      <c r="A35" s="97">
        <v>3</v>
      </c>
      <c r="B35" s="142" t="str">
        <f>IF(AND(ISNUMBER(D19),ISNUMBER(E19),ISTEXT(L19))=TRUE,VLOOKUP(L19,L50:T55,9,FALSE),"")</f>
        <v/>
      </c>
      <c r="C35" s="21"/>
      <c r="D35" s="143" t="str">
        <f>IF(ISNUMBER(B35),IF(ISNUMBER(C35),IF(L19=Defaults!$L$2,VLOOKUP(C35,Defaults!$L$10:$M$15,2,FALSE),VLOOKUP(L19,Defaults!$L$2:$M$7,2,FALSE)),IF(L19=Defaults!$L$2,VLOOKUP(B35,Defaults!$L$10:$M$15,2,FALSE),VLOOKUP(L19,Defaults!$L$2:$M$7,2,FALSE))),"")</f>
        <v/>
      </c>
      <c r="E35" s="145" t="str">
        <f t="shared" si="2"/>
        <v/>
      </c>
      <c r="F35" s="156" t="str">
        <f t="shared" si="4"/>
        <v/>
      </c>
      <c r="G35" s="155" t="str">
        <f t="shared" si="5"/>
        <v/>
      </c>
      <c r="H35" s="144" t="str">
        <f t="shared" si="3"/>
        <v/>
      </c>
      <c r="I35" s="383" t="str">
        <f>IF(ISNUMBER(F35),IF(ISBLANK(M19),"",IF(OR(L19=Defaults!L2,L19=Defaults!L3)=TRUE,IF(F35&lt;=VLOOKUP(M19,Defaults!$O$41:$P$64,2,TRUE),"Perforated Tubing","Non-Perforated Tubing"),"")),"")</f>
        <v/>
      </c>
      <c r="J35" s="383"/>
      <c r="L35" t="str">
        <f>Defaults!$L$3</f>
        <v>Dual-Wall CPT</v>
      </c>
      <c r="M35" s="141">
        <f>((1.486/Defaults!$M$3)*((((PI()*(6/12)^2)/4)-(((6/12)/2)^2*((2*ACOS((((6/12)/2)-((6/12)-(6*0.938333/12)))/((6/12)/2)))-SIN(2*ACOS((((6/12)/2)-((6/12)-(6*0.938333/12)))/((6/12)/2))))/2))/((PI()*(6/12))-((2*ACOS((((6/12)/2)-((6/12)-(6*0.938333/12)))/((6/12)/2)))*((6/12)/2))))^(2/3)*$H$17^0.5)*(((PI()*(6/12)^2)/4)-(((6/12)/2)^2*((2*ACOS((((6/12)/2)-((6/12)-(6*0.938333/12)))/((6/12)/2)))-SIN(2*ACOS((((6/12)/2)-((6/12)-(6*0.938333/12)))/((6/12)/2))))/2))</f>
        <v>0</v>
      </c>
      <c r="N35" s="141">
        <f>((1.486/Defaults!$M$3)*((((PI()*(8/12)^2)/4)-(((8/12)/2)^2*((2*ACOS((((8/12)/2)-((8/12)-(8*0.938333/12)))/((8/12)/2)))-SIN(2*ACOS((((8/12)/2)-((8/12)-(8*0.938333/12)))/((8/12)/2))))/2))/((PI()*(8/12))-((2*ACOS((((8/12)/2)-((8/12)-(8*0.938333/12)))/((8/12)/2)))*((8/12)/2))))^(2/3)*$H$17^0.5)*(((PI()*(8/12)^2)/4)-(((8/12)/2)^2*((2*ACOS((((8/12)/2)-((8/12)-(8*0.938333/12)))/((8/12)/2)))-SIN(2*ACOS((((8/12)/2)-((8/12)-(8*0.938333/12)))/((8/12)/2))))/2))</f>
        <v>0</v>
      </c>
      <c r="O35" s="141">
        <f>((1.486/Defaults!$M$3)*((((PI()*(10/12)^2)/4)-(((10/12)/2)^2*((2*ACOS((((10/12)/2)-((10/12)-(10*0.938333/12)))/((10/12)/2)))-SIN(2*ACOS((((10/12)/2)-((10/12)-(10*0.938333/12)))/((10/12)/2))))/2))/((PI()*(10/12))-((2*ACOS((((10/12)/2)-((10/12)-(10*0.938333/12)))/((10/12)/2)))*((10/12)/2))))^(2/3)*$H$17^0.5)*(((PI()*(10/12)^2)/4)-(((10/12)/2)^2*((2*ACOS((((10/12)/2)-((10/12)-(10*0.938333/12)))/((10/12)/2)))-SIN(2*ACOS((((10/12)/2)-((10/12)-(10*0.938333/12)))/((10/12)/2))))/2))</f>
        <v>0</v>
      </c>
      <c r="P35" s="141">
        <f>((1.486/Defaults!$M$3)*((((PI()*(12/12)^2)/4)-(((12/12)/2)^2*((2*ACOS((((12/12)/2)-((12/12)-(12*0.938333/12)))/((12/12)/2)))-SIN(2*ACOS((((12/12)/2)-((12/12)-(12*0.938333/12)))/((12/12)/2))))/2))/((PI()*(12/12))-((2*ACOS((((12/12)/2)-((12/12)-(12*0.938333/12)))/((12/12)/2)))*((12/12)/2))))^(2/3)*$H$17^0.5)*(((PI()*(12/12)^2)/4)-(((12/12)/2)^2*((2*ACOS((((12/12)/2)-((12/12)-(12*0.938333/12)))/((12/12)/2)))-SIN(2*ACOS((((12/12)/2)-((12/12)-(12*0.938333/12)))/((12/12)/2))))/2))</f>
        <v>0</v>
      </c>
      <c r="Q35" s="141">
        <f>((1.486/Defaults!$M$3)*((((PI()*(15/12)^2)/4)-(((15/12)/2)^2*((2*ACOS((((15/12)/2)-((15/12)-(15*0.938333/12)))/((15/12)/2)))-SIN(2*ACOS((((15/12)/2)-((15/12)-(15*0.938333/12)))/((15/12)/2))))/2))/((PI()*(15/12))-((2*ACOS((((15/12)/2)-((15/12)-(15*0.938333/12)))/((15/12)/2)))*((15/12)/2))))^(2/3)*$H$17^0.5)*(((PI()*(15/12)^2)/4)-(((15/12)/2)^2*((2*ACOS((((15/12)/2)-((15/12)-(15*0.938333/12)))/((15/12)/2)))-SIN(2*ACOS((((15/12)/2)-((15/12)-(15*0.938333/12)))/((15/12)/2))))/2))</f>
        <v>0</v>
      </c>
      <c r="S35" s="141">
        <f>((1.486/Defaults!$M$3)*((((PI()*(18/12)^2)/4)-(((18/12)/2)^2*((2*ACOS((((18/12)/2)-((18/12)-(18*0.938333/12)))/((18/12)/2)))-SIN(2*ACOS((((18/12)/2)-((18/12)-(18*0.938333/12)))/((18/12)/2))))/2))/((PI()*(18/12))-((2*ACOS((((18/12)/2)-((18/12)-(18*0.938333/12)))/((18/12)/2)))*((18/12)/2))))^(2/3)*$H$17^0.5)*(((PI()*(18/12)^2)/4)-(((18/12)/2)^2*((2*ACOS((((18/12)/2)-((18/12)-(18*0.938333/12)))/((18/12)/2)))-SIN(2*ACOS((((18/12)/2)-((18/12)-(18*0.938333/12)))/((18/12)/2))))/2))</f>
        <v>0</v>
      </c>
      <c r="T35" t="e">
        <f>IF(($F$17+$G$17)&lt;=$M35,6,IF(($F$17+$G$17)&lt;=$N35,8,IF(($F$17+$G$17)&lt;=$O35,10,IF(($F$17+$G$17)&lt;=$P35,12,IF(($F$17+$G$17)&lt;=$Q35,15,IF(($F$17+$G$17)&lt;=$S35,18,"Too Large"))))))</f>
        <v>#VALUE!</v>
      </c>
    </row>
    <row r="36" spans="1:20" ht="15" customHeight="1" x14ac:dyDescent="0.2">
      <c r="A36" s="97">
        <v>4</v>
      </c>
      <c r="B36" s="142" t="str">
        <f>IF(AND(ISNUMBER(D20),ISNUMBER(E20),ISTEXT(L20))=TRUE,VLOOKUP(L20,L58:T63,9,FALSE),"")</f>
        <v/>
      </c>
      <c r="C36" s="21"/>
      <c r="D36" s="143" t="str">
        <f>IF(ISNUMBER(B36),IF(ISNUMBER(C36),IF(L20=Defaults!$L$2,VLOOKUP(C36,Defaults!$L$10:$M$15,2,FALSE),VLOOKUP(L20,Defaults!$L$2:$M$7,2,FALSE)),IF(L20=Defaults!$L$2,VLOOKUP(B36,Defaults!$L$10:$M$15,2,FALSE),VLOOKUP(L20,Defaults!$L$2:$M$7,2,FALSE))),"")</f>
        <v/>
      </c>
      <c r="E36" s="145" t="str">
        <f t="shared" si="2"/>
        <v/>
      </c>
      <c r="F36" s="156" t="str">
        <f t="shared" si="4"/>
        <v/>
      </c>
      <c r="G36" s="155" t="str">
        <f t="shared" si="5"/>
        <v/>
      </c>
      <c r="H36" s="144" t="str">
        <f t="shared" si="3"/>
        <v/>
      </c>
      <c r="I36" s="383" t="str">
        <f>IF(ISNUMBER(F36),IF(ISBLANK(M20),"",IF(OR(L20=Defaults!L2,L20=Defaults!L3)=TRUE,IF(F36&lt;=VLOOKUP(M20,Defaults!$O$41:$P$64,2,TRUE),"Perforated Tubing","Non-Perforated Tubing"),"")),"")</f>
        <v/>
      </c>
      <c r="J36" s="383"/>
      <c r="L36" t="str">
        <f>Defaults!$L$4</f>
        <v>CMP-Annular</v>
      </c>
      <c r="M36" s="141">
        <f>((1.486/Defaults!$M$4)*((((PI()*(6/12)^2)/4)-(((6/12)/2)^2*((2*ACOS((((6/12)/2)-((6/12)-(6*0.938333/12)))/((6/12)/2)))-SIN(2*ACOS((((6/12)/2)-((6/12)-(6*0.938333/12)))/((6/12)/2))))/2))/((PI()*(6/12))-((2*ACOS((((6/12)/2)-((6/12)-(6*0.938333/12)))/((6/12)/2)))*((6/12)/2))))^(2/3)*$H$17^0.5)*(((PI()*(6/12)^2)/4)-(((6/12)/2)^2*((2*ACOS((((6/12)/2)-((6/12)-(6*0.938333/12)))/((6/12)/2)))-SIN(2*ACOS((((6/12)/2)-((6/12)-(6*0.938333/12)))/((6/12)/2))))/2))</f>
        <v>0</v>
      </c>
      <c r="N36" s="141">
        <f>((1.486/Defaults!$M$4)*((((PI()*(8/12)^2)/4)-(((8/12)/2)^2*((2*ACOS((((8/12)/2)-((8/12)-(8*0.938333/12)))/((8/12)/2)))-SIN(2*ACOS((((8/12)/2)-((8/12)-(8*0.938333/12)))/((8/12)/2))))/2))/((PI()*(8/12))-((2*ACOS((((8/12)/2)-((8/12)-(8*0.938333/12)))/((8/12)/2)))*((8/12)/2))))^(2/3)*$H$17^0.5)*(((PI()*(8/12)^2)/4)-(((8/12)/2)^2*((2*ACOS((((8/12)/2)-((8/12)-(8*0.938333/12)))/((8/12)/2)))-SIN(2*ACOS((((8/12)/2)-((8/12)-(8*0.938333/12)))/((8/12)/2))))/2))</f>
        <v>0</v>
      </c>
      <c r="O36" s="141">
        <f>((1.486/Defaults!$M$4)*((((PI()*(10/12)^2)/4)-(((10/12)/2)^2*((2*ACOS((((10/12)/2)-((10/12)-(10*0.938333/12)))/((10/12)/2)))-SIN(2*ACOS((((10/12)/2)-((10/12)-(10*0.938333/12)))/((10/12)/2))))/2))/((PI()*(10/12))-((2*ACOS((((10/12)/2)-((10/12)-(10*0.938333/12)))/((10/12)/2)))*((10/12)/2))))^(2/3)*$H$17^0.5)*(((PI()*(10/12)^2)/4)-(((10/12)/2)^2*((2*ACOS((((10/12)/2)-((10/12)-(10*0.938333/12)))/((10/12)/2)))-SIN(2*ACOS((((10/12)/2)-((10/12)-(10*0.938333/12)))/((10/12)/2))))/2))</f>
        <v>0</v>
      </c>
      <c r="P36" s="141">
        <f>((1.486/Defaults!$M$4)*((((PI()*(12/12)^2)/4)-(((12/12)/2)^2*((2*ACOS((((12/12)/2)-((12/12)-(12*0.938333/12)))/((12/12)/2)))-SIN(2*ACOS((((12/12)/2)-((12/12)-(12*0.938333/12)))/((12/12)/2))))/2))/((PI()*(12/12))-((2*ACOS((((12/12)/2)-((12/12)-(12*0.938333/12)))/((12/12)/2)))*((12/12)/2))))^(2/3)*$H$17^0.5)*(((PI()*(12/12)^2)/4)-(((12/12)/2)^2*((2*ACOS((((12/12)/2)-((12/12)-(12*0.938333/12)))/((12/12)/2)))-SIN(2*ACOS((((12/12)/2)-((12/12)-(12*0.938333/12)))/((12/12)/2))))/2))</f>
        <v>0</v>
      </c>
      <c r="Q36" s="141">
        <f>((1.486/Defaults!$M$4)*((((PI()*(15/12)^2)/4)-(((15/12)/2)^2*((2*ACOS((((15/12)/2)-((15/12)-(15*0.938333/12)))/((15/12)/2)))-SIN(2*ACOS((((15/12)/2)-((15/12)-(15*0.938333/12)))/((15/12)/2))))/2))/((PI()*(15/12))-((2*ACOS((((15/12)/2)-((15/12)-(15*0.938333/12)))/((15/12)/2)))*((15/12)/2))))^(2/3)*$H$17^0.5)*(((PI()*(15/12)^2)/4)-(((15/12)/2)^2*((2*ACOS((((15/12)/2)-((15/12)-(15*0.938333/12)))/((15/12)/2)))-SIN(2*ACOS((((15/12)/2)-((15/12)-(15*0.938333/12)))/((15/12)/2))))/2))</f>
        <v>0</v>
      </c>
      <c r="S36" s="141">
        <f>((1.486/Defaults!$M$4)*((((PI()*(18/12)^2)/4)-(((18/12)/2)^2*((2*ACOS((((18/12)/2)-((18/12)-(18*0.938333/12)))/((18/12)/2)))-SIN(2*ACOS((((18/12)/2)-((18/12)-(18*0.938333/12)))/((18/12)/2))))/2))/((PI()*(18/12))-((2*ACOS((((18/12)/2)-((18/12)-(18*0.938333/12)))/((18/12)/2)))*((18/12)/2))))^(2/3)*$H$17^0.5)*(((PI()*(18/12)^2)/4)-(((18/12)/2)^2*((2*ACOS((((18/12)/2)-((18/12)-(18*0.938333/12)))/((18/12)/2)))-SIN(2*ACOS((((18/12)/2)-((18/12)-(18*0.938333/12)))/((18/12)/2))))/2))</f>
        <v>0</v>
      </c>
      <c r="T36" t="e">
        <f>IF(($F$17+$G$17)&lt;=$M36,6,IF(($F$17+$G$17)&lt;=$N36,8,IF(($F$17+$G$17)&lt;=$O36,10,IF(($F$17+$G$17)&lt;=$P36,12,IF(($F$17+$G$17)&lt;=$Q36,15,IF(($F$17+$G$17)&lt;=$S36,18,"Too Large"))))))</f>
        <v>#VALUE!</v>
      </c>
    </row>
    <row r="37" spans="1:20" ht="15" customHeight="1" x14ac:dyDescent="0.2">
      <c r="A37" s="97">
        <v>5</v>
      </c>
      <c r="B37" s="142" t="str">
        <f>IF(AND(ISNUMBER(D21),ISNUMBER(E21),ISTEXT(L21))=TRUE,VLOOKUP(L21,L66:T71,9,FALSE),"")</f>
        <v/>
      </c>
      <c r="C37" s="21"/>
      <c r="D37" s="143" t="str">
        <f>IF(ISNUMBER(B37),IF(ISNUMBER(C37),IF(L21=Defaults!$L$2,VLOOKUP(C37,Defaults!$L$10:$M$15,2,FALSE),VLOOKUP(L21,Defaults!$L$2:$M$7,2,FALSE)),IF(L21=Defaults!$L$2,VLOOKUP(B37,Defaults!$L$10:$M$15,2,FALSE),VLOOKUP(L21,Defaults!$L$2:$M$7,2,FALSE))),"")</f>
        <v/>
      </c>
      <c r="E37" s="145" t="str">
        <f t="shared" si="2"/>
        <v/>
      </c>
      <c r="F37" s="156" t="str">
        <f t="shared" si="4"/>
        <v/>
      </c>
      <c r="G37" s="155" t="str">
        <f t="shared" si="5"/>
        <v/>
      </c>
      <c r="H37" s="144" t="str">
        <f t="shared" si="3"/>
        <v/>
      </c>
      <c r="I37" s="383" t="str">
        <f>IF(ISNUMBER(F37),IF(ISBLANK(M21),"",IF(OR(L21=Defaults!L2,L21=Defaults!L3)=TRUE,IF(F37&lt;=VLOOKUP(M21,Defaults!$O$41:$P$64,2,TRUE),"Perforated Tubing","Non-Perforated Tubing"),"")),"")</f>
        <v/>
      </c>
      <c r="J37" s="383"/>
      <c r="L37" t="str">
        <f>Defaults!$L$5</f>
        <v>CMP-Helical</v>
      </c>
      <c r="M37" s="141">
        <f>((1.486/Defaults!$M$5)*((((PI()*(6/12)^2)/4)-(((6/12)/2)^2*((2*ACOS((((6/12)/2)-((6/12)-(6*0.938333/12)))/((6/12)/2)))-SIN(2*ACOS((((6/12)/2)-((6/12)-(6*0.938333/12)))/((6/12)/2))))/2))/((PI()*(6/12))-((2*ACOS((((6/12)/2)-((6/12)-(6*0.938333/12)))/((6/12)/2)))*((6/12)/2))))^(2/3)*$H$17^0.5)*(((PI()*(6/12)^2)/4)-(((6/12)/2)^2*((2*ACOS((((6/12)/2)-((6/12)-(6*0.938333/12)))/((6/12)/2)))-SIN(2*ACOS((((6/12)/2)-((6/12)-(6*0.938333/12)))/((6/12)/2))))/2))</f>
        <v>0</v>
      </c>
      <c r="N37" s="141">
        <f>((1.486/Defaults!$M$5)*((((PI()*(8/12)^2)/4)-(((8/12)/2)^2*((2*ACOS((((8/12)/2)-((8/12)-(8*0.938333/12)))/((8/12)/2)))-SIN(2*ACOS((((8/12)/2)-((8/12)-(8*0.938333/12)))/((8/12)/2))))/2))/((PI()*(8/12))-((2*ACOS((((8/12)/2)-((8/12)-(8*0.938333/12)))/((8/12)/2)))*((8/12)/2))))^(2/3)*$H$17^0.5)*(((PI()*(8/12)^2)/4)-(((8/12)/2)^2*((2*ACOS((((8/12)/2)-((8/12)-(8*0.938333/12)))/((8/12)/2)))-SIN(2*ACOS((((8/12)/2)-((8/12)-(8*0.938333/12)))/((8/12)/2))))/2))</f>
        <v>0</v>
      </c>
      <c r="O37" s="141">
        <f>((1.486/Defaults!$M$5)*((((PI()*(10/12)^2)/4)-(((10/12)/2)^2*((2*ACOS((((10/12)/2)-((10/12)-(10*0.938333/12)))/((10/12)/2)))-SIN(2*ACOS((((10/12)/2)-((10/12)-(10*0.938333/12)))/((10/12)/2))))/2))/((PI()*(10/12))-((2*ACOS((((10/12)/2)-((10/12)-(10*0.938333/12)))/((10/12)/2)))*((10/12)/2))))^(2/3)*$H$17^0.5)*(((PI()*(10/12)^2)/4)-(((10/12)/2)^2*((2*ACOS((((10/12)/2)-((10/12)-(10*0.938333/12)))/((10/12)/2)))-SIN(2*ACOS((((10/12)/2)-((10/12)-(10*0.938333/12)))/((10/12)/2))))/2))</f>
        <v>0</v>
      </c>
      <c r="P37" s="141">
        <f>((1.486/Defaults!$M$5)*((((PI()*(12/12)^2)/4)-(((12/12)/2)^2*((2*ACOS((((12/12)/2)-((12/12)-(12*0.938333/12)))/((12/12)/2)))-SIN(2*ACOS((((12/12)/2)-((12/12)-(12*0.938333/12)))/((12/12)/2))))/2))/((PI()*(12/12))-((2*ACOS((((12/12)/2)-((12/12)-(12*0.938333/12)))/((12/12)/2)))*((12/12)/2))))^(2/3)*$H$17^0.5)*(((PI()*(12/12)^2)/4)-(((12/12)/2)^2*((2*ACOS((((12/12)/2)-((12/12)-(12*0.938333/12)))/((12/12)/2)))-SIN(2*ACOS((((12/12)/2)-((12/12)-(12*0.938333/12)))/((12/12)/2))))/2))</f>
        <v>0</v>
      </c>
      <c r="Q37" s="141">
        <f>((1.486/Defaults!$M$5)*((((PI()*(15/12)^2)/4)-(((15/12)/2)^2*((2*ACOS((((15/12)/2)-((15/12)-(15*0.938333/12)))/((15/12)/2)))-SIN(2*ACOS((((15/12)/2)-((15/12)-(15*0.938333/12)))/((15/12)/2))))/2))/((PI()*(15/12))-((2*ACOS((((15/12)/2)-((15/12)-(15*0.938333/12)))/((15/12)/2)))*((15/12)/2))))^(2/3)*$H$17^0.5)*(((PI()*(15/12)^2)/4)-(((15/12)/2)^2*((2*ACOS((((15/12)/2)-((15/12)-(15*0.938333/12)))/((15/12)/2)))-SIN(2*ACOS((((15/12)/2)-((15/12)-(15*0.938333/12)))/((15/12)/2))))/2))</f>
        <v>0</v>
      </c>
      <c r="S37" s="141">
        <f>((1.486/Defaults!$M$5)*((((PI()*(18/12)^2)/4)-(((18/12)/2)^2*((2*ACOS((((18/12)/2)-((18/12)-(18*0.938333/12)))/((18/12)/2)))-SIN(2*ACOS((((18/12)/2)-((18/12)-(18*0.938333/12)))/((18/12)/2))))/2))/((PI()*(18/12))-((2*ACOS((((18/12)/2)-((18/12)-(18*0.938333/12)))/((18/12)/2)))*((18/12)/2))))^(2/3)*$H$17^0.5)*(((PI()*(18/12)^2)/4)-(((18/12)/2)^2*((2*ACOS((((18/12)/2)-((18/12)-(18*0.938333/12)))/((18/12)/2)))-SIN(2*ACOS((((18/12)/2)-((18/12)-(18*0.938333/12)))/((18/12)/2))))/2))</f>
        <v>0</v>
      </c>
      <c r="T37" t="e">
        <f>IF(($F$17+$G$17)&lt;=$M37,6,IF(($F$17+$G$17)&lt;=$N37,8,IF(($F$17+$G$17)&lt;=$O37,10,IF(($F$17+$G$17)&lt;=$P37,12,IF(($F$17+$G$17)&lt;=$Q37,15,IF(($F$17+$G$17)&lt;=$S37,18,"Too Large"))))))</f>
        <v>#VALUE!</v>
      </c>
    </row>
    <row r="38" spans="1:20" ht="15" customHeight="1" x14ac:dyDescent="0.2">
      <c r="A38" s="104">
        <v>6</v>
      </c>
      <c r="B38" s="142" t="str">
        <f>IF(AND(ISNUMBER(D22),ISNUMBER(E22),ISTEXT(L22))=TRUE,VLOOKUP(L22,L74:T79,9,FALSE),"")</f>
        <v/>
      </c>
      <c r="C38" s="21"/>
      <c r="D38" s="143" t="str">
        <f>IF(ISNUMBER(B38),IF(ISNUMBER(C38),IF(L22=Defaults!$L$2,VLOOKUP(C38,Defaults!$L$10:$M$15,2,FALSE),VLOOKUP(L22,Defaults!$L$2:$M$7,2,FALSE)),IF(L22=Defaults!$L$2,VLOOKUP(B38,Defaults!$L$10:$M$15,2,FALSE),VLOOKUP(L22,Defaults!$L$2:$M$7,2,FALSE))),"")</f>
        <v/>
      </c>
      <c r="E38" s="145" t="str">
        <f t="shared" si="2"/>
        <v/>
      </c>
      <c r="F38" s="156" t="str">
        <f t="shared" si="4"/>
        <v/>
      </c>
      <c r="G38" s="155" t="str">
        <f t="shared" si="5"/>
        <v/>
      </c>
      <c r="H38" s="144" t="str">
        <f t="shared" si="3"/>
        <v/>
      </c>
      <c r="I38" s="383" t="str">
        <f>IF(ISNUMBER(F38),IF(ISBLANK(M22),"",IF(OR(L22=Defaults!L2,L22=Defaults!L3)=TRUE,IF(F38&lt;=VLOOKUP(M22,Defaults!$O$41:$P$64,2,TRUE),"Perforated Tubing","Non-Perforated Tubing"),"")),"")</f>
        <v/>
      </c>
      <c r="J38" s="383"/>
      <c r="L38" s="93" t="str">
        <f>Defaults!$L$6</f>
        <v>PVC</v>
      </c>
      <c r="M38" s="141">
        <f>((1.486/Defaults!$M$6)*((((PI()*(6/12)^2)/4)-(((6/12)/2)^2*((2*ACOS((((6/12)/2)-((6/12)-(6*0.938333/12)))/((6/12)/2)))-SIN(2*ACOS((((6/12)/2)-((6/12)-(6*0.938333/12)))/((6/12)/2))))/2))/((PI()*(6/12))-((2*ACOS((((6/12)/2)-((6/12)-(6*0.938333/12)))/((6/12)/2)))*((6/12)/2))))^(2/3)*$H$17^0.5)*(((PI()*(6/12)^2)/4)-(((6/12)/2)^2*((2*ACOS((((6/12)/2)-((6/12)-(6*0.938333/12)))/((6/12)/2)))-SIN(2*ACOS((((6/12)/2)-((6/12)-(6*0.938333/12)))/((6/12)/2))))/2))</f>
        <v>0</v>
      </c>
      <c r="N38" s="141">
        <f>((1.486/Defaults!$M$6)*((((PI()*(8/12)^2)/4)-(((8/12)/2)^2*((2*ACOS((((8/12)/2)-((8/12)-(8*0.938333/12)))/((8/12)/2)))-SIN(2*ACOS((((8/12)/2)-((8/12)-(8*0.938333/12)))/((8/12)/2))))/2))/((PI()*(8/12))-((2*ACOS((((8/12)/2)-((8/12)-(8*0.938333/12)))/((8/12)/2)))*((8/12)/2))))^(2/3)*$H$17^0.5)*(((PI()*(8/12)^2)/4)-(((8/12)/2)^2*((2*ACOS((((8/12)/2)-((8/12)-(8*0.938333/12)))/((8/12)/2)))-SIN(2*ACOS((((8/12)/2)-((8/12)-(8*0.938333/12)))/((8/12)/2))))/2))</f>
        <v>0</v>
      </c>
      <c r="O38" s="141">
        <f>((1.486/Defaults!$M$6)*((((PI()*(10/12)^2)/4)-(((10/12)/2)^2*((2*ACOS((((10/12)/2)-((10/12)-(10*0.938333/12)))/((10/12)/2)))-SIN(2*ACOS((((10/12)/2)-((10/12)-(10*0.938333/12)))/((10/12)/2))))/2))/((PI()*(10/12))-((2*ACOS((((10/12)/2)-((10/12)-(10*0.938333/12)))/((10/12)/2)))*((10/12)/2))))^(2/3)*$H$17^0.5)*(((PI()*(10/12)^2)/4)-(((10/12)/2)^2*((2*ACOS((((10/12)/2)-((10/12)-(10*0.938333/12)))/((10/12)/2)))-SIN(2*ACOS((((10/12)/2)-((10/12)-(10*0.938333/12)))/((10/12)/2))))/2))</f>
        <v>0</v>
      </c>
      <c r="P38" s="141">
        <f>((1.486/Defaults!$M$6)*((((PI()*(12/12)^2)/4)-(((12/12)/2)^2*((2*ACOS((((12/12)/2)-((12/12)-(12*0.938333/12)))/((12/12)/2)))-SIN(2*ACOS((((12/12)/2)-((12/12)-(12*0.938333/12)))/((12/12)/2))))/2))/((PI()*(12/12))-((2*ACOS((((12/12)/2)-((12/12)-(12*0.938333/12)))/((12/12)/2)))*((12/12)/2))))^(2/3)*$H$17^0.5)*(((PI()*(12/12)^2)/4)-(((12/12)/2)^2*((2*ACOS((((12/12)/2)-((12/12)-(12*0.938333/12)))/((12/12)/2)))-SIN(2*ACOS((((12/12)/2)-((12/12)-(12*0.938333/12)))/((12/12)/2))))/2))</f>
        <v>0</v>
      </c>
      <c r="Q38" s="141">
        <f>((1.486/Defaults!$M$6)*((((PI()*(15/12)^2)/4)-(((15/12)/2)^2*((2*ACOS((((15/12)/2)-((15/12)-(15*0.938333/12)))/((15/12)/2)))-SIN(2*ACOS((((15/12)/2)-((15/12)-(15*0.938333/12)))/((15/12)/2))))/2))/((PI()*(15/12))-((2*ACOS((((15/12)/2)-((15/12)-(15*0.938333/12)))/((15/12)/2)))*((15/12)/2))))^(2/3)*$H$17^0.5)*(((PI()*(15/12)^2)/4)-(((15/12)/2)^2*((2*ACOS((((15/12)/2)-((15/12)-(15*0.938333/12)))/((15/12)/2)))-SIN(2*ACOS((((15/12)/2)-((15/12)-(15*0.938333/12)))/((15/12)/2))))/2))</f>
        <v>0</v>
      </c>
      <c r="S38" s="141">
        <f>((1.486/Defaults!$M$6)*((((PI()*(18/12)^2)/4)-(((18/12)/2)^2*((2*ACOS((((18/12)/2)-((18/12)-(18*0.938333/12)))/((18/12)/2)))-SIN(2*ACOS((((18/12)/2)-((18/12)-(18*0.938333/12)))/((18/12)/2))))/2))/((PI()*(18/12))-((2*ACOS((((18/12)/2)-((18/12)-(18*0.938333/12)))/((18/12)/2)))*((18/12)/2))))^(2/3)*$H$17^0.5)*(((PI()*(18/12)^2)/4)-(((18/12)/2)^2*((2*ACOS((((18/12)/2)-((18/12)-(18*0.938333/12)))/((18/12)/2)))-SIN(2*ACOS((((18/12)/2)-((18/12)-(18*0.938333/12)))/((18/12)/2))))/2))</f>
        <v>0</v>
      </c>
      <c r="T38" t="e">
        <f>IF(($F$17+$G$17)&lt;=$M38,6,IF(($F$17+$G$17)&lt;=$N38,8,IF(($F$17+$G$17)&lt;=$O38,10,IF(($F$17+$G$17)&lt;=$P38,12,IF(($F$17+$G$17)&lt;=$Q38,15,IF(($F$17+$G$17)&lt;=$S38,18,"Too Large"))))))</f>
        <v>#VALUE!</v>
      </c>
    </row>
    <row r="39" spans="1:20" ht="15" customHeight="1" x14ac:dyDescent="0.2">
      <c r="A39" s="104">
        <v>7</v>
      </c>
      <c r="B39" s="142" t="str">
        <f>IF(AND(ISNUMBER(D23),ISNUMBER(E23),ISTEXT(L23))=TRUE,VLOOKUP(L23,L82:T87,9,FALSE),"")</f>
        <v/>
      </c>
      <c r="C39" s="21"/>
      <c r="D39" s="143" t="str">
        <f>IF(ISNUMBER(B39),IF(ISNUMBER(C39),IF(L23=Defaults!$L$2,VLOOKUP(C39,Defaults!$L$10:$M$15,2,FALSE),VLOOKUP(L23,Defaults!$L$2:$M$7,2,FALSE)),IF(L23=Defaults!$L$2,VLOOKUP(B39,Defaults!$L$10:$M$15,2,FALSE),VLOOKUP(L23,Defaults!$L$2:$M$7,2,FALSE))),"")</f>
        <v/>
      </c>
      <c r="E39" s="145" t="str">
        <f t="shared" si="2"/>
        <v/>
      </c>
      <c r="F39" s="156" t="str">
        <f t="shared" si="4"/>
        <v/>
      </c>
      <c r="G39" s="155" t="str">
        <f t="shared" si="5"/>
        <v/>
      </c>
      <c r="H39" s="144" t="str">
        <f t="shared" si="3"/>
        <v/>
      </c>
      <c r="I39" s="383" t="str">
        <f>IF(ISNUMBER(F39),IF(ISBLANK(M23),"",IF(OR(L23=Defaults!L2,L23=Defaults!L3)=TRUE,IF(F39&lt;=VLOOKUP(M23,Defaults!$O$41:$P$64,2,TRUE),"Perforated Tubing","Non-Perforated Tubing"),"")),"")</f>
        <v/>
      </c>
      <c r="J39" s="383"/>
      <c r="L39" t="str">
        <f>Defaults!$L$7</f>
        <v>Concrete</v>
      </c>
      <c r="M39" s="141">
        <f>((1.486/Defaults!$M$7)*((((PI()*(6/12)^2)/4)-(((6/12)/2)^2*((2*ACOS((((6/12)/2)-((6/12)-(6*0.938333/12)))/((6/12)/2)))-SIN(2*ACOS((((6/12)/2)-((6/12)-(6*0.938333/12)))/((6/12)/2))))/2))/((PI()*(6/12))-((2*ACOS((((6/12)/2)-((6/12)-(6*0.938333/12)))/((6/12)/2)))*((6/12)/2))))^(2/3)*$H$17^0.5)*(((PI()*(6/12)^2)/4)-(((6/12)/2)^2*((2*ACOS((((6/12)/2)-((6/12)-(6*0.938333/12)))/((6/12)/2)))-SIN(2*ACOS((((6/12)/2)-((6/12)-(6*0.938333/12)))/((6/12)/2))))/2))</f>
        <v>0</v>
      </c>
      <c r="N39" s="141">
        <f>((1.486/Defaults!$M$7)*((((PI()*(8/12)^2)/4)-(((8/12)/2)^2*((2*ACOS((((8/12)/2)-((8/12)-(8*0.938333/12)))/((8/12)/2)))-SIN(2*ACOS((((8/12)/2)-((8/12)-(8*0.938333/12)))/((8/12)/2))))/2))/((PI()*(8/12))-((2*ACOS((((8/12)/2)-((8/12)-(8*0.938333/12)))/((8/12)/2)))*((8/12)/2))))^(2/3)*$H$17^0.5)*(((PI()*(8/12)^2)/4)-(((8/12)/2)^2*((2*ACOS((((8/12)/2)-((8/12)-(8*0.938333/12)))/((8/12)/2)))-SIN(2*ACOS((((8/12)/2)-((8/12)-(8*0.938333/12)))/((8/12)/2))))/2))</f>
        <v>0</v>
      </c>
      <c r="O39" s="141">
        <f>((1.486/Defaults!$M$7)*((((PI()*(10/12)^2)/4)-(((10/12)/2)^2*((2*ACOS((((10/12)/2)-((10/12)-(10*0.938333/12)))/((10/12)/2)))-SIN(2*ACOS((((10/12)/2)-((10/12)-(10*0.938333/12)))/((10/12)/2))))/2))/((PI()*(10/12))-((2*ACOS((((10/12)/2)-((10/12)-(10*0.938333/12)))/((10/12)/2)))*((10/12)/2))))^(2/3)*$H$17^0.5)*(((PI()*(10/12)^2)/4)-(((10/12)/2)^2*((2*ACOS((((10/12)/2)-((10/12)-(10*0.938333/12)))/((10/12)/2)))-SIN(2*ACOS((((10/12)/2)-((10/12)-(10*0.938333/12)))/((10/12)/2))))/2))</f>
        <v>0</v>
      </c>
      <c r="P39" s="141">
        <f>((1.486/Defaults!$M$7)*((((PI()*(12/12)^2)/4)-(((12/12)/2)^2*((2*ACOS((((12/12)/2)-((12/12)-(12*0.938333/12)))/((12/12)/2)))-SIN(2*ACOS((((12/12)/2)-((12/12)-(12*0.938333/12)))/((12/12)/2))))/2))/((PI()*(12/12))-((2*ACOS((((12/12)/2)-((12/12)-(12*0.938333/12)))/((12/12)/2)))*((12/12)/2))))^(2/3)*$H$17^0.5)*(((PI()*(12/12)^2)/4)-(((12/12)/2)^2*((2*ACOS((((12/12)/2)-((12/12)-(12*0.938333/12)))/((12/12)/2)))-SIN(2*ACOS((((12/12)/2)-((12/12)-(12*0.938333/12)))/((12/12)/2))))/2))</f>
        <v>0</v>
      </c>
      <c r="Q39" s="141">
        <f>((1.486/Defaults!$M$7)*((((PI()*(15/12)^2)/4)-(((15/12)/2)^2*((2*ACOS((((15/12)/2)-((15/12)-(15*0.938333/12)))/((15/12)/2)))-SIN(2*ACOS((((15/12)/2)-((15/12)-(15*0.938333/12)))/((15/12)/2))))/2))/((PI()*(15/12))-((2*ACOS((((15/12)/2)-((15/12)-(15*0.938333/12)))/((15/12)/2)))*((15/12)/2))))^(2/3)*$H$17^0.5)*(((PI()*(15/12)^2)/4)-(((15/12)/2)^2*((2*ACOS((((15/12)/2)-((15/12)-(15*0.938333/12)))/((15/12)/2)))-SIN(2*ACOS((((15/12)/2)-((15/12)-(15*0.938333/12)))/((15/12)/2))))/2))</f>
        <v>0</v>
      </c>
      <c r="R39" s="141">
        <f>((1.486/Defaults!$M$7)*((((PI()*(16/12)^2)/4)-(((16/12)/2)^2*((2*ACOS((((16/12)/2)-((16/12)-(16*0.938333/12)))/((16/12)/2)))-SIN(2*ACOS((((16/12)/2)-((16/12)-(16*0.938333/12)))/((16/12)/2))))/2))/((PI()*(16/12))-((2*ACOS((((16/12)/2)-((16/12)-(16*0.938333/12)))/((16/12)/2)))*((16/12)/2))))^(2/3)*$H$17^0.5)*(((PI()*(16/12)^2)/4)-(((16/12)/2)^2*((2*ACOS((((16/12)/2)-((16/12)-(16*0.938333/12)))/((16/12)/2)))-SIN(2*ACOS((((16/12)/2)-((16/12)-(16*0.938333/12)))/((16/12)/2))))/2))</f>
        <v>0</v>
      </c>
      <c r="S39" s="141">
        <f>((1.486/Defaults!$M$7)*((((PI()*(18/12)^2)/4)-(((18/12)/2)^2*((2*ACOS((((18/12)/2)-((18/12)-(18*0.938333/12)))/((18/12)/2)))-SIN(2*ACOS((((18/12)/2)-((18/12)-(18*0.938333/12)))/((18/12)/2))))/2))/((PI()*(18/12))-((2*ACOS((((18/12)/2)-((18/12)-(18*0.938333/12)))/((18/12)/2)))*((18/12)/2))))^(2/3)*$H$17^0.5)*(((PI()*(18/12)^2)/4)-(((18/12)/2)^2*((2*ACOS((((18/12)/2)-((18/12)-(18*0.938333/12)))/((18/12)/2)))-SIN(2*ACOS((((18/12)/2)-((18/12)-(18*0.938333/12)))/((18/12)/2))))/2))</f>
        <v>0</v>
      </c>
      <c r="T39" t="e">
        <f>IF(($F$17+$G$17)&lt;=$M39,6,IF(($F$17+$G$17)&lt;=$N39,8,IF(($F$17+$G$17)&lt;=$O39,10,IF(($F$17+$G$17)&lt;=$P39,12,IF(($F$17+$G$17)&lt;=$Q39,15,IF(($F$17+$G$17)&lt;=$R39,16,IF(($F$17+$G$17)&lt;=$S39,18,"Too Large")))))))</f>
        <v>#VALUE!</v>
      </c>
    </row>
    <row r="40" spans="1:20" ht="15" customHeight="1" x14ac:dyDescent="0.2">
      <c r="A40" s="104">
        <v>8</v>
      </c>
      <c r="B40" s="142" t="str">
        <f>IF(AND(ISNUMBER(D24),ISNUMBER(E24),ISTEXT(L24))=TRUE,VLOOKUP(L24,L90:T95,9,FALSE),"")</f>
        <v/>
      </c>
      <c r="C40" s="21"/>
      <c r="D40" s="143" t="str">
        <f>IF(ISNUMBER(B40),IF(ISNUMBER(C40),IF(L24=Defaults!$L$2,VLOOKUP(C40,Defaults!$L$10:$M$15,2,FALSE),VLOOKUP(L24,Defaults!$L$2:$M$7,2,FALSE)),IF(L24=Defaults!$L$2,VLOOKUP(B40,Defaults!$L$10:$M$15,2,FALSE),VLOOKUP(L24,Defaults!$L$2:$M$7,2,FALSE))),"")</f>
        <v/>
      </c>
      <c r="E40" s="145" t="str">
        <f t="shared" si="2"/>
        <v/>
      </c>
      <c r="F40" s="156" t="str">
        <f t="shared" si="4"/>
        <v/>
      </c>
      <c r="G40" s="155" t="str">
        <f t="shared" si="5"/>
        <v/>
      </c>
      <c r="H40" s="144" t="str">
        <f t="shared" si="3"/>
        <v/>
      </c>
      <c r="I40" s="383" t="str">
        <f>IF(ISNUMBER(F40),IF(ISBLANK(M24),"",IF(OR(L24=Defaults!L2,L24=Defaults!L3)=TRUE,IF(F40&lt;=VLOOKUP(M24,Defaults!$O$41:$P$64,2,TRUE),"Perforated Tubing","Non-Perforated Tubing"),"")),"")</f>
        <v/>
      </c>
      <c r="J40" s="383"/>
    </row>
    <row r="41" spans="1:20" ht="15" customHeight="1" x14ac:dyDescent="0.2">
      <c r="A41" s="104">
        <v>9</v>
      </c>
      <c r="B41" s="142" t="str">
        <f>IF(AND(ISNUMBER(D25),ISNUMBER(E25),ISTEXT(L25))=TRUE,VLOOKUP(L25,L98:T103,9,FALSE),"")</f>
        <v/>
      </c>
      <c r="C41" s="21"/>
      <c r="D41" s="143" t="str">
        <f>IF(ISNUMBER(B41),IF(ISNUMBER(C41),IF(L25=Defaults!$L$2,VLOOKUP(C41,Defaults!$L$10:$M$15,2,FALSE),VLOOKUP(L25,Defaults!$L$2:$M$7,2,FALSE)),IF(L25=Defaults!$L$2,VLOOKUP(B41,Defaults!$L$10:$M$15,2,FALSE),VLOOKUP(L25,Defaults!$L$2:$M$7,2,FALSE))),"")</f>
        <v/>
      </c>
      <c r="E41" s="145" t="str">
        <f t="shared" si="2"/>
        <v/>
      </c>
      <c r="F41" s="156" t="str">
        <f t="shared" si="4"/>
        <v/>
      </c>
      <c r="G41" s="155" t="str">
        <f t="shared" si="5"/>
        <v/>
      </c>
      <c r="H41" s="144" t="str">
        <f t="shared" si="3"/>
        <v/>
      </c>
      <c r="I41" s="383" t="str">
        <f>IF(ISNUMBER(F41),IF(ISBLANK(M25),"",IF(OR(L25=Defaults!L2,L25=Defaults!L3)=TRUE,IF(F41&lt;=VLOOKUP(M25,Defaults!$O$41:$P$64,2,TRUE),"Perforated Tubing","Non-Perforated Tubing"),"")),"")</f>
        <v/>
      </c>
      <c r="J41" s="383"/>
      <c r="M41">
        <v>6</v>
      </c>
      <c r="N41">
        <v>8</v>
      </c>
      <c r="O41">
        <v>10</v>
      </c>
      <c r="P41">
        <v>12</v>
      </c>
      <c r="Q41">
        <v>15</v>
      </c>
      <c r="R41">
        <v>16</v>
      </c>
      <c r="S41">
        <v>18</v>
      </c>
      <c r="T41" s="140" t="s">
        <v>186</v>
      </c>
    </row>
    <row r="42" spans="1:20" ht="15" customHeight="1" x14ac:dyDescent="0.2">
      <c r="A42" s="104">
        <v>10</v>
      </c>
      <c r="B42" s="142" t="str">
        <f>IF(AND(ISNUMBER(D26),ISNUMBER(E26),ISTEXT(L26))=TRUE,VLOOKUP(L26,L106:T111,9,FALSE),"")</f>
        <v/>
      </c>
      <c r="C42" s="21"/>
      <c r="D42" s="143" t="str">
        <f>IF(ISNUMBER(B42),IF(ISNUMBER(C42),IF(L26=Defaults!$L$2,VLOOKUP(C42,Defaults!$L$10:$M$15,2,FALSE),VLOOKUP(L26,Defaults!$L$2:$M$7,2,FALSE)),IF(L26=Defaults!$L$2,VLOOKUP(B42,Defaults!$L$10:$M$15,2,FALSE),VLOOKUP(L26,Defaults!$L$2:$M$7,2,FALSE))),"")</f>
        <v/>
      </c>
      <c r="E42" s="145" t="str">
        <f t="shared" si="2"/>
        <v/>
      </c>
      <c r="F42" s="156" t="str">
        <f t="shared" si="4"/>
        <v/>
      </c>
      <c r="G42" s="155" t="str">
        <f t="shared" si="5"/>
        <v/>
      </c>
      <c r="H42" s="144" t="str">
        <f t="shared" si="3"/>
        <v/>
      </c>
      <c r="I42" s="383" t="str">
        <f>IF(ISNUMBER(F42),IF(ISBLANK(M26),"",IF(OR(L26=Defaults!L2,L26=Defaults!L3)=TRUE,IF(F42&lt;=VLOOKUP(M26,Defaults!$O$41:$P$64,2,TRUE),"Perforated Tubing","Non-Perforated Tubing"),"")),"")</f>
        <v/>
      </c>
      <c r="J42" s="383"/>
      <c r="L42" t="str">
        <f>Defaults!$L$2</f>
        <v>CPT (Tile)</v>
      </c>
      <c r="M42" s="141">
        <f>((1.486/Defaults!$M$10)*((((PI()*(6/12)^2)/4)-(((6/12)/2)^2*((2*ACOS((((6/12)/2)-((6/12)-(6*0.938333/12)))/((6/12)/2)))-SIN(2*ACOS((((6/12)/2)-((6/12)-(6*0.938333/12)))/((6/12)/2))))/2))/((PI()*(6/12))-((2*ACOS((((6/12)/2)-((6/12)-(6*0.938333/12)))/((6/12)/2)))*((6/12)/2))))^(2/3)*$H$18^0.5)*(((PI()*(6/12)^2)/4)-(((6/12)/2)^2*((2*ACOS((((6/12)/2)-((6/12)-(6*0.938333/12)))/((6/12)/2)))-SIN(2*ACOS((((6/12)/2)-((6/12)-(6*0.938333/12)))/((6/12)/2))))/2))</f>
        <v>0</v>
      </c>
      <c r="N42" s="141">
        <f>((1.486/Defaults!$M$11)*((((PI()*(8/12)^2)/4)-(((8/12)/2)^2*((2*ACOS((((8/12)/2)-((8/12)-(8*0.938333/12)))/((8/12)/2)))-SIN(2*ACOS((((8/12)/2)-((8/12)-(8*0.938333/12)))/((8/12)/2))))/2))/((PI()*(8/12))-((2*ACOS((((8/12)/2)-((8/12)-(8*0.938333/12)))/((8/12)/2)))*((8/12)/2))))^(2/3)*$H$18^0.5)*(((PI()*(8/12)^2)/4)-(((8/12)/2)^2*((2*ACOS((((8/12)/2)-((8/12)-(8*0.938333/12)))/((8/12)/2)))-SIN(2*ACOS((((8/12)/2)-((8/12)-(8*0.938333/12)))/((8/12)/2))))/2))</f>
        <v>0</v>
      </c>
      <c r="O42" s="141">
        <f>((1.486/Defaults!$M$12)*((((PI()*(10/12)^2)/4)-(((10/12)/2)^2*((2*ACOS((((10/12)/2)-((10/12)-(10*0.938333/12)))/((10/12)/2)))-SIN(2*ACOS((((10/12)/2)-((10/12)-(10*0.938333/12)))/((10/12)/2))))/2))/((PI()*(10/12))-((2*ACOS((((10/12)/2)-((10/12)-(10*0.938333/12)))/((10/12)/2)))*((10/12)/2))))^(2/3)*$H$18^0.5)*(((PI()*(10/12)^2)/4)-(((10/12)/2)^2*((2*ACOS((((10/12)/2)-((10/12)-(10*0.938333/12)))/((10/12)/2)))-SIN(2*ACOS((((10/12)/2)-((10/12)-(10*0.938333/12)))/((10/12)/2))))/2))</f>
        <v>0</v>
      </c>
      <c r="P42" s="141">
        <f>((1.486/Defaults!$M$13)*((((PI()*(12/12)^2)/4)-(((12/12)/2)^2*((2*ACOS((((12/12)/2)-((12/12)-(12*0.938333/12)))/((12/12)/2)))-SIN(2*ACOS((((12/12)/2)-((12/12)-(12*0.938333/12)))/((12/12)/2))))/2))/((PI()*(12/12))-((2*ACOS((((12/12)/2)-((12/12)-(12*0.938333/12)))/((12/12)/2)))*((12/12)/2))))^(2/3)*$H$18^0.5)*(((PI()*(12/12)^2)/4)-(((12/12)/2)^2*((2*ACOS((((12/12)/2)-((12/12)-(12*0.938333/12)))/((12/12)/2)))-SIN(2*ACOS((((12/12)/2)-((12/12)-(12*0.938333/12)))/((12/12)/2))))/2))</f>
        <v>0</v>
      </c>
      <c r="Q42" s="141">
        <f>((1.486/Defaults!$M$14)*((((PI()*(15/12)^2)/4)-(((15/12)/2)^2*((2*ACOS((((15/12)/2)-((15/12)-(15*0.938333/12)))/((15/12)/2)))-SIN(2*ACOS((((15/12)/2)-((15/12)-(15*0.938333/12)))/((15/12)/2))))/2))/((PI()*(15/12))-((2*ACOS((((15/12)/2)-((15/12)-(15*0.938333/12)))/((15/12)/2)))*((15/12)/2))))^(2/3)*$H$18^0.5)*(((PI()*(15/12)^2)/4)-(((15/12)/2)^2*((2*ACOS((((15/12)/2)-((15/12)-(15*0.938333/12)))/((15/12)/2)))-SIN(2*ACOS((((15/12)/2)-((15/12)-(15*0.938333/12)))/((15/12)/2))))/2))</f>
        <v>0</v>
      </c>
      <c r="S42" s="141">
        <f>((1.486/Defaults!$M$15)*((((PI()*(18/12)^2)/4)-(((18/12)/2)^2*((2*ACOS((((18/12)/2)-((18/12)-(18*0.938333/12)))/((18/12)/2)))-SIN(2*ACOS((((18/12)/2)-((18/12)-(18*0.938333/12)))/((18/12)/2))))/2))/((PI()*(18/12))-((2*ACOS((((18/12)/2)-((18/12)-(18*0.938333/12)))/((18/12)/2)))*((18/12)/2))))^(2/3)*$H$18^0.5)*(((PI()*(18/12)^2)/4)-(((18/12)/2)^2*((2*ACOS((((18/12)/2)-((18/12)-(18*0.938333/12)))/((18/12)/2)))-SIN(2*ACOS((((18/12)/2)-((18/12)-(18*0.938333/12)))/((18/12)/2))))/2))</f>
        <v>0</v>
      </c>
      <c r="T42" t="e">
        <f>IF(($F$18+$G$18)&lt;=$M42,6,IF(($F$18+$G$18)&lt;=$N42,8,IF(($F$18+$G$18)&lt;=$O42,10,IF(($F$18+$G$18)&lt;=$P42,12,IF(($F$18+$G$18)&lt;=$Q42,15,IF(($F$18+$G$18)&lt;=$S42,18,"Too Large"))))))</f>
        <v>#VALUE!</v>
      </c>
    </row>
    <row r="43" spans="1:20" x14ac:dyDescent="0.2">
      <c r="L43" t="str">
        <f>Defaults!$L$3</f>
        <v>Dual-Wall CPT</v>
      </c>
      <c r="M43" s="141">
        <f>((1.486/Defaults!$M$3)*((((PI()*(6/12)^2)/4)-(((6/12)/2)^2*((2*ACOS((((6/12)/2)-((6/12)-(6*0.938333/12)))/((6/12)/2)))-SIN(2*ACOS((((6/12)/2)-((6/12)-(6*0.938333/12)))/((6/12)/2))))/2))/((PI()*(6/12))-((2*ACOS((((6/12)/2)-((6/12)-(6*0.938333/12)))/((6/12)/2)))*((6/12)/2))))^(2/3)*$H$18^0.5)*(((PI()*(6/12)^2)/4)-(((6/12)/2)^2*((2*ACOS((((6/12)/2)-((6/12)-(6*0.938333/12)))/((6/12)/2)))-SIN(2*ACOS((((6/12)/2)-((6/12)-(6*0.938333/12)))/((6/12)/2))))/2))</f>
        <v>0</v>
      </c>
      <c r="N43" s="141">
        <f>((1.486/Defaults!$M$3)*((((PI()*(8/12)^2)/4)-(((8/12)/2)^2*((2*ACOS((((8/12)/2)-((8/12)-(8*0.938333/12)))/((8/12)/2)))-SIN(2*ACOS((((8/12)/2)-((8/12)-(8*0.938333/12)))/((8/12)/2))))/2))/((PI()*(8/12))-((2*ACOS((((8/12)/2)-((8/12)-(8*0.938333/12)))/((8/12)/2)))*((8/12)/2))))^(2/3)*$H$18^0.5)*(((PI()*(8/12)^2)/4)-(((8/12)/2)^2*((2*ACOS((((8/12)/2)-((8/12)-(8*0.938333/12)))/((8/12)/2)))-SIN(2*ACOS((((8/12)/2)-((8/12)-(8*0.938333/12)))/((8/12)/2))))/2))</f>
        <v>0</v>
      </c>
      <c r="O43" s="141">
        <f>((1.486/Defaults!$M$3)*((((PI()*(10/12)^2)/4)-(((10/12)/2)^2*((2*ACOS((((10/12)/2)-((10/12)-(10*0.938333/12)))/((10/12)/2)))-SIN(2*ACOS((((10/12)/2)-((10/12)-(10*0.938333/12)))/((10/12)/2))))/2))/((PI()*(10/12))-((2*ACOS((((10/12)/2)-((10/12)-(10*0.938333/12)))/((10/12)/2)))*((10/12)/2))))^(2/3)*$H$18^0.5)*(((PI()*(10/12)^2)/4)-(((10/12)/2)^2*((2*ACOS((((10/12)/2)-((10/12)-(10*0.938333/12)))/((10/12)/2)))-SIN(2*ACOS((((10/12)/2)-((10/12)-(10*0.938333/12)))/((10/12)/2))))/2))</f>
        <v>0</v>
      </c>
      <c r="P43" s="141">
        <f>((1.486/Defaults!$M$3)*((((PI()*(12/12)^2)/4)-(((12/12)/2)^2*((2*ACOS((((12/12)/2)-((12/12)-(12*0.938333/12)))/((12/12)/2)))-SIN(2*ACOS((((12/12)/2)-((12/12)-(12*0.938333/12)))/((12/12)/2))))/2))/((PI()*(12/12))-((2*ACOS((((12/12)/2)-((12/12)-(12*0.938333/12)))/((12/12)/2)))*((12/12)/2))))^(2/3)*$H$18^0.5)*(((PI()*(12/12)^2)/4)-(((12/12)/2)^2*((2*ACOS((((12/12)/2)-((12/12)-(12*0.938333/12)))/((12/12)/2)))-SIN(2*ACOS((((12/12)/2)-((12/12)-(12*0.938333/12)))/((12/12)/2))))/2))</f>
        <v>0</v>
      </c>
      <c r="Q43" s="141">
        <f>((1.486/Defaults!$M$3)*((((PI()*(15/12)^2)/4)-(((15/12)/2)^2*((2*ACOS((((15/12)/2)-((15/12)-(15*0.938333/12)))/((15/12)/2)))-SIN(2*ACOS((((15/12)/2)-((15/12)-(15*0.938333/12)))/((15/12)/2))))/2))/((PI()*(15/12))-((2*ACOS((((15/12)/2)-((15/12)-(15*0.938333/12)))/((15/12)/2)))*((15/12)/2))))^(2/3)*$H$18^0.5)*(((PI()*(15/12)^2)/4)-(((15/12)/2)^2*((2*ACOS((((15/12)/2)-((15/12)-(15*0.938333/12)))/((15/12)/2)))-SIN(2*ACOS((((15/12)/2)-((15/12)-(15*0.938333/12)))/((15/12)/2))))/2))</f>
        <v>0</v>
      </c>
      <c r="R43" s="141"/>
      <c r="S43" s="141">
        <f>((1.486/Defaults!$M$3)*((((PI()*(18/12)^2)/4)-(((18/12)/2)^2*((2*ACOS((((18/12)/2)-((18/12)-(18*0.938333/12)))/((18/12)/2)))-SIN(2*ACOS((((18/12)/2)-((18/12)-(18*0.938333/12)))/((18/12)/2))))/2))/((PI()*(18/12))-((2*ACOS((((18/12)/2)-((18/12)-(18*0.938333/12)))/((18/12)/2)))*((18/12)/2))))^(2/3)*$H$18^0.5)*(((PI()*(18/12)^2)/4)-(((18/12)/2)^2*((2*ACOS((((18/12)/2)-((18/12)-(18*0.938333/12)))/((18/12)/2)))-SIN(2*ACOS((((18/12)/2)-((18/12)-(18*0.938333/12)))/((18/12)/2))))/2))</f>
        <v>0</v>
      </c>
      <c r="T43" t="e">
        <f>IF(($F$18+$G$18)&lt;=$M43,6,IF(($F$18+$G$18)&lt;=$N43,8,IF(($F$18+$G$18)&lt;=$O43,10,IF(($F$18+$G$18)&lt;=$P43,12,IF(($F$18+$G$18)&lt;=$Q43,15,IF(($F$18+$G$18)&lt;=$S43,18,"Too Large"))))))</f>
        <v>#VALUE!</v>
      </c>
    </row>
    <row r="44" spans="1:20" x14ac:dyDescent="0.2">
      <c r="L44" t="str">
        <f>Defaults!$L$4</f>
        <v>CMP-Annular</v>
      </c>
      <c r="M44" s="141">
        <f>((1.486/Defaults!$M$4)*((((PI()*(6/12)^2)/4)-(((6/12)/2)^2*((2*ACOS((((6/12)/2)-((6/12)-(6*0.938333/12)))/((6/12)/2)))-SIN(2*ACOS((((6/12)/2)-((6/12)-(6*0.938333/12)))/((6/12)/2))))/2))/((PI()*(6/12))-((2*ACOS((((6/12)/2)-((6/12)-(6*0.938333/12)))/((6/12)/2)))*((6/12)/2))))^(2/3)*$H$18^0.5)*(((PI()*(6/12)^2)/4)-(((6/12)/2)^2*((2*ACOS((((6/12)/2)-((6/12)-(6*0.938333/12)))/((6/12)/2)))-SIN(2*ACOS((((6/12)/2)-((6/12)-(6*0.938333/12)))/((6/12)/2))))/2))</f>
        <v>0</v>
      </c>
      <c r="N44" s="141">
        <f>((1.486/Defaults!$M$4)*((((PI()*(8/12)^2)/4)-(((8/12)/2)^2*((2*ACOS((((8/12)/2)-((8/12)-(8*0.938333/12)))/((8/12)/2)))-SIN(2*ACOS((((8/12)/2)-((8/12)-(8*0.938333/12)))/((8/12)/2))))/2))/((PI()*(8/12))-((2*ACOS((((8/12)/2)-((8/12)-(8*0.938333/12)))/((8/12)/2)))*((8/12)/2))))^(2/3)*$H$18^0.5)*(((PI()*(8/12)^2)/4)-(((8/12)/2)^2*((2*ACOS((((8/12)/2)-((8/12)-(8*0.938333/12)))/((8/12)/2)))-SIN(2*ACOS((((8/12)/2)-((8/12)-(8*0.938333/12)))/((8/12)/2))))/2))</f>
        <v>0</v>
      </c>
      <c r="O44" s="141">
        <f>((1.486/Defaults!$M$4)*((((PI()*(10/12)^2)/4)-(((10/12)/2)^2*((2*ACOS((((10/12)/2)-((10/12)-(10*0.938333/12)))/((10/12)/2)))-SIN(2*ACOS((((10/12)/2)-((10/12)-(10*0.938333/12)))/((10/12)/2))))/2))/((PI()*(10/12))-((2*ACOS((((10/12)/2)-((10/12)-(10*0.938333/12)))/((10/12)/2)))*((10/12)/2))))^(2/3)*$H$18^0.5)*(((PI()*(10/12)^2)/4)-(((10/12)/2)^2*((2*ACOS((((10/12)/2)-((10/12)-(10*0.938333/12)))/((10/12)/2)))-SIN(2*ACOS((((10/12)/2)-((10/12)-(10*0.938333/12)))/((10/12)/2))))/2))</f>
        <v>0</v>
      </c>
      <c r="P44" s="141">
        <f>((1.486/Defaults!$M$4)*((((PI()*(12/12)^2)/4)-(((12/12)/2)^2*((2*ACOS((((12/12)/2)-((12/12)-(12*0.938333/12)))/((12/12)/2)))-SIN(2*ACOS((((12/12)/2)-((12/12)-(12*0.938333/12)))/((12/12)/2))))/2))/((PI()*(12/12))-((2*ACOS((((12/12)/2)-((12/12)-(12*0.938333/12)))/((12/12)/2)))*((12/12)/2))))^(2/3)*$H$18^0.5)*(((PI()*(12/12)^2)/4)-(((12/12)/2)^2*((2*ACOS((((12/12)/2)-((12/12)-(12*0.938333/12)))/((12/12)/2)))-SIN(2*ACOS((((12/12)/2)-((12/12)-(12*0.938333/12)))/((12/12)/2))))/2))</f>
        <v>0</v>
      </c>
      <c r="Q44" s="141">
        <f>((1.486/Defaults!$M$4)*((((PI()*(15/12)^2)/4)-(((15/12)/2)^2*((2*ACOS((((15/12)/2)-((15/12)-(15*0.938333/12)))/((15/12)/2)))-SIN(2*ACOS((((15/12)/2)-((15/12)-(15*0.938333/12)))/((15/12)/2))))/2))/((PI()*(15/12))-((2*ACOS((((15/12)/2)-((15/12)-(15*0.938333/12)))/((15/12)/2)))*((15/12)/2))))^(2/3)*$H$18^0.5)*(((PI()*(15/12)^2)/4)-(((15/12)/2)^2*((2*ACOS((((15/12)/2)-((15/12)-(15*0.938333/12)))/((15/12)/2)))-SIN(2*ACOS((((15/12)/2)-((15/12)-(15*0.938333/12)))/((15/12)/2))))/2))</f>
        <v>0</v>
      </c>
      <c r="R44" s="141"/>
      <c r="S44" s="141">
        <f>((1.486/Defaults!$M$4)*((((PI()*(18/12)^2)/4)-(((18/12)/2)^2*((2*ACOS((((18/12)/2)-((18/12)-(18*0.938333/12)))/((18/12)/2)))-SIN(2*ACOS((((18/12)/2)-((18/12)-(18*0.938333/12)))/((18/12)/2))))/2))/((PI()*(18/12))-((2*ACOS((((18/12)/2)-((18/12)-(18*0.938333/12)))/((18/12)/2)))*((18/12)/2))))^(2/3)*$H$18^0.5)*(((PI()*(18/12)^2)/4)-(((18/12)/2)^2*((2*ACOS((((18/12)/2)-((18/12)-(18*0.938333/12)))/((18/12)/2)))-SIN(2*ACOS((((18/12)/2)-((18/12)-(18*0.938333/12)))/((18/12)/2))))/2))</f>
        <v>0</v>
      </c>
      <c r="T44" t="e">
        <f>IF(($F$18+$G$18)&lt;=$M44,6,IF(($F$18+$G$18)&lt;=$N44,8,IF(($F$18+$G$18)&lt;=$O44,10,IF(($F$18+$G$18)&lt;=$P44,12,IF(($F$18+$G$18)&lt;=$Q44,15,IF(($F$18+$G$18)&lt;=$S44,18,"Too Large"))))))</f>
        <v>#VALUE!</v>
      </c>
    </row>
    <row r="45" spans="1:20" ht="12" hidden="1" customHeight="1" x14ac:dyDescent="0.2">
      <c r="L45" t="str">
        <f>Defaults!$L$5</f>
        <v>CMP-Helical</v>
      </c>
      <c r="M45" s="141">
        <f>((1.486/Defaults!$M$5)*((((PI()*(6/12)^2)/4)-(((6/12)/2)^2*((2*ACOS((((6/12)/2)-((6/12)-(6*0.938333/12)))/((6/12)/2)))-SIN(2*ACOS((((6/12)/2)-((6/12)-(6*0.938333/12)))/((6/12)/2))))/2))/((PI()*(6/12))-((2*ACOS((((6/12)/2)-((6/12)-(6*0.938333/12)))/((6/12)/2)))*((6/12)/2))))^(2/3)*$H$18^0.5)*(((PI()*(6/12)^2)/4)-(((6/12)/2)^2*((2*ACOS((((6/12)/2)-((6/12)-(6*0.938333/12)))/((6/12)/2)))-SIN(2*ACOS((((6/12)/2)-((6/12)-(6*0.938333/12)))/((6/12)/2))))/2))</f>
        <v>0</v>
      </c>
      <c r="N45" s="141">
        <f>((1.486/Defaults!$M$5)*((((PI()*(8/12)^2)/4)-(((8/12)/2)^2*((2*ACOS((((8/12)/2)-((8/12)-(8*0.938333/12)))/((8/12)/2)))-SIN(2*ACOS((((8/12)/2)-((8/12)-(8*0.938333/12)))/((8/12)/2))))/2))/((PI()*(8/12))-((2*ACOS((((8/12)/2)-((8/12)-(8*0.938333/12)))/((8/12)/2)))*((8/12)/2))))^(2/3)*$H$18^0.5)*(((PI()*(8/12)^2)/4)-(((8/12)/2)^2*((2*ACOS((((8/12)/2)-((8/12)-(8*0.938333/12)))/((8/12)/2)))-SIN(2*ACOS((((8/12)/2)-((8/12)-(8*0.938333/12)))/((8/12)/2))))/2))</f>
        <v>0</v>
      </c>
      <c r="O45" s="141">
        <f>((1.486/Defaults!$M$5)*((((PI()*(10/12)^2)/4)-(((10/12)/2)^2*((2*ACOS((((10/12)/2)-((10/12)-(10*0.938333/12)))/((10/12)/2)))-SIN(2*ACOS((((10/12)/2)-((10/12)-(10*0.938333/12)))/((10/12)/2))))/2))/((PI()*(10/12))-((2*ACOS((((10/12)/2)-((10/12)-(10*0.938333/12)))/((10/12)/2)))*((10/12)/2))))^(2/3)*$H$18^0.5)*(((PI()*(10/12)^2)/4)-(((10/12)/2)^2*((2*ACOS((((10/12)/2)-((10/12)-(10*0.938333/12)))/((10/12)/2)))-SIN(2*ACOS((((10/12)/2)-((10/12)-(10*0.938333/12)))/((10/12)/2))))/2))</f>
        <v>0</v>
      </c>
      <c r="P45" s="141">
        <f>((1.486/Defaults!$M$5)*((((PI()*(12/12)^2)/4)-(((12/12)/2)^2*((2*ACOS((((12/12)/2)-((12/12)-(12*0.938333/12)))/((12/12)/2)))-SIN(2*ACOS((((12/12)/2)-((12/12)-(12*0.938333/12)))/((12/12)/2))))/2))/((PI()*(12/12))-((2*ACOS((((12/12)/2)-((12/12)-(12*0.938333/12)))/((12/12)/2)))*((12/12)/2))))^(2/3)*$H$18^0.5)*(((PI()*(12/12)^2)/4)-(((12/12)/2)^2*((2*ACOS((((12/12)/2)-((12/12)-(12*0.938333/12)))/((12/12)/2)))-SIN(2*ACOS((((12/12)/2)-((12/12)-(12*0.938333/12)))/((12/12)/2))))/2))</f>
        <v>0</v>
      </c>
      <c r="Q45" s="141">
        <f>((1.486/Defaults!$M$5)*((((PI()*(15/12)^2)/4)-(((15/12)/2)^2*((2*ACOS((((15/12)/2)-((15/12)-(15*0.938333/12)))/((15/12)/2)))-SIN(2*ACOS((((15/12)/2)-((15/12)-(15*0.938333/12)))/((15/12)/2))))/2))/((PI()*(15/12))-((2*ACOS((((15/12)/2)-((15/12)-(15*0.938333/12)))/((15/12)/2)))*((15/12)/2))))^(2/3)*$H$18^0.5)*(((PI()*(15/12)^2)/4)-(((15/12)/2)^2*((2*ACOS((((15/12)/2)-((15/12)-(15*0.938333/12)))/((15/12)/2)))-SIN(2*ACOS((((15/12)/2)-((15/12)-(15*0.938333/12)))/((15/12)/2))))/2))</f>
        <v>0</v>
      </c>
      <c r="R45" s="141"/>
      <c r="S45" s="141">
        <f>((1.486/Defaults!$M$5)*((((PI()*(18/12)^2)/4)-(((18/12)/2)^2*((2*ACOS((((18/12)/2)-((18/12)-(18*0.938333/12)))/((18/12)/2)))-SIN(2*ACOS((((18/12)/2)-((18/12)-(18*0.938333/12)))/((18/12)/2))))/2))/((PI()*(18/12))-((2*ACOS((((18/12)/2)-((18/12)-(18*0.938333/12)))/((18/12)/2)))*((18/12)/2))))^(2/3)*$H$18^0.5)*(((PI()*(18/12)^2)/4)-(((18/12)/2)^2*((2*ACOS((((18/12)/2)-((18/12)-(18*0.938333/12)))/((18/12)/2)))-SIN(2*ACOS((((18/12)/2)-((18/12)-(18*0.938333/12)))/((18/12)/2))))/2))</f>
        <v>0</v>
      </c>
      <c r="T45" t="e">
        <f>IF(($F$18+$G$18)&lt;=$M45,6,IF(($F$18+$G$18)&lt;=$N45,8,IF(($F$18+$G$18)&lt;=$O45,10,IF(($F$18+$G$18)&lt;=$P45,12,IF(($F$18+$G$18)&lt;=$Q45,15,IF(($F$18+$G$18)&lt;=$S45,18,"Too Large"))))))</f>
        <v>#VALUE!</v>
      </c>
    </row>
    <row r="46" spans="1:20" ht="12" hidden="1" customHeight="1" x14ac:dyDescent="0.2">
      <c r="D46" s="105" t="str">
        <f>IF(ISNUMBER(B33),IF(ISNUMBER(C33),C33,B33),"")</f>
        <v/>
      </c>
      <c r="E46" s="181" t="str">
        <f>IF(D46=6,VLOOKUP((F17+G17),$L$113:$M$676,2,TRUE)+0.01,IF(D46=8,VLOOKUP((F17+G17),$L$113:$M$864,2,TRUE)+0.01,IF(D46=10,VLOOKUP((F17+G17),$L$113:$M$1052,2,TRUE)+0.01,IF(D46=12,VLOOKUP((F17+G17),$L$113:$M$1239,2,TRUE)+0.01,IF(D46=15,VLOOKUP((F17+G17),$L$113:$M$1521,2,TRUE)+0.01,IF(D46=16,VLOOKUP((F17+G17),$L$113:$M$1615,2,TRUE)+0.01,IF(D46=18,VLOOKUP((F17+G17),$L$113:$M$1802,2,TRUE)+0.01,"")))))))</f>
        <v/>
      </c>
      <c r="L46" s="93" t="str">
        <f>Defaults!$L$6</f>
        <v>PVC</v>
      </c>
      <c r="M46" s="141">
        <f>((1.486/Defaults!$M$6)*((((PI()*(6/12)^2)/4)-(((6/12)/2)^2*((2*ACOS((((6/12)/2)-((6/12)-(6*0.938333/12)))/((6/12)/2)))-SIN(2*ACOS((((6/12)/2)-((6/12)-(6*0.938333/12)))/((6/12)/2))))/2))/((PI()*(6/12))-((2*ACOS((((6/12)/2)-((6/12)-(6*0.938333/12)))/((6/12)/2)))*((6/12)/2))))^(2/3)*$H$18^0.5)*(((PI()*(6/12)^2)/4)-(((6/12)/2)^2*((2*ACOS((((6/12)/2)-((6/12)-(6*0.938333/12)))/((6/12)/2)))-SIN(2*ACOS((((6/12)/2)-((6/12)-(6*0.938333/12)))/((6/12)/2))))/2))</f>
        <v>0</v>
      </c>
      <c r="N46" s="141">
        <f>((1.486/Defaults!$M$6)*((((PI()*(8/12)^2)/4)-(((8/12)/2)^2*((2*ACOS((((8/12)/2)-((8/12)-(8*0.938333/12)))/((8/12)/2)))-SIN(2*ACOS((((8/12)/2)-((8/12)-(8*0.938333/12)))/((8/12)/2))))/2))/((PI()*(8/12))-((2*ACOS((((8/12)/2)-((8/12)-(8*0.938333/12)))/((8/12)/2)))*((8/12)/2))))^(2/3)*$H$18^0.5)*(((PI()*(8/12)^2)/4)-(((8/12)/2)^2*((2*ACOS((((8/12)/2)-((8/12)-(8*0.938333/12)))/((8/12)/2)))-SIN(2*ACOS((((8/12)/2)-((8/12)-(8*0.938333/12)))/((8/12)/2))))/2))</f>
        <v>0</v>
      </c>
      <c r="O46" s="141">
        <f>((1.486/Defaults!$M$6)*((((PI()*(10/12)^2)/4)-(((10/12)/2)^2*((2*ACOS((((10/12)/2)-((10/12)-(10*0.938333/12)))/((10/12)/2)))-SIN(2*ACOS((((10/12)/2)-((10/12)-(10*0.938333/12)))/((10/12)/2))))/2))/((PI()*(10/12))-((2*ACOS((((10/12)/2)-((10/12)-(10*0.938333/12)))/((10/12)/2)))*((10/12)/2))))^(2/3)*$H$18^0.5)*(((PI()*(10/12)^2)/4)-(((10/12)/2)^2*((2*ACOS((((10/12)/2)-((10/12)-(10*0.938333/12)))/((10/12)/2)))-SIN(2*ACOS((((10/12)/2)-((10/12)-(10*0.938333/12)))/((10/12)/2))))/2))</f>
        <v>0</v>
      </c>
      <c r="P46" s="141">
        <f>((1.486/Defaults!$M$6)*((((PI()*(12/12)^2)/4)-(((12/12)/2)^2*((2*ACOS((((12/12)/2)-((12/12)-(12*0.938333/12)))/((12/12)/2)))-SIN(2*ACOS((((12/12)/2)-((12/12)-(12*0.938333/12)))/((12/12)/2))))/2))/((PI()*(12/12))-((2*ACOS((((12/12)/2)-((12/12)-(12*0.938333/12)))/((12/12)/2)))*((12/12)/2))))^(2/3)*$H$18^0.5)*(((PI()*(12/12)^2)/4)-(((12/12)/2)^2*((2*ACOS((((12/12)/2)-((12/12)-(12*0.938333/12)))/((12/12)/2)))-SIN(2*ACOS((((12/12)/2)-((12/12)-(12*0.938333/12)))/((12/12)/2))))/2))</f>
        <v>0</v>
      </c>
      <c r="Q46" s="141">
        <f>((1.486/Defaults!$M$6)*((((PI()*(15/12)^2)/4)-(((15/12)/2)^2*((2*ACOS((((15/12)/2)-((15/12)-(15*0.938333/12)))/((15/12)/2)))-SIN(2*ACOS((((15/12)/2)-((15/12)-(15*0.938333/12)))/((15/12)/2))))/2))/((PI()*(15/12))-((2*ACOS((((15/12)/2)-((15/12)-(15*0.938333/12)))/((15/12)/2)))*((15/12)/2))))^(2/3)*$H$18^0.5)*(((PI()*(15/12)^2)/4)-(((15/12)/2)^2*((2*ACOS((((15/12)/2)-((15/12)-(15*0.938333/12)))/((15/12)/2)))-SIN(2*ACOS((((15/12)/2)-((15/12)-(15*0.938333/12)))/((15/12)/2))))/2))</f>
        <v>0</v>
      </c>
      <c r="R46" s="141"/>
      <c r="S46" s="141">
        <f>((1.486/Defaults!$M$6)*((((PI()*(18/12)^2)/4)-(((18/12)/2)^2*((2*ACOS((((18/12)/2)-((18/12)-(18*0.938333/12)))/((18/12)/2)))-SIN(2*ACOS((((18/12)/2)-((18/12)-(18*0.938333/12)))/((18/12)/2))))/2))/((PI()*(18/12))-((2*ACOS((((18/12)/2)-((18/12)-(18*0.938333/12)))/((18/12)/2)))*((18/12)/2))))^(2/3)*$H$18^0.5)*(((PI()*(18/12)^2)/4)-(((18/12)/2)^2*((2*ACOS((((18/12)/2)-((18/12)-(18*0.938333/12)))/((18/12)/2)))-SIN(2*ACOS((((18/12)/2)-((18/12)-(18*0.938333/12)))/((18/12)/2))))/2))</f>
        <v>0</v>
      </c>
      <c r="T46" t="e">
        <f>IF(($F$18+$G$18)&lt;=$M46,6,IF(($F$18+$G$18)&lt;=$N46,8,IF(($F$18+$G$18)&lt;=$O46,10,IF(($F$18+$G$18)&lt;=$P46,12,IF(($F$18+$G$18)&lt;=$Q46,15,IF(($F$18+$G$18)&lt;=$S46,18,"Too Large"))))))</f>
        <v>#VALUE!</v>
      </c>
    </row>
    <row r="47" spans="1:20" ht="12" hidden="1" customHeight="1" x14ac:dyDescent="0.2">
      <c r="D47" s="106" t="str">
        <f t="shared" ref="D47:D55" si="6">IF(ISNUMBER(B34),IF(ISNUMBER(C34),C34,B34),"")</f>
        <v/>
      </c>
      <c r="E47" s="182" t="str">
        <f>IF(D47=6,VLOOKUP((F18+G18),$N$113:$O$676,2,TRUE)+0.01,IF(D47=8,VLOOKUP((F18+G18),$N$113:$O$864,2,TRUE)+0.01,IF(D47=10,VLOOKUP((F18+G18),$N$113:$O$1052,2,TRUE)+0.01,IF(D47=12,VLOOKUP((F18+G18),$N$113:$O$1239,2,TRUE)+0.01,IF(D47=15,VLOOKUP((F18+G18),$N$113:$O$1521,2,TRUE)+0.01,IF(D47=16,VLOOKUP((F18+G18),$N$113:$O$1615,2,TRUE)+0.01,IF(D47=18,VLOOKUP((F18+G18),$N$113:$O$1802,2,TRUE)+0.01,"")))))))</f>
        <v/>
      </c>
      <c r="F47" s="141"/>
      <c r="L47" t="str">
        <f>Defaults!$L$7</f>
        <v>Concrete</v>
      </c>
      <c r="M47" s="141">
        <f>((1.486/Defaults!$M$7)*((((PI()*(6/12)^2)/4)-(((6/12)/2)^2*((2*ACOS((((6/12)/2)-((6/12)-(6*0.938333/12)))/((6/12)/2)))-SIN(2*ACOS((((6/12)/2)-((6/12)-(6*0.938333/12)))/((6/12)/2))))/2))/((PI()*(6/12))-((2*ACOS((((6/12)/2)-((6/12)-(6*0.938333/12)))/((6/12)/2)))*((6/12)/2))))^(2/3)*$H$18^0.5)*(((PI()*(6/12)^2)/4)-(((6/12)/2)^2*((2*ACOS((((6/12)/2)-((6/12)-(6*0.938333/12)))/((6/12)/2)))-SIN(2*ACOS((((6/12)/2)-((6/12)-(6*0.938333/12)))/((6/12)/2))))/2))</f>
        <v>0</v>
      </c>
      <c r="N47" s="141">
        <f>((1.486/Defaults!$M$7)*((((PI()*(8/12)^2)/4)-(((8/12)/2)^2*((2*ACOS((((8/12)/2)-((8/12)-(8*0.938333/12)))/((8/12)/2)))-SIN(2*ACOS((((8/12)/2)-((8/12)-(8*0.938333/12)))/((8/12)/2))))/2))/((PI()*(8/12))-((2*ACOS((((8/12)/2)-((8/12)-(8*0.938333/12)))/((8/12)/2)))*((8/12)/2))))^(2/3)*$H$18^0.5)*(((PI()*(8/12)^2)/4)-(((8/12)/2)^2*((2*ACOS((((8/12)/2)-((8/12)-(8*0.938333/12)))/((8/12)/2)))-SIN(2*ACOS((((8/12)/2)-((8/12)-(8*0.938333/12)))/((8/12)/2))))/2))</f>
        <v>0</v>
      </c>
      <c r="O47" s="141">
        <f>((1.486/Defaults!$M$7)*((((PI()*(10/12)^2)/4)-(((10/12)/2)^2*((2*ACOS((((10/12)/2)-((10/12)-(10*0.938333/12)))/((10/12)/2)))-SIN(2*ACOS((((10/12)/2)-((10/12)-(10*0.938333/12)))/((10/12)/2))))/2))/((PI()*(10/12))-((2*ACOS((((10/12)/2)-((10/12)-(10*0.938333/12)))/((10/12)/2)))*((10/12)/2))))^(2/3)*$H$18^0.5)*(((PI()*(10/12)^2)/4)-(((10/12)/2)^2*((2*ACOS((((10/12)/2)-((10/12)-(10*0.938333/12)))/((10/12)/2)))-SIN(2*ACOS((((10/12)/2)-((10/12)-(10*0.938333/12)))/((10/12)/2))))/2))</f>
        <v>0</v>
      </c>
      <c r="P47" s="141">
        <f>((1.486/Defaults!$M$7)*((((PI()*(12/12)^2)/4)-(((12/12)/2)^2*((2*ACOS((((12/12)/2)-((12/12)-(12*0.938333/12)))/((12/12)/2)))-SIN(2*ACOS((((12/12)/2)-((12/12)-(12*0.938333/12)))/((12/12)/2))))/2))/((PI()*(12/12))-((2*ACOS((((12/12)/2)-((12/12)-(12*0.938333/12)))/((12/12)/2)))*((12/12)/2))))^(2/3)*$H$18^0.5)*(((PI()*(12/12)^2)/4)-(((12/12)/2)^2*((2*ACOS((((12/12)/2)-((12/12)-(12*0.938333/12)))/((12/12)/2)))-SIN(2*ACOS((((12/12)/2)-((12/12)-(12*0.938333/12)))/((12/12)/2))))/2))</f>
        <v>0</v>
      </c>
      <c r="Q47" s="141">
        <f>((1.486/Defaults!$M$7)*((((PI()*(15/12)^2)/4)-(((15/12)/2)^2*((2*ACOS((((15/12)/2)-((15/12)-(15*0.938333/12)))/((15/12)/2)))-SIN(2*ACOS((((15/12)/2)-((15/12)-(15*0.938333/12)))/((15/12)/2))))/2))/((PI()*(15/12))-((2*ACOS((((15/12)/2)-((15/12)-(15*0.938333/12)))/((15/12)/2)))*((15/12)/2))))^(2/3)*$H$18^0.5)*(((PI()*(15/12)^2)/4)-(((15/12)/2)^2*((2*ACOS((((15/12)/2)-((15/12)-(15*0.938333/12)))/((15/12)/2)))-SIN(2*ACOS((((15/12)/2)-((15/12)-(15*0.938333/12)))/((15/12)/2))))/2))</f>
        <v>0</v>
      </c>
      <c r="R47" s="141">
        <f>((1.486/Defaults!$M$7)*((((PI()*(16/12)^2)/4)-(((16/12)/2)^2*((2*ACOS((((16/12)/2)-((16/12)-(16*0.938333/12)))/((16/12)/2)))-SIN(2*ACOS((((16/12)/2)-((16/12)-(16*0.938333/12)))/((16/12)/2))))/2))/((PI()*(16/12))-((2*ACOS((((16/12)/2)-((16/12)-(16*0.938333/12)))/((16/12)/2)))*((16/12)/2))))^(2/3)*$H$18^0.5)*(((PI()*(16/12)^2)/4)-(((16/12)/2)^2*((2*ACOS((((16/12)/2)-((16/12)-(16*0.938333/12)))/((16/12)/2)))-SIN(2*ACOS((((16/12)/2)-((16/12)-(16*0.938333/12)))/((16/12)/2))))/2))</f>
        <v>0</v>
      </c>
      <c r="S47" s="141">
        <f>((1.486/Defaults!$M$7)*((((PI()*(18/12)^2)/4)-(((18/12)/2)^2*((2*ACOS((((18/12)/2)-((18/12)-(18*0.938333/12)))/((18/12)/2)))-SIN(2*ACOS((((18/12)/2)-((18/12)-(18*0.938333/12)))/((18/12)/2))))/2))/((PI()*(18/12))-((2*ACOS((((18/12)/2)-((18/12)-(18*0.938333/12)))/((18/12)/2)))*((18/12)/2))))^(2/3)*$H$18^0.5)*(((PI()*(18/12)^2)/4)-(((18/12)/2)^2*((2*ACOS((((18/12)/2)-((18/12)-(18*0.938333/12)))/((18/12)/2)))-SIN(2*ACOS((((18/12)/2)-((18/12)-(18*0.938333/12)))/((18/12)/2))))/2))</f>
        <v>0</v>
      </c>
      <c r="T47" t="e">
        <f>IF(($F$18+$G$18)&lt;=$M47,6,IF(($F$18+$G$18)&lt;=$N47,8,IF(($F$18+$G$18)&lt;=$O47,10,IF(($F$18+$G$18)&lt;=$P47,12,IF(($F$18+$G$18)&lt;=$Q47,15,IF(($F$18+$G$18)&lt;=$R47,16,IF(($F$18+$G$18)&lt;=$S47,18,"Too Large")))))))</f>
        <v>#VALUE!</v>
      </c>
    </row>
    <row r="48" spans="1:20" ht="12" hidden="1" customHeight="1" x14ac:dyDescent="0.2">
      <c r="D48" s="106" t="str">
        <f t="shared" si="6"/>
        <v/>
      </c>
      <c r="E48" s="182" t="str">
        <f>IF(D48=6,VLOOKUP((F19+G19),$P$113:$Q$676,2,TRUE)+0.01,IF(D48=8,VLOOKUP((F19+G19),$P$113:$Q$864,2,TRUE)+0.01,IF(D48=10,VLOOKUP((F19+G19),$P$113:$Q$1052,2,TRUE)+0.01,IF(D48=12,VLOOKUP((F19+G19),$P$113:$Q$1239,2,TRUE)+0.01,IF(D48=15,VLOOKUP((F19+G19),$P$113:$Q$1521,2,TRUE)+0.01,IF(D48=16,VLOOKUP((F19+G19),$P$113:$Q$1615,2,TRUE)+0.01,IF(D48=18,VLOOKUP((F19+G19),$P$113:$Q$1802,2,TRUE)+0.01,"")))))))</f>
        <v/>
      </c>
      <c r="F48" s="141"/>
    </row>
    <row r="49" spans="4:20" ht="12" hidden="1" customHeight="1" x14ac:dyDescent="0.2">
      <c r="D49" s="106" t="str">
        <f t="shared" si="6"/>
        <v/>
      </c>
      <c r="E49" s="182" t="str">
        <f>IF(D49=6,VLOOKUP((F20+G20),$R$113:$S$676,2,TRUE)+0.01,IF(D49=8,VLOOKUP((F20+G20),$R$113:$S$864,2,TRUE)+0.01,IF(D49=10,VLOOKUP((F20+G20),$R$113:$S$1052,2,TRUE)+0.01,IF(D49=12,VLOOKUP((F20+G20),$R$113:$S$1239,2,TRUE)+0.01,IF(D49=15,VLOOKUP((F20+G20),$R$113:$S$1521,2,TRUE)+0.01,IF(D49=16,VLOOKUP((F20+G20),$R$113:$S$1615,2,TRUE)+0.01,IF(D49=18,VLOOKUP((F20+G20),$R$113:$S$1802,2,TRUE)+0.01,"")))))))</f>
        <v/>
      </c>
      <c r="F49" s="141"/>
      <c r="M49">
        <v>6</v>
      </c>
      <c r="N49">
        <v>8</v>
      </c>
      <c r="O49">
        <v>10</v>
      </c>
      <c r="P49">
        <v>12</v>
      </c>
      <c r="Q49">
        <v>15</v>
      </c>
      <c r="R49">
        <v>16</v>
      </c>
      <c r="S49">
        <v>18</v>
      </c>
      <c r="T49" s="140" t="s">
        <v>186</v>
      </c>
    </row>
    <row r="50" spans="4:20" ht="12" hidden="1" customHeight="1" x14ac:dyDescent="0.2">
      <c r="D50" s="106" t="str">
        <f t="shared" si="6"/>
        <v/>
      </c>
      <c r="E50" s="182" t="str">
        <f>IF(D50=6,VLOOKUP((F21+G21),$T$113:$U$676,2,TRUE)+0.01,IF(D50=8,VLOOKUP((F21+G21),$T$113:$U$864,2,TRUE)+0.01,IF(D50=10,VLOOKUP((F21+G21),$T$113:$U$1052,2,TRUE)+0.01,IF(D50=12,VLOOKUP((F21+G21),$T$113:$U$1239,2,TRUE)+0.01,IF(D50=15,VLOOKUP((F21+G21),$T$113:$U$1521,2,TRUE)+0.01,IF(D50=16,VLOOKUP((F21+G21),$T$113:$U$1615,2,TRUE)+0.01,IF(D50=18,VLOOKUP((F21+G21),$T$113:$U$1802,2,TRUE)+0.01,"")))))))</f>
        <v/>
      </c>
      <c r="F50" s="141"/>
      <c r="L50" t="str">
        <f>Defaults!$L$2</f>
        <v>CPT (Tile)</v>
      </c>
      <c r="M50" s="141">
        <f>((1.486/Defaults!$M$10)*((((PI()*(6/12)^2)/4)-(((6/12)/2)^2*((2*ACOS((((6/12)/2)-((6/12)-(6*0.938333/12)))/((6/12)/2)))-SIN(2*ACOS((((6/12)/2)-((6/12)-(6*0.938333/12)))/((6/12)/2))))/2))/((PI()*(6/12))-((2*ACOS((((6/12)/2)-((6/12)-(6*0.938333/12)))/((6/12)/2)))*((6/12)/2))))^(2/3)*$H$19^0.5)*(((PI()*(6/12)^2)/4)-(((6/12)/2)^2*((2*ACOS((((6/12)/2)-((6/12)-(6*0.938333/12)))/((6/12)/2)))-SIN(2*ACOS((((6/12)/2)-((6/12)-(6*0.938333/12)))/((6/12)/2))))/2))</f>
        <v>0</v>
      </c>
      <c r="N50" s="141">
        <f>((1.486/Defaults!$M$11)*((((PI()*(8/12)^2)/4)-(((8/12)/2)^2*((2*ACOS((((8/12)/2)-((8/12)-(8*0.938333/12)))/((8/12)/2)))-SIN(2*ACOS((((8/12)/2)-((8/12)-(8*0.938333/12)))/((8/12)/2))))/2))/((PI()*(8/12))-((2*ACOS((((8/12)/2)-((8/12)-(8*0.938333/12)))/((8/12)/2)))*((8/12)/2))))^(2/3)*$H$19^0.5)*(((PI()*(8/12)^2)/4)-(((8/12)/2)^2*((2*ACOS((((8/12)/2)-((8/12)-(8*0.938333/12)))/((8/12)/2)))-SIN(2*ACOS((((8/12)/2)-((8/12)-(8*0.938333/12)))/((8/12)/2))))/2))</f>
        <v>0</v>
      </c>
      <c r="O50" s="141">
        <f>((1.486/Defaults!$M$12)*((((PI()*(10/12)^2)/4)-(((10/12)/2)^2*((2*ACOS((((10/12)/2)-((10/12)-(10*0.938333/12)))/((10/12)/2)))-SIN(2*ACOS((((10/12)/2)-((10/12)-(10*0.938333/12)))/((10/12)/2))))/2))/((PI()*(10/12))-((2*ACOS((((10/12)/2)-((10/12)-(10*0.938333/12)))/((10/12)/2)))*((10/12)/2))))^(2/3)*$H$19^0.5)*(((PI()*(10/12)^2)/4)-(((10/12)/2)^2*((2*ACOS((((10/12)/2)-((10/12)-(10*0.938333/12)))/((10/12)/2)))-SIN(2*ACOS((((10/12)/2)-((10/12)-(10*0.938333/12)))/((10/12)/2))))/2))</f>
        <v>0</v>
      </c>
      <c r="P50" s="141">
        <f>((1.486/Defaults!$M$13)*((((PI()*(12/12)^2)/4)-(((12/12)/2)^2*((2*ACOS((((12/12)/2)-((12/12)-(12*0.938333/12)))/((12/12)/2)))-SIN(2*ACOS((((12/12)/2)-((12/12)-(12*0.938333/12)))/((12/12)/2))))/2))/((PI()*(12/12))-((2*ACOS((((12/12)/2)-((12/12)-(12*0.938333/12)))/((12/12)/2)))*((12/12)/2))))^(2/3)*$H$19^0.5)*(((PI()*(12/12)^2)/4)-(((12/12)/2)^2*((2*ACOS((((12/12)/2)-((12/12)-(12*0.938333/12)))/((12/12)/2)))-SIN(2*ACOS((((12/12)/2)-((12/12)-(12*0.938333/12)))/((12/12)/2))))/2))</f>
        <v>0</v>
      </c>
      <c r="Q50" s="141">
        <f>((1.486/Defaults!$M$14)*((((PI()*(15/12)^2)/4)-(((15/12)/2)^2*((2*ACOS((((15/12)/2)-((15/12)-(15*0.938333/12)))/((15/12)/2)))-SIN(2*ACOS((((15/12)/2)-((15/12)-(15*0.938333/12)))/((15/12)/2))))/2))/((PI()*(15/12))-((2*ACOS((((15/12)/2)-((15/12)-(15*0.938333/12)))/((15/12)/2)))*((15/12)/2))))^(2/3)*$H$19^0.5)*(((PI()*(15/12)^2)/4)-(((15/12)/2)^2*((2*ACOS((((15/12)/2)-((15/12)-(15*0.938333/12)))/((15/12)/2)))-SIN(2*ACOS((((15/12)/2)-((15/12)-(15*0.938333/12)))/((15/12)/2))))/2))</f>
        <v>0</v>
      </c>
      <c r="S50" s="141">
        <f>((1.486/Defaults!$M$15)*((((PI()*(18/12)^2)/4)-(((18/12)/2)^2*((2*ACOS((((18/12)/2)-((18/12)-(18*0.938333/12)))/((18/12)/2)))-SIN(2*ACOS((((18/12)/2)-((18/12)-(18*0.938333/12)))/((18/12)/2))))/2))/((PI()*(18/12))-((2*ACOS((((18/12)/2)-((18/12)-(18*0.938333/12)))/((18/12)/2)))*((18/12)/2))))^(2/3)*$H$19^0.5)*(((PI()*(18/12)^2)/4)-(((18/12)/2)^2*((2*ACOS((((18/12)/2)-((18/12)-(18*0.938333/12)))/((18/12)/2)))-SIN(2*ACOS((((18/12)/2)-((18/12)-(18*0.938333/12)))/((18/12)/2))))/2))</f>
        <v>0</v>
      </c>
      <c r="T50" t="e">
        <f>IF(($F$19+$G$19)&lt;=$M50,6,IF(($F$19+$G$19)&lt;=$N50,8,IF(($F$19+$G$19)&lt;=$O50,10,IF(($F$19+$G$19)&lt;=$P50,12,IF(($F$19+$G$19)&lt;=$Q50,15,IF(($F$19+$G$19)&lt;=$S50,18,"Too Large"))))))</f>
        <v>#VALUE!</v>
      </c>
    </row>
    <row r="51" spans="4:20" ht="12" hidden="1" customHeight="1" x14ac:dyDescent="0.2">
      <c r="D51" s="106" t="str">
        <f t="shared" si="6"/>
        <v/>
      </c>
      <c r="E51" s="182" t="str">
        <f>IF(D51=6,VLOOKUP((F22+G22),$V$113:$W$676,2,TRUE)+0.01,IF(D51=8,VLOOKUP((F22+G22),$V$113:$W$864,2,TRUE)+0.01,IF(D51=10,VLOOKUP((F22+G22),$V$113:$W$1052,2,TRUE)+0.01,IF(D51=12,VLOOKUP((F22+G22),$V$113:$W$1239,2,TRUE)+0.01,IF(D51=15,VLOOKUP((F22+G22),$V$113:$W$1521,2,TRUE)+0.01,IF(D51=16,VLOOKUP((F22+G22),$V$113:$W$1615,2,TRUE)+0.01,IF(D51=18,VLOOKUP((F22+G22),$V$113:$W$1802,2,TRUE)+0.01,"")))))))</f>
        <v/>
      </c>
      <c r="F51" s="141"/>
      <c r="L51" t="str">
        <f>Defaults!$L$3</f>
        <v>Dual-Wall CPT</v>
      </c>
      <c r="M51" s="141">
        <f>((1.486/Defaults!$M$3)*((((PI()*(6/12)^2)/4)-(((6/12)/2)^2*((2*ACOS((((6/12)/2)-((6/12)-(6*0.938333/12)))/((6/12)/2)))-SIN(2*ACOS((((6/12)/2)-((6/12)-(6*0.938333/12)))/((6/12)/2))))/2))/((PI()*(6/12))-((2*ACOS((((6/12)/2)-((6/12)-(6*0.938333/12)))/((6/12)/2)))*((6/12)/2))))^(2/3)*$H$19^0.5)*(((PI()*(6/12)^2)/4)-(((6/12)/2)^2*((2*ACOS((((6/12)/2)-((6/12)-(6*0.938333/12)))/((6/12)/2)))-SIN(2*ACOS((((6/12)/2)-((6/12)-(6*0.938333/12)))/((6/12)/2))))/2))</f>
        <v>0</v>
      </c>
      <c r="N51" s="141">
        <f>((1.486/Defaults!$M$3)*((((PI()*(8/12)^2)/4)-(((8/12)/2)^2*((2*ACOS((((8/12)/2)-((8/12)-(8*0.938333/12)))/((8/12)/2)))-SIN(2*ACOS((((8/12)/2)-((8/12)-(8*0.938333/12)))/((8/12)/2))))/2))/((PI()*(8/12))-((2*ACOS((((8/12)/2)-((8/12)-(8*0.938333/12)))/((8/12)/2)))*((8/12)/2))))^(2/3)*$H$19^0.5)*(((PI()*(8/12)^2)/4)-(((8/12)/2)^2*((2*ACOS((((8/12)/2)-((8/12)-(8*0.938333/12)))/((8/12)/2)))-SIN(2*ACOS((((8/12)/2)-((8/12)-(8*0.938333/12)))/((8/12)/2))))/2))</f>
        <v>0</v>
      </c>
      <c r="O51" s="141">
        <f>((1.486/Defaults!$M$3)*((((PI()*(10/12)^2)/4)-(((10/12)/2)^2*((2*ACOS((((10/12)/2)-((10/12)-(10*0.938333/12)))/((10/12)/2)))-SIN(2*ACOS((((10/12)/2)-((10/12)-(10*0.938333/12)))/((10/12)/2))))/2))/((PI()*(10/12))-((2*ACOS((((10/12)/2)-((10/12)-(10*0.938333/12)))/((10/12)/2)))*((10/12)/2))))^(2/3)*$H$19^0.5)*(((PI()*(10/12)^2)/4)-(((10/12)/2)^2*((2*ACOS((((10/12)/2)-((10/12)-(10*0.938333/12)))/((10/12)/2)))-SIN(2*ACOS((((10/12)/2)-((10/12)-(10*0.938333/12)))/((10/12)/2))))/2))</f>
        <v>0</v>
      </c>
      <c r="P51" s="141">
        <f>((1.486/Defaults!$M$3)*((((PI()*(12/12)^2)/4)-(((12/12)/2)^2*((2*ACOS((((12/12)/2)-((12/12)-(12*0.938333/12)))/((12/12)/2)))-SIN(2*ACOS((((12/12)/2)-((12/12)-(12*0.938333/12)))/((12/12)/2))))/2))/((PI()*(12/12))-((2*ACOS((((12/12)/2)-((12/12)-(12*0.938333/12)))/((12/12)/2)))*((12/12)/2))))^(2/3)*$H$19^0.5)*(((PI()*(12/12)^2)/4)-(((12/12)/2)^2*((2*ACOS((((12/12)/2)-((12/12)-(12*0.938333/12)))/((12/12)/2)))-SIN(2*ACOS((((12/12)/2)-((12/12)-(12*0.938333/12)))/((12/12)/2))))/2))</f>
        <v>0</v>
      </c>
      <c r="Q51" s="141">
        <f>((1.486/Defaults!$M$3)*((((PI()*(15/12)^2)/4)-(((15/12)/2)^2*((2*ACOS((((15/12)/2)-((15/12)-(15*0.938333/12)))/((15/12)/2)))-SIN(2*ACOS((((15/12)/2)-((15/12)-(15*0.938333/12)))/((15/12)/2))))/2))/((PI()*(15/12))-((2*ACOS((((15/12)/2)-((15/12)-(15*0.938333/12)))/((15/12)/2)))*((15/12)/2))))^(2/3)*$H$19^0.5)*(((PI()*(15/12)^2)/4)-(((15/12)/2)^2*((2*ACOS((((15/12)/2)-((15/12)-(15*0.938333/12)))/((15/12)/2)))-SIN(2*ACOS((((15/12)/2)-((15/12)-(15*0.938333/12)))/((15/12)/2))))/2))</f>
        <v>0</v>
      </c>
      <c r="R51" s="141"/>
      <c r="S51" s="141">
        <f>((1.486/Defaults!$M$3)*((((PI()*(18/12)^2)/4)-(((18/12)/2)^2*((2*ACOS((((18/12)/2)-((18/12)-(18*0.938333/12)))/((18/12)/2)))-SIN(2*ACOS((((18/12)/2)-((18/12)-(18*0.938333/12)))/((18/12)/2))))/2))/((PI()*(18/12))-((2*ACOS((((18/12)/2)-((18/12)-(18*0.938333/12)))/((18/12)/2)))*((18/12)/2))))^(2/3)*$H$19^0.5)*(((PI()*(18/12)^2)/4)-(((18/12)/2)^2*((2*ACOS((((18/12)/2)-((18/12)-(18*0.938333/12)))/((18/12)/2)))-SIN(2*ACOS((((18/12)/2)-((18/12)-(18*0.938333/12)))/((18/12)/2))))/2))</f>
        <v>0</v>
      </c>
      <c r="T51" t="e">
        <f>IF(($F$19+$G$19)&lt;=$M51,6,IF(($F$19+$G$19)&lt;=$N51,8,IF(($F$19+$G$19)&lt;=$O51,10,IF(($F$19+$G$19)&lt;=$P51,12,IF(($F$19+$G$19)&lt;=$Q51,15,IF(($F$19+$G$19)&lt;=$S51,18,"Too Large"))))))</f>
        <v>#VALUE!</v>
      </c>
    </row>
    <row r="52" spans="4:20" ht="12" hidden="1" customHeight="1" x14ac:dyDescent="0.2">
      <c r="D52" s="106" t="str">
        <f t="shared" si="6"/>
        <v/>
      </c>
      <c r="E52" s="182" t="str">
        <f>IF(D52=6,VLOOKUP((F23+G23),$X$113:$Y$676,2,TRUE)+0.01,IF(D52=8,VLOOKUP((F23+G23),$X$113:$Y$864,2,TRUE)+0.01,IF(D52=10,VLOOKUP((F23+G23),$X$113:$Y$1052,2,TRUE)+0.01,IF(D52=12,VLOOKUP((F23+G23),$X$113:$Y$1239,2,TRUE)+0.01,IF(D52=15,VLOOKUP((F23+G23),$X$113:$Y$1521,2,TRUE)+0.01,IF(D52=16,VLOOKUP((F23+G23),$X$113:$Y$1615,2,TRUE)+0.01,IF(D52=18,VLOOKUP((F23+G23),$X$113:$Y$1802,2,TRUE)+0.01,"")))))))</f>
        <v/>
      </c>
      <c r="F52" s="141"/>
      <c r="L52" t="str">
        <f>Defaults!$L$4</f>
        <v>CMP-Annular</v>
      </c>
      <c r="M52" s="141">
        <f>((1.486/Defaults!$M$4)*((((PI()*(6/12)^2)/4)-(((6/12)/2)^2*((2*ACOS((((6/12)/2)-((6/12)-(6*0.938333/12)))/((6/12)/2)))-SIN(2*ACOS((((6/12)/2)-((6/12)-(6*0.938333/12)))/((6/12)/2))))/2))/((PI()*(6/12))-((2*ACOS((((6/12)/2)-((6/12)-(6*0.938333/12)))/((6/12)/2)))*((6/12)/2))))^(2/3)*$H$19^0.5)*(((PI()*(6/12)^2)/4)-(((6/12)/2)^2*((2*ACOS((((6/12)/2)-((6/12)-(6*0.938333/12)))/((6/12)/2)))-SIN(2*ACOS((((6/12)/2)-((6/12)-(6*0.938333/12)))/((6/12)/2))))/2))</f>
        <v>0</v>
      </c>
      <c r="N52" s="141">
        <f>((1.486/Defaults!$M$4)*((((PI()*(8/12)^2)/4)-(((8/12)/2)^2*((2*ACOS((((8/12)/2)-((8/12)-(8*0.938333/12)))/((8/12)/2)))-SIN(2*ACOS((((8/12)/2)-((8/12)-(8*0.938333/12)))/((8/12)/2))))/2))/((PI()*(8/12))-((2*ACOS((((8/12)/2)-((8/12)-(8*0.938333/12)))/((8/12)/2)))*((8/12)/2))))^(2/3)*$H$19^0.5)*(((PI()*(8/12)^2)/4)-(((8/12)/2)^2*((2*ACOS((((8/12)/2)-((8/12)-(8*0.938333/12)))/((8/12)/2)))-SIN(2*ACOS((((8/12)/2)-((8/12)-(8*0.938333/12)))/((8/12)/2))))/2))</f>
        <v>0</v>
      </c>
      <c r="O52" s="141">
        <f>((1.486/Defaults!$M$4)*((((PI()*(10/12)^2)/4)-(((10/12)/2)^2*((2*ACOS((((10/12)/2)-((10/12)-(10*0.938333/12)))/((10/12)/2)))-SIN(2*ACOS((((10/12)/2)-((10/12)-(10*0.938333/12)))/((10/12)/2))))/2))/((PI()*(10/12))-((2*ACOS((((10/12)/2)-((10/12)-(10*0.938333/12)))/((10/12)/2)))*((10/12)/2))))^(2/3)*$H$19^0.5)*(((PI()*(10/12)^2)/4)-(((10/12)/2)^2*((2*ACOS((((10/12)/2)-((10/12)-(10*0.938333/12)))/((10/12)/2)))-SIN(2*ACOS((((10/12)/2)-((10/12)-(10*0.938333/12)))/((10/12)/2))))/2))</f>
        <v>0</v>
      </c>
      <c r="P52" s="141">
        <f>((1.486/Defaults!$M$4)*((((PI()*(12/12)^2)/4)-(((12/12)/2)^2*((2*ACOS((((12/12)/2)-((12/12)-(12*0.938333/12)))/((12/12)/2)))-SIN(2*ACOS((((12/12)/2)-((12/12)-(12*0.938333/12)))/((12/12)/2))))/2))/((PI()*(12/12))-((2*ACOS((((12/12)/2)-((12/12)-(12*0.938333/12)))/((12/12)/2)))*((12/12)/2))))^(2/3)*$H$19^0.5)*(((PI()*(12/12)^2)/4)-(((12/12)/2)^2*((2*ACOS((((12/12)/2)-((12/12)-(12*0.938333/12)))/((12/12)/2)))-SIN(2*ACOS((((12/12)/2)-((12/12)-(12*0.938333/12)))/((12/12)/2))))/2))</f>
        <v>0</v>
      </c>
      <c r="Q52" s="141">
        <f>((1.486/Defaults!$M$4)*((((PI()*(15/12)^2)/4)-(((15/12)/2)^2*((2*ACOS((((15/12)/2)-((15/12)-(15*0.938333/12)))/((15/12)/2)))-SIN(2*ACOS((((15/12)/2)-((15/12)-(15*0.938333/12)))/((15/12)/2))))/2))/((PI()*(15/12))-((2*ACOS((((15/12)/2)-((15/12)-(15*0.938333/12)))/((15/12)/2)))*((15/12)/2))))^(2/3)*$H$19^0.5)*(((PI()*(15/12)^2)/4)-(((15/12)/2)^2*((2*ACOS((((15/12)/2)-((15/12)-(15*0.938333/12)))/((15/12)/2)))-SIN(2*ACOS((((15/12)/2)-((15/12)-(15*0.938333/12)))/((15/12)/2))))/2))</f>
        <v>0</v>
      </c>
      <c r="R52" s="141"/>
      <c r="S52" s="141">
        <f>((1.486/Defaults!$M$4)*((((PI()*(18/12)^2)/4)-(((18/12)/2)^2*((2*ACOS((((18/12)/2)-((18/12)-(18*0.938333/12)))/((18/12)/2)))-SIN(2*ACOS((((18/12)/2)-((18/12)-(18*0.938333/12)))/((18/12)/2))))/2))/((PI()*(18/12))-((2*ACOS((((18/12)/2)-((18/12)-(18*0.938333/12)))/((18/12)/2)))*((18/12)/2))))^(2/3)*$H$19^0.5)*(((PI()*(18/12)^2)/4)-(((18/12)/2)^2*((2*ACOS((((18/12)/2)-((18/12)-(18*0.938333/12)))/((18/12)/2)))-SIN(2*ACOS((((18/12)/2)-((18/12)-(18*0.938333/12)))/((18/12)/2))))/2))</f>
        <v>0</v>
      </c>
      <c r="T52" t="e">
        <f>IF(($F$19+$G$19)&lt;=$M52,6,IF(($F$19+$G$19)&lt;=$N52,8,IF(($F$19+$G$19)&lt;=$O52,10,IF(($F$19+$G$19)&lt;=$P52,12,IF(($F$19+$G$19)&lt;=$Q52,15,IF(($F$19+$G$19)&lt;=$S52,18,"Too Large"))))))</f>
        <v>#VALUE!</v>
      </c>
    </row>
    <row r="53" spans="4:20" ht="12" hidden="1" customHeight="1" x14ac:dyDescent="0.2">
      <c r="D53" s="106" t="str">
        <f t="shared" si="6"/>
        <v/>
      </c>
      <c r="E53" s="182" t="str">
        <f>IF(D53=6,VLOOKUP((F24+G24),$Z$113:$AA$676,2,TRUE)+0.01,IF(D53=8,VLOOKUP((F24+G24),$Z$113:$AA$864,2,TRUE)+0.01,IF(D53=10,VLOOKUP((F24+G24),$Z$113:$AA$1052,2,TRUE)+0.01,IF(D53=12,VLOOKUP((F24+G24),$Z$113:$AA$1239,2,TRUE)+0.01,IF(D53=15,VLOOKUP((F24+G24),$Z$113:$AA$1521,2,TRUE)+0.01,IF(D53=16,VLOOKUP((F24+G24),$Z$113:$AA$1615,2,TRUE)+0.01,IF(D53=18,VLOOKUP((F24+G24),$Z$113:$AA$1802,2,TRUE)+0.01,"")))))))</f>
        <v/>
      </c>
      <c r="F53" s="141"/>
      <c r="L53" t="str">
        <f>Defaults!$L$5</f>
        <v>CMP-Helical</v>
      </c>
      <c r="M53" s="141">
        <f>((1.486/Defaults!$M$5)*((((PI()*(6/12)^2)/4)-(((6/12)/2)^2*((2*ACOS((((6/12)/2)-((6/12)-(6*0.938333/12)))/((6/12)/2)))-SIN(2*ACOS((((6/12)/2)-((6/12)-(6*0.938333/12)))/((6/12)/2))))/2))/((PI()*(6/12))-((2*ACOS((((6/12)/2)-((6/12)-(6*0.938333/12)))/((6/12)/2)))*((6/12)/2))))^(2/3)*$H$19^0.5)*(((PI()*(6/12)^2)/4)-(((6/12)/2)^2*((2*ACOS((((6/12)/2)-((6/12)-(6*0.938333/12)))/((6/12)/2)))-SIN(2*ACOS((((6/12)/2)-((6/12)-(6*0.938333/12)))/((6/12)/2))))/2))</f>
        <v>0</v>
      </c>
      <c r="N53" s="141">
        <f>((1.486/Defaults!$M$5)*((((PI()*(8/12)^2)/4)-(((8/12)/2)^2*((2*ACOS((((8/12)/2)-((8/12)-(8*0.938333/12)))/((8/12)/2)))-SIN(2*ACOS((((8/12)/2)-((8/12)-(8*0.938333/12)))/((8/12)/2))))/2))/((PI()*(8/12))-((2*ACOS((((8/12)/2)-((8/12)-(8*0.938333/12)))/((8/12)/2)))*((8/12)/2))))^(2/3)*$H$19^0.5)*(((PI()*(8/12)^2)/4)-(((8/12)/2)^2*((2*ACOS((((8/12)/2)-((8/12)-(8*0.938333/12)))/((8/12)/2)))-SIN(2*ACOS((((8/12)/2)-((8/12)-(8*0.938333/12)))/((8/12)/2))))/2))</f>
        <v>0</v>
      </c>
      <c r="O53" s="141">
        <f>((1.486/Defaults!$M$5)*((((PI()*(10/12)^2)/4)-(((10/12)/2)^2*((2*ACOS((((10/12)/2)-((10/12)-(10*0.938333/12)))/((10/12)/2)))-SIN(2*ACOS((((10/12)/2)-((10/12)-(10*0.938333/12)))/((10/12)/2))))/2))/((PI()*(10/12))-((2*ACOS((((10/12)/2)-((10/12)-(10*0.938333/12)))/((10/12)/2)))*((10/12)/2))))^(2/3)*$H$19^0.5)*(((PI()*(10/12)^2)/4)-(((10/12)/2)^2*((2*ACOS((((10/12)/2)-((10/12)-(10*0.938333/12)))/((10/12)/2)))-SIN(2*ACOS((((10/12)/2)-((10/12)-(10*0.938333/12)))/((10/12)/2))))/2))</f>
        <v>0</v>
      </c>
      <c r="P53" s="141">
        <f>((1.486/Defaults!$M$5)*((((PI()*(12/12)^2)/4)-(((12/12)/2)^2*((2*ACOS((((12/12)/2)-((12/12)-(12*0.938333/12)))/((12/12)/2)))-SIN(2*ACOS((((12/12)/2)-((12/12)-(12*0.938333/12)))/((12/12)/2))))/2))/((PI()*(12/12))-((2*ACOS((((12/12)/2)-((12/12)-(12*0.938333/12)))/((12/12)/2)))*((12/12)/2))))^(2/3)*$H$19^0.5)*(((PI()*(12/12)^2)/4)-(((12/12)/2)^2*((2*ACOS((((12/12)/2)-((12/12)-(12*0.938333/12)))/((12/12)/2)))-SIN(2*ACOS((((12/12)/2)-((12/12)-(12*0.938333/12)))/((12/12)/2))))/2))</f>
        <v>0</v>
      </c>
      <c r="Q53" s="141">
        <f>((1.486/Defaults!$M$5)*((((PI()*(15/12)^2)/4)-(((15/12)/2)^2*((2*ACOS((((15/12)/2)-((15/12)-(15*0.938333/12)))/((15/12)/2)))-SIN(2*ACOS((((15/12)/2)-((15/12)-(15*0.938333/12)))/((15/12)/2))))/2))/((PI()*(15/12))-((2*ACOS((((15/12)/2)-((15/12)-(15*0.938333/12)))/((15/12)/2)))*((15/12)/2))))^(2/3)*$H$19^0.5)*(((PI()*(15/12)^2)/4)-(((15/12)/2)^2*((2*ACOS((((15/12)/2)-((15/12)-(15*0.938333/12)))/((15/12)/2)))-SIN(2*ACOS((((15/12)/2)-((15/12)-(15*0.938333/12)))/((15/12)/2))))/2))</f>
        <v>0</v>
      </c>
      <c r="R53" s="141"/>
      <c r="S53" s="141">
        <f>((1.486/Defaults!$M$5)*((((PI()*(18/12)^2)/4)-(((18/12)/2)^2*((2*ACOS((((18/12)/2)-((18/12)-(18*0.938333/12)))/((18/12)/2)))-SIN(2*ACOS((((18/12)/2)-((18/12)-(18*0.938333/12)))/((18/12)/2))))/2))/((PI()*(18/12))-((2*ACOS((((18/12)/2)-((18/12)-(18*0.938333/12)))/((18/12)/2)))*((18/12)/2))))^(2/3)*$H$19^0.5)*(((PI()*(18/12)^2)/4)-(((18/12)/2)^2*((2*ACOS((((18/12)/2)-((18/12)-(18*0.938333/12)))/((18/12)/2)))-SIN(2*ACOS((((18/12)/2)-((18/12)-(18*0.938333/12)))/((18/12)/2))))/2))</f>
        <v>0</v>
      </c>
      <c r="T53" t="e">
        <f>IF(($F$19+$G$19)&lt;=$M53,6,IF(($F$19+$G$19)&lt;=$N53,8,IF(($F$19+$G$19)&lt;=$O53,10,IF(($F$19+$G$19)&lt;=$P53,12,IF(($F$19+$G$19)&lt;=$Q53,15,IF(($F$19+$G$19)&lt;=$S53,18,"Too Large"))))))</f>
        <v>#VALUE!</v>
      </c>
    </row>
    <row r="54" spans="4:20" ht="12" hidden="1" customHeight="1" x14ac:dyDescent="0.2">
      <c r="D54" s="106" t="str">
        <f t="shared" si="6"/>
        <v/>
      </c>
      <c r="E54" s="182" t="str">
        <f>IF(D54=6,VLOOKUP((F25+G25),$AB$113:$AC$676,2,TRUE)+0.01,IF(D54=8,VLOOKUP((F25+G25),$AB$113:$AC$864,2,TRUE)+0.01,IF(D54=10,VLOOKUP((F25+G25),$AB$113:$AC$1052,2,TRUE)+0.01,IF(D54=12,VLOOKUP((F25+G25),$AB$113:$AC$1239,2,TRUE)+0.01,IF(D54=15,VLOOKUP((F25+G25),$AB$113:$AC$1521,2,TRUE)+0.01,IF(D54=16,VLOOKUP((F25+G25),$AB$113:$AC$1615,2,TRUE)+0.01,IF(D54=18,VLOOKUP((F25+G25),$AB$113:$AC$1802,2,TRUE)+0.01,"")))))))</f>
        <v/>
      </c>
      <c r="F54" s="141"/>
      <c r="L54" s="93" t="str">
        <f>Defaults!$L$6</f>
        <v>PVC</v>
      </c>
      <c r="M54" s="141">
        <f>((1.486/Defaults!$M$6)*((((PI()*(6/12)^2)/4)-(((6/12)/2)^2*((2*ACOS((((6/12)/2)-((6/12)-(6*0.938333/12)))/((6/12)/2)))-SIN(2*ACOS((((6/12)/2)-((6/12)-(6*0.938333/12)))/((6/12)/2))))/2))/((PI()*(6/12))-((2*ACOS((((6/12)/2)-((6/12)-(6*0.938333/12)))/((6/12)/2)))*((6/12)/2))))^(2/3)*$H$19^0.5)*(((PI()*(6/12)^2)/4)-(((6/12)/2)^2*((2*ACOS((((6/12)/2)-((6/12)-(6*0.938333/12)))/((6/12)/2)))-SIN(2*ACOS((((6/12)/2)-((6/12)-(6*0.938333/12)))/((6/12)/2))))/2))</f>
        <v>0</v>
      </c>
      <c r="N54" s="141">
        <f>((1.486/Defaults!$M$6)*((((PI()*(8/12)^2)/4)-(((8/12)/2)^2*((2*ACOS((((8/12)/2)-((8/12)-(8*0.938333/12)))/((8/12)/2)))-SIN(2*ACOS((((8/12)/2)-((8/12)-(8*0.938333/12)))/((8/12)/2))))/2))/((PI()*(8/12))-((2*ACOS((((8/12)/2)-((8/12)-(8*0.938333/12)))/((8/12)/2)))*((8/12)/2))))^(2/3)*$H$19^0.5)*(((PI()*(8/12)^2)/4)-(((8/12)/2)^2*((2*ACOS((((8/12)/2)-((8/12)-(8*0.938333/12)))/((8/12)/2)))-SIN(2*ACOS((((8/12)/2)-((8/12)-(8*0.938333/12)))/((8/12)/2))))/2))</f>
        <v>0</v>
      </c>
      <c r="O54" s="141">
        <f>((1.486/Defaults!$M$6)*((((PI()*(10/12)^2)/4)-(((10/12)/2)^2*((2*ACOS((((10/12)/2)-((10/12)-(10*0.938333/12)))/((10/12)/2)))-SIN(2*ACOS((((10/12)/2)-((10/12)-(10*0.938333/12)))/((10/12)/2))))/2))/((PI()*(10/12))-((2*ACOS((((10/12)/2)-((10/12)-(10*0.938333/12)))/((10/12)/2)))*((10/12)/2))))^(2/3)*$H$19^0.5)*(((PI()*(10/12)^2)/4)-(((10/12)/2)^2*((2*ACOS((((10/12)/2)-((10/12)-(10*0.938333/12)))/((10/12)/2)))-SIN(2*ACOS((((10/12)/2)-((10/12)-(10*0.938333/12)))/((10/12)/2))))/2))</f>
        <v>0</v>
      </c>
      <c r="P54" s="141">
        <f>((1.486/Defaults!$M$6)*((((PI()*(12/12)^2)/4)-(((12/12)/2)^2*((2*ACOS((((12/12)/2)-((12/12)-(12*0.938333/12)))/((12/12)/2)))-SIN(2*ACOS((((12/12)/2)-((12/12)-(12*0.938333/12)))/((12/12)/2))))/2))/((PI()*(12/12))-((2*ACOS((((12/12)/2)-((12/12)-(12*0.938333/12)))/((12/12)/2)))*((12/12)/2))))^(2/3)*$H$19^0.5)*(((PI()*(12/12)^2)/4)-(((12/12)/2)^2*((2*ACOS((((12/12)/2)-((12/12)-(12*0.938333/12)))/((12/12)/2)))-SIN(2*ACOS((((12/12)/2)-((12/12)-(12*0.938333/12)))/((12/12)/2))))/2))</f>
        <v>0</v>
      </c>
      <c r="Q54" s="141">
        <f>((1.486/Defaults!$M$6)*((((PI()*(15/12)^2)/4)-(((15/12)/2)^2*((2*ACOS((((15/12)/2)-((15/12)-(15*0.938333/12)))/((15/12)/2)))-SIN(2*ACOS((((15/12)/2)-((15/12)-(15*0.938333/12)))/((15/12)/2))))/2))/((PI()*(15/12))-((2*ACOS((((15/12)/2)-((15/12)-(15*0.938333/12)))/((15/12)/2)))*((15/12)/2))))^(2/3)*$H$19^0.5)*(((PI()*(15/12)^2)/4)-(((15/12)/2)^2*((2*ACOS((((15/12)/2)-((15/12)-(15*0.938333/12)))/((15/12)/2)))-SIN(2*ACOS((((15/12)/2)-((15/12)-(15*0.938333/12)))/((15/12)/2))))/2))</f>
        <v>0</v>
      </c>
      <c r="R54" s="141"/>
      <c r="S54" s="141">
        <f>((1.486/Defaults!$M$6)*((((PI()*(18/12)^2)/4)-(((18/12)/2)^2*((2*ACOS((((18/12)/2)-((18/12)-(18*0.938333/12)))/((18/12)/2)))-SIN(2*ACOS((((18/12)/2)-((18/12)-(18*0.938333/12)))/((18/12)/2))))/2))/((PI()*(18/12))-((2*ACOS((((18/12)/2)-((18/12)-(18*0.938333/12)))/((18/12)/2)))*((18/12)/2))))^(2/3)*$H$19^0.5)*(((PI()*(18/12)^2)/4)-(((18/12)/2)^2*((2*ACOS((((18/12)/2)-((18/12)-(18*0.938333/12)))/((18/12)/2)))-SIN(2*ACOS((((18/12)/2)-((18/12)-(18*0.938333/12)))/((18/12)/2))))/2))</f>
        <v>0</v>
      </c>
      <c r="T54" t="e">
        <f>IF(($F$19+$G$19)&lt;=$M54,6,IF(($F$19+$G$19)&lt;=$N54,8,IF(($F$19+$G$19)&lt;=$O54,10,IF(($F$19+$G$19)&lt;=$P54,12,IF(($F$19+$G$19)&lt;=$Q54,15,IF(($F$19+$G$19)&lt;=$S54,18,"Too Large"))))))</f>
        <v>#VALUE!</v>
      </c>
    </row>
    <row r="55" spans="4:20" ht="12" hidden="1" customHeight="1" x14ac:dyDescent="0.2">
      <c r="D55" s="108" t="str">
        <f t="shared" si="6"/>
        <v/>
      </c>
      <c r="E55" s="184" t="str">
        <f>IF(D55=6,VLOOKUP((F26+G26),$AD$113:$AE$676,2,TRUE)+0.01,IF(D55=8,VLOOKUP((F26+G26),$AD$113:$AE$864,2,TRUE)+0.01,IF(D55=10,VLOOKUP((F26+G26),$AD$113:$AE$1052,2,TRUE)+0.01,IF(D55=12,VLOOKUP((F26+G26),$AD$113:$AE$1239,2,TRUE)+0.01,IF(D55=15,VLOOKUP((F26+G26),$AD$113:$AE$1521,2,TRUE)+0.01,IF(D55=16,VLOOKUP((F26+G26),$AD$113:$AE$1615,2,TRUE)+0.01,IF(D55=18,VLOOKUP((F26+G26),$AD$113:$AE$1802,2,TRUE)+0.01,"")))))))</f>
        <v/>
      </c>
      <c r="L55" t="str">
        <f>Defaults!$L$7</f>
        <v>Concrete</v>
      </c>
      <c r="M55" s="141">
        <f>((1.486/Defaults!$M$7)*((((PI()*(6/12)^2)/4)-(((6/12)/2)^2*((2*ACOS((((6/12)/2)-((6/12)-(6*0.938333/12)))/((6/12)/2)))-SIN(2*ACOS((((6/12)/2)-((6/12)-(6*0.938333/12)))/((6/12)/2))))/2))/((PI()*(6/12))-((2*ACOS((((6/12)/2)-((6/12)-(6*0.938333/12)))/((6/12)/2)))*((6/12)/2))))^(2/3)*$H$19^0.5)*(((PI()*(6/12)^2)/4)-(((6/12)/2)^2*((2*ACOS((((6/12)/2)-((6/12)-(6*0.938333/12)))/((6/12)/2)))-SIN(2*ACOS((((6/12)/2)-((6/12)-(6*0.938333/12)))/((6/12)/2))))/2))</f>
        <v>0</v>
      </c>
      <c r="N55" s="141">
        <f>((1.486/Defaults!$M$7)*((((PI()*(8/12)^2)/4)-(((8/12)/2)^2*((2*ACOS((((8/12)/2)-((8/12)-(8*0.938333/12)))/((8/12)/2)))-SIN(2*ACOS((((8/12)/2)-((8/12)-(8*0.938333/12)))/((8/12)/2))))/2))/((PI()*(8/12))-((2*ACOS((((8/12)/2)-((8/12)-(8*0.938333/12)))/((8/12)/2)))*((8/12)/2))))^(2/3)*$H$19^0.5)*(((PI()*(8/12)^2)/4)-(((8/12)/2)^2*((2*ACOS((((8/12)/2)-((8/12)-(8*0.938333/12)))/((8/12)/2)))-SIN(2*ACOS((((8/12)/2)-((8/12)-(8*0.938333/12)))/((8/12)/2))))/2))</f>
        <v>0</v>
      </c>
      <c r="O55" s="141">
        <f>((1.486/Defaults!$M$7)*((((PI()*(10/12)^2)/4)-(((10/12)/2)^2*((2*ACOS((((10/12)/2)-((10/12)-(10*0.938333/12)))/((10/12)/2)))-SIN(2*ACOS((((10/12)/2)-((10/12)-(10*0.938333/12)))/((10/12)/2))))/2))/((PI()*(10/12))-((2*ACOS((((10/12)/2)-((10/12)-(10*0.938333/12)))/((10/12)/2)))*((10/12)/2))))^(2/3)*$H$19^0.5)*(((PI()*(10/12)^2)/4)-(((10/12)/2)^2*((2*ACOS((((10/12)/2)-((10/12)-(10*0.938333/12)))/((10/12)/2)))-SIN(2*ACOS((((10/12)/2)-((10/12)-(10*0.938333/12)))/((10/12)/2))))/2))</f>
        <v>0</v>
      </c>
      <c r="P55" s="141">
        <f>((1.486/Defaults!$M$7)*((((PI()*(12/12)^2)/4)-(((12/12)/2)^2*((2*ACOS((((12/12)/2)-((12/12)-(12*0.938333/12)))/((12/12)/2)))-SIN(2*ACOS((((12/12)/2)-((12/12)-(12*0.938333/12)))/((12/12)/2))))/2))/((PI()*(12/12))-((2*ACOS((((12/12)/2)-((12/12)-(12*0.938333/12)))/((12/12)/2)))*((12/12)/2))))^(2/3)*$H$19^0.5)*(((PI()*(12/12)^2)/4)-(((12/12)/2)^2*((2*ACOS((((12/12)/2)-((12/12)-(12*0.938333/12)))/((12/12)/2)))-SIN(2*ACOS((((12/12)/2)-((12/12)-(12*0.938333/12)))/((12/12)/2))))/2))</f>
        <v>0</v>
      </c>
      <c r="Q55" s="141">
        <f>((1.486/Defaults!$M$7)*((((PI()*(15/12)^2)/4)-(((15/12)/2)^2*((2*ACOS((((15/12)/2)-((15/12)-(15*0.938333/12)))/((15/12)/2)))-SIN(2*ACOS((((15/12)/2)-((15/12)-(15*0.938333/12)))/((15/12)/2))))/2))/((PI()*(15/12))-((2*ACOS((((15/12)/2)-((15/12)-(15*0.938333/12)))/((15/12)/2)))*((15/12)/2))))^(2/3)*$H$19^0.5)*(((PI()*(15/12)^2)/4)-(((15/12)/2)^2*((2*ACOS((((15/12)/2)-((15/12)-(15*0.938333/12)))/((15/12)/2)))-SIN(2*ACOS((((15/12)/2)-((15/12)-(15*0.938333/12)))/((15/12)/2))))/2))</f>
        <v>0</v>
      </c>
      <c r="R55" s="141">
        <f>((1.486/Defaults!$M$7)*((((PI()*(16/12)^2)/4)-(((16/12)/2)^2*((2*ACOS((((16/12)/2)-((16/12)-(16*0.938333/12)))/((16/12)/2)))-SIN(2*ACOS((((16/12)/2)-((16/12)-(16*0.938333/12)))/((16/12)/2))))/2))/((PI()*(16/12))-((2*ACOS((((16/12)/2)-((16/12)-(16*0.938333/12)))/((16/12)/2)))*((16/12)/2))))^(2/3)*$H$19^0.5)*(((PI()*(16/12)^2)/4)-(((16/12)/2)^2*((2*ACOS((((16/12)/2)-((16/12)-(16*0.938333/12)))/((16/12)/2)))-SIN(2*ACOS((((16/12)/2)-((16/12)-(16*0.938333/12)))/((16/12)/2))))/2))</f>
        <v>0</v>
      </c>
      <c r="S55" s="141">
        <f>((1.486/Defaults!$M$7)*((((PI()*(18/12)^2)/4)-(((18/12)/2)^2*((2*ACOS((((18/12)/2)-((18/12)-(18*0.938333/12)))/((18/12)/2)))-SIN(2*ACOS((((18/12)/2)-((18/12)-(18*0.938333/12)))/((18/12)/2))))/2))/((PI()*(18/12))-((2*ACOS((((18/12)/2)-((18/12)-(18*0.938333/12)))/((18/12)/2)))*((18/12)/2))))^(2/3)*$H$19^0.5)*(((PI()*(18/12)^2)/4)-(((18/12)/2)^2*((2*ACOS((((18/12)/2)-((18/12)-(18*0.938333/12)))/((18/12)/2)))-SIN(2*ACOS((((18/12)/2)-((18/12)-(18*0.938333/12)))/((18/12)/2))))/2))</f>
        <v>0</v>
      </c>
      <c r="T55" t="e">
        <f>IF(($F$19+$G$19)&lt;=$M55,6,IF(($F$19+$G$19)&lt;=$N55,8,IF(($F$19+$G$19)&lt;=$O55,10,IF(($F$19+$G$19)&lt;=$P55,12,IF(($F$19+$G$19)&lt;=$Q55,15,IF(($F$19+$G$19)&lt;=$R55,16,IF(($F$19+$G$19)&lt;=$R55,18,"Too Large")))))))</f>
        <v>#VALUE!</v>
      </c>
    </row>
    <row r="56" spans="4:20" ht="12" hidden="1" customHeight="1" x14ac:dyDescent="0.2"/>
    <row r="57" spans="4:20" x14ac:dyDescent="0.2">
      <c r="M57">
        <v>6</v>
      </c>
      <c r="N57">
        <v>8</v>
      </c>
      <c r="O57">
        <v>10</v>
      </c>
      <c r="P57">
        <v>12</v>
      </c>
      <c r="Q57">
        <v>15</v>
      </c>
      <c r="R57">
        <v>16</v>
      </c>
      <c r="S57">
        <v>18</v>
      </c>
      <c r="T57" s="140" t="s">
        <v>186</v>
      </c>
    </row>
    <row r="58" spans="4:20" x14ac:dyDescent="0.2">
      <c r="L58" t="str">
        <f>Defaults!$L$2</f>
        <v>CPT (Tile)</v>
      </c>
      <c r="M58" s="141">
        <f>((1.486/Defaults!$M$10)*((((PI()*(6/12)^2)/4)-(((6/12)/2)^2*((2*ACOS((((6/12)/2)-((6/12)-(6*0.938333/12)))/((6/12)/2)))-SIN(2*ACOS((((6/12)/2)-((6/12)-(6*0.938333/12)))/((6/12)/2))))/2))/((PI()*(6/12))-((2*ACOS((((6/12)/2)-((6/12)-(6*0.938333/12)))/((6/12)/2)))*((6/12)/2))))^(2/3)*$H$20^0.5)*(((PI()*(6/12)^2)/4)-(((6/12)/2)^2*((2*ACOS((((6/12)/2)-((6/12)-(6*0.938333/12)))/((6/12)/2)))-SIN(2*ACOS((((6/12)/2)-((6/12)-(6*0.938333/12)))/((6/12)/2))))/2))</f>
        <v>0</v>
      </c>
      <c r="N58" s="141">
        <f>((1.486/Defaults!$M$11)*((((PI()*(8/12)^2)/4)-(((8/12)/2)^2*((2*ACOS((((8/12)/2)-((8/12)-(8*0.938333/12)))/((8/12)/2)))-SIN(2*ACOS((((8/12)/2)-((8/12)-(8*0.938333/12)))/((8/12)/2))))/2))/((PI()*(8/12))-((2*ACOS((((8/12)/2)-((8/12)-(8*0.938333/12)))/((8/12)/2)))*((8/12)/2))))^(2/3)*$H$20^0.5)*(((PI()*(8/12)^2)/4)-(((8/12)/2)^2*((2*ACOS((((8/12)/2)-((8/12)-(8*0.938333/12)))/((8/12)/2)))-SIN(2*ACOS((((8/12)/2)-((8/12)-(8*0.938333/12)))/((8/12)/2))))/2))</f>
        <v>0</v>
      </c>
      <c r="O58" s="141">
        <f>((1.486/Defaults!$M$12)*((((PI()*(10/12)^2)/4)-(((10/12)/2)^2*((2*ACOS((((10/12)/2)-((10/12)-(10*0.938333/12)))/((10/12)/2)))-SIN(2*ACOS((((10/12)/2)-((10/12)-(10*0.938333/12)))/((10/12)/2))))/2))/((PI()*(10/12))-((2*ACOS((((10/12)/2)-((10/12)-(10*0.938333/12)))/((10/12)/2)))*((10/12)/2))))^(2/3)*$H$20^0.5)*(((PI()*(10/12)^2)/4)-(((10/12)/2)^2*((2*ACOS((((10/12)/2)-((10/12)-(10*0.938333/12)))/((10/12)/2)))-SIN(2*ACOS((((10/12)/2)-((10/12)-(10*0.938333/12)))/((10/12)/2))))/2))</f>
        <v>0</v>
      </c>
      <c r="P58" s="141">
        <f>((1.486/Defaults!$M$13)*((((PI()*(12/12)^2)/4)-(((12/12)/2)^2*((2*ACOS((((12/12)/2)-((12/12)-(12*0.938333/12)))/((12/12)/2)))-SIN(2*ACOS((((12/12)/2)-((12/12)-(12*0.938333/12)))/((12/12)/2))))/2))/((PI()*(12/12))-((2*ACOS((((12/12)/2)-((12/12)-(12*0.938333/12)))/((12/12)/2)))*((12/12)/2))))^(2/3)*$H$20^0.5)*(((PI()*(12/12)^2)/4)-(((12/12)/2)^2*((2*ACOS((((12/12)/2)-((12/12)-(12*0.938333/12)))/((12/12)/2)))-SIN(2*ACOS((((12/12)/2)-((12/12)-(12*0.938333/12)))/((12/12)/2))))/2))</f>
        <v>0</v>
      </c>
      <c r="Q58" s="141">
        <f>((1.486/Defaults!$M$14)*((((PI()*(15/12)^2)/4)-(((15/12)/2)^2*((2*ACOS((((15/12)/2)-((15/12)-(15*0.938333/12)))/((15/12)/2)))-SIN(2*ACOS((((15/12)/2)-((15/12)-(15*0.938333/12)))/((15/12)/2))))/2))/((PI()*(15/12))-((2*ACOS((((15/12)/2)-((15/12)-(15*0.938333/12)))/((15/12)/2)))*((15/12)/2))))^(2/3)*$H$20^0.5)*(((PI()*(15/12)^2)/4)-(((15/12)/2)^2*((2*ACOS((((15/12)/2)-((15/12)-(15*0.938333/12)))/((15/12)/2)))-SIN(2*ACOS((((15/12)/2)-((15/12)-(15*0.938333/12)))/((15/12)/2))))/2))</f>
        <v>0</v>
      </c>
      <c r="S58" s="141">
        <f>((1.486/Defaults!$M$15)*((((PI()*(18/12)^2)/4)-(((18/12)/2)^2*((2*ACOS((((18/12)/2)-((18/12)-(18*0.938333/12)))/((18/12)/2)))-SIN(2*ACOS((((18/12)/2)-((18/12)-(18*0.938333/12)))/((18/12)/2))))/2))/((PI()*(18/12))-((2*ACOS((((18/12)/2)-((18/12)-(18*0.938333/12)))/((18/12)/2)))*((18/12)/2))))^(2/3)*$H$20^0.5)*(((PI()*(18/12)^2)/4)-(((18/12)/2)^2*((2*ACOS((((18/12)/2)-((18/12)-(18*0.938333/12)))/((18/12)/2)))-SIN(2*ACOS((((18/12)/2)-((18/12)-(18*0.938333/12)))/((18/12)/2))))/2))</f>
        <v>0</v>
      </c>
      <c r="T58" t="e">
        <f>IF(($F$20+$G$20)&lt;=$M58,6,IF(($F$20+$G$20)&lt;=$N58,8,IF(($F$20+$G$20)&lt;=$O58,10,IF(($F$20+$G$20)&lt;=$P58,12,IF(($F$20+$G$20)&lt;=$Q58,15,IF(($F$20+$G$20)&lt;=$S58,18,"Too Large"))))))</f>
        <v>#VALUE!</v>
      </c>
    </row>
    <row r="59" spans="4:20" x14ac:dyDescent="0.2">
      <c r="L59" t="str">
        <f>Defaults!$L$3</f>
        <v>Dual-Wall CPT</v>
      </c>
      <c r="M59" s="141">
        <f>((1.486/Defaults!$M$3)*((((PI()*(6/12)^2)/4)-(((6/12)/2)^2*((2*ACOS((((6/12)/2)-((6/12)-(6*0.938333/12)))/((6/12)/2)))-SIN(2*ACOS((((6/12)/2)-((6/12)-(6*0.938333/12)))/((6/12)/2))))/2))/((PI()*(6/12))-((2*ACOS((((6/12)/2)-((6/12)-(6*0.938333/12)))/((6/12)/2)))*((6/12)/2))))^(2/3)*$H$20^0.5)*(((PI()*(6/12)^2)/4)-(((6/12)/2)^2*((2*ACOS((((6/12)/2)-((6/12)-(6*0.938333/12)))/((6/12)/2)))-SIN(2*ACOS((((6/12)/2)-((6/12)-(6*0.938333/12)))/((6/12)/2))))/2))</f>
        <v>0</v>
      </c>
      <c r="N59" s="141">
        <f>((1.486/Defaults!$M$3)*((((PI()*(8/12)^2)/4)-(((8/12)/2)^2*((2*ACOS((((8/12)/2)-((8/12)-(8*0.938333/12)))/((8/12)/2)))-SIN(2*ACOS((((8/12)/2)-((8/12)-(8*0.938333/12)))/((8/12)/2))))/2))/((PI()*(8/12))-((2*ACOS((((8/12)/2)-((8/12)-(8*0.938333/12)))/((8/12)/2)))*((8/12)/2))))^(2/3)*$H$20^0.5)*(((PI()*(8/12)^2)/4)-(((8/12)/2)^2*((2*ACOS((((8/12)/2)-((8/12)-(8*0.938333/12)))/((8/12)/2)))-SIN(2*ACOS((((8/12)/2)-((8/12)-(8*0.938333/12)))/((8/12)/2))))/2))</f>
        <v>0</v>
      </c>
      <c r="O59" s="141">
        <f>((1.486/Defaults!$M$3)*((((PI()*(10/12)^2)/4)-(((10/12)/2)^2*((2*ACOS((((10/12)/2)-((10/12)-(10*0.938333/12)))/((10/12)/2)))-SIN(2*ACOS((((10/12)/2)-((10/12)-(10*0.938333/12)))/((10/12)/2))))/2))/((PI()*(10/12))-((2*ACOS((((10/12)/2)-((10/12)-(10*0.938333/12)))/((10/12)/2)))*((10/12)/2))))^(2/3)*$H$20^0.5)*(((PI()*(10/12)^2)/4)-(((10/12)/2)^2*((2*ACOS((((10/12)/2)-((10/12)-(10*0.938333/12)))/((10/12)/2)))-SIN(2*ACOS((((10/12)/2)-((10/12)-(10*0.938333/12)))/((10/12)/2))))/2))</f>
        <v>0</v>
      </c>
      <c r="P59" s="141">
        <f>((1.486/Defaults!$M$3)*((((PI()*(12/12)^2)/4)-(((12/12)/2)^2*((2*ACOS((((12/12)/2)-((12/12)-(12*0.938333/12)))/((12/12)/2)))-SIN(2*ACOS((((12/12)/2)-((12/12)-(12*0.938333/12)))/((12/12)/2))))/2))/((PI()*(12/12))-((2*ACOS((((12/12)/2)-((12/12)-(12*0.938333/12)))/((12/12)/2)))*((12/12)/2))))^(2/3)*$H$20^0.5)*(((PI()*(12/12)^2)/4)-(((12/12)/2)^2*((2*ACOS((((12/12)/2)-((12/12)-(12*0.938333/12)))/((12/12)/2)))-SIN(2*ACOS((((12/12)/2)-((12/12)-(12*0.938333/12)))/((12/12)/2))))/2))</f>
        <v>0</v>
      </c>
      <c r="Q59" s="141">
        <f>((1.486/Defaults!$M$3)*((((PI()*(15/12)^2)/4)-(((15/12)/2)^2*((2*ACOS((((15/12)/2)-((15/12)-(15*0.938333/12)))/((15/12)/2)))-SIN(2*ACOS((((15/12)/2)-((15/12)-(15*0.938333/12)))/((15/12)/2))))/2))/((PI()*(15/12))-((2*ACOS((((15/12)/2)-((15/12)-(15*0.938333/12)))/((15/12)/2)))*((15/12)/2))))^(2/3)*$H$20^0.5)*(((PI()*(15/12)^2)/4)-(((15/12)/2)^2*((2*ACOS((((15/12)/2)-((15/12)-(15*0.938333/12)))/((15/12)/2)))-SIN(2*ACOS((((15/12)/2)-((15/12)-(15*0.938333/12)))/((15/12)/2))))/2))</f>
        <v>0</v>
      </c>
      <c r="R59" s="141"/>
      <c r="S59" s="141">
        <f>((1.486/Defaults!$M$3)*((((PI()*(18/12)^2)/4)-(((18/12)/2)^2*((2*ACOS((((18/12)/2)-((18/12)-(18*0.938333/12)))/((18/12)/2)))-SIN(2*ACOS((((18/12)/2)-((18/12)-(18*0.938333/12)))/((18/12)/2))))/2))/((PI()*(18/12))-((2*ACOS((((18/12)/2)-((18/12)-(18*0.938333/12)))/((18/12)/2)))*((18/12)/2))))^(2/3)*$H$20^0.5)*(((PI()*(18/12)^2)/4)-(((18/12)/2)^2*((2*ACOS((((18/12)/2)-((18/12)-(18*0.938333/12)))/((18/12)/2)))-SIN(2*ACOS((((18/12)/2)-((18/12)-(18*0.938333/12)))/((18/12)/2))))/2))</f>
        <v>0</v>
      </c>
      <c r="T59" t="e">
        <f>IF(($F$20+$G$20)&lt;=$M59,6,IF(($F$20+$G$20)&lt;=$N59,8,IF(($F$20+$G$20)&lt;=$O59,10,IF(($F$20+$G$20)&lt;=$P59,12,IF(($F$20+$G$20)&lt;=$Q59,15,IF(($F$20+$G$20)&lt;=$S59,18,"Too Large"))))))</f>
        <v>#VALUE!</v>
      </c>
    </row>
    <row r="60" spans="4:20" x14ac:dyDescent="0.2">
      <c r="L60" t="str">
        <f>Defaults!$L$4</f>
        <v>CMP-Annular</v>
      </c>
      <c r="M60" s="141">
        <f>((1.486/Defaults!$M$4)*((((PI()*(6/12)^2)/4)-(((6/12)/2)^2*((2*ACOS((((6/12)/2)-((6/12)-(6*0.938333/12)))/((6/12)/2)))-SIN(2*ACOS((((6/12)/2)-((6/12)-(6*0.938333/12)))/((6/12)/2))))/2))/((PI()*(6/12))-((2*ACOS((((6/12)/2)-((6/12)-(6*0.938333/12)))/((6/12)/2)))*((6/12)/2))))^(2/3)*$H$20^0.5)*(((PI()*(6/12)^2)/4)-(((6/12)/2)^2*((2*ACOS((((6/12)/2)-((6/12)-(6*0.938333/12)))/((6/12)/2)))-SIN(2*ACOS((((6/12)/2)-((6/12)-(6*0.938333/12)))/((6/12)/2))))/2))</f>
        <v>0</v>
      </c>
      <c r="N60" s="141">
        <f>((1.486/Defaults!$M$4)*((((PI()*(8/12)^2)/4)-(((8/12)/2)^2*((2*ACOS((((8/12)/2)-((8/12)-(8*0.938333/12)))/((8/12)/2)))-SIN(2*ACOS((((8/12)/2)-((8/12)-(8*0.938333/12)))/((8/12)/2))))/2))/((PI()*(8/12))-((2*ACOS((((8/12)/2)-((8/12)-(8*0.938333/12)))/((8/12)/2)))*((8/12)/2))))^(2/3)*$H$20^0.5)*(((PI()*(8/12)^2)/4)-(((8/12)/2)^2*((2*ACOS((((8/12)/2)-((8/12)-(8*0.938333/12)))/((8/12)/2)))-SIN(2*ACOS((((8/12)/2)-((8/12)-(8*0.938333/12)))/((8/12)/2))))/2))</f>
        <v>0</v>
      </c>
      <c r="O60" s="141">
        <f>((1.486/Defaults!$M$4)*((((PI()*(10/12)^2)/4)-(((10/12)/2)^2*((2*ACOS((((10/12)/2)-((10/12)-(10*0.938333/12)))/((10/12)/2)))-SIN(2*ACOS((((10/12)/2)-((10/12)-(10*0.938333/12)))/((10/12)/2))))/2))/((PI()*(10/12))-((2*ACOS((((10/12)/2)-((10/12)-(10*0.938333/12)))/((10/12)/2)))*((10/12)/2))))^(2/3)*$H$20^0.5)*(((PI()*(10/12)^2)/4)-(((10/12)/2)^2*((2*ACOS((((10/12)/2)-((10/12)-(10*0.938333/12)))/((10/12)/2)))-SIN(2*ACOS((((10/12)/2)-((10/12)-(10*0.938333/12)))/((10/12)/2))))/2))</f>
        <v>0</v>
      </c>
      <c r="P60" s="141">
        <f>((1.486/Defaults!$M$4)*((((PI()*(12/12)^2)/4)-(((12/12)/2)^2*((2*ACOS((((12/12)/2)-((12/12)-(12*0.938333/12)))/((12/12)/2)))-SIN(2*ACOS((((12/12)/2)-((12/12)-(12*0.938333/12)))/((12/12)/2))))/2))/((PI()*(12/12))-((2*ACOS((((12/12)/2)-((12/12)-(12*0.938333/12)))/((12/12)/2)))*((12/12)/2))))^(2/3)*$H$20^0.5)*(((PI()*(12/12)^2)/4)-(((12/12)/2)^2*((2*ACOS((((12/12)/2)-((12/12)-(12*0.938333/12)))/((12/12)/2)))-SIN(2*ACOS((((12/12)/2)-((12/12)-(12*0.938333/12)))/((12/12)/2))))/2))</f>
        <v>0</v>
      </c>
      <c r="Q60" s="141">
        <f>((1.486/Defaults!$M$4)*((((PI()*(15/12)^2)/4)-(((15/12)/2)^2*((2*ACOS((((15/12)/2)-((15/12)-(15*0.938333/12)))/((15/12)/2)))-SIN(2*ACOS((((15/12)/2)-((15/12)-(15*0.938333/12)))/((15/12)/2))))/2))/((PI()*(15/12))-((2*ACOS((((15/12)/2)-((15/12)-(15*0.938333/12)))/((15/12)/2)))*((15/12)/2))))^(2/3)*$H$20^0.5)*(((PI()*(15/12)^2)/4)-(((15/12)/2)^2*((2*ACOS((((15/12)/2)-((15/12)-(15*0.938333/12)))/((15/12)/2)))-SIN(2*ACOS((((15/12)/2)-((15/12)-(15*0.938333/12)))/((15/12)/2))))/2))</f>
        <v>0</v>
      </c>
      <c r="R60" s="141"/>
      <c r="S60" s="141">
        <f>((1.486/Defaults!$M$4)*((((PI()*(18/12)^2)/4)-(((18/12)/2)^2*((2*ACOS((((18/12)/2)-((18/12)-(18*0.938333/12)))/((18/12)/2)))-SIN(2*ACOS((((18/12)/2)-((18/12)-(18*0.938333/12)))/((18/12)/2))))/2))/((PI()*(18/12))-((2*ACOS((((18/12)/2)-((18/12)-(18*0.938333/12)))/((18/12)/2)))*((18/12)/2))))^(2/3)*$H$20^0.5)*(((PI()*(18/12)^2)/4)-(((18/12)/2)^2*((2*ACOS((((18/12)/2)-((18/12)-(18*0.938333/12)))/((18/12)/2)))-SIN(2*ACOS((((18/12)/2)-((18/12)-(18*0.938333/12)))/((18/12)/2))))/2))</f>
        <v>0</v>
      </c>
      <c r="T60" t="e">
        <f>IF(($F$20+$G$20)&lt;=$M60,6,IF(($F$20+$G$20)&lt;=$N60,8,IF(($F$20+$G$20)&lt;=$O60,10,IF(($F$20+$G$20)&lt;=$P60,12,IF(($F$20+$G$20)&lt;=$Q60,15,IF(($F$20+$G$20)&lt;=$S60,18,"Too Large"))))))</f>
        <v>#VALUE!</v>
      </c>
    </row>
    <row r="61" spans="4:20" x14ac:dyDescent="0.2">
      <c r="G61" s="93"/>
      <c r="L61" t="str">
        <f>Defaults!$L$5</f>
        <v>CMP-Helical</v>
      </c>
      <c r="M61" s="141">
        <f>((1.486/Defaults!$M$5)*((((PI()*(6/12)^2)/4)-(((6/12)/2)^2*((2*ACOS((((6/12)/2)-((6/12)-(6*0.938333/12)))/((6/12)/2)))-SIN(2*ACOS((((6/12)/2)-((6/12)-(6*0.938333/12)))/((6/12)/2))))/2))/((PI()*(6/12))-((2*ACOS((((6/12)/2)-((6/12)-(6*0.938333/12)))/((6/12)/2)))*((6/12)/2))))^(2/3)*$H$20^0.5)*(((PI()*(6/12)^2)/4)-(((6/12)/2)^2*((2*ACOS((((6/12)/2)-((6/12)-(6*0.938333/12)))/((6/12)/2)))-SIN(2*ACOS((((6/12)/2)-((6/12)-(6*0.938333/12)))/((6/12)/2))))/2))</f>
        <v>0</v>
      </c>
      <c r="N61" s="141">
        <f>((1.486/Defaults!$M$5)*((((PI()*(8/12)^2)/4)-(((8/12)/2)^2*((2*ACOS((((8/12)/2)-((8/12)-(8*0.938333/12)))/((8/12)/2)))-SIN(2*ACOS((((8/12)/2)-((8/12)-(8*0.938333/12)))/((8/12)/2))))/2))/((PI()*(8/12))-((2*ACOS((((8/12)/2)-((8/12)-(8*0.938333/12)))/((8/12)/2)))*((8/12)/2))))^(2/3)*$H$20^0.5)*(((PI()*(8/12)^2)/4)-(((8/12)/2)^2*((2*ACOS((((8/12)/2)-((8/12)-(8*0.938333/12)))/((8/12)/2)))-SIN(2*ACOS((((8/12)/2)-((8/12)-(8*0.938333/12)))/((8/12)/2))))/2))</f>
        <v>0</v>
      </c>
      <c r="O61" s="141">
        <f>((1.486/Defaults!$M$5)*((((PI()*(10/12)^2)/4)-(((10/12)/2)^2*((2*ACOS((((10/12)/2)-((10/12)-(10*0.938333/12)))/((10/12)/2)))-SIN(2*ACOS((((10/12)/2)-((10/12)-(10*0.938333/12)))/((10/12)/2))))/2))/((PI()*(10/12))-((2*ACOS((((10/12)/2)-((10/12)-(10*0.938333/12)))/((10/12)/2)))*((10/12)/2))))^(2/3)*$H$20^0.5)*(((PI()*(10/12)^2)/4)-(((10/12)/2)^2*((2*ACOS((((10/12)/2)-((10/12)-(10*0.938333/12)))/((10/12)/2)))-SIN(2*ACOS((((10/12)/2)-((10/12)-(10*0.938333/12)))/((10/12)/2))))/2))</f>
        <v>0</v>
      </c>
      <c r="P61" s="141">
        <f>((1.486/Defaults!$M$5)*((((PI()*(12/12)^2)/4)-(((12/12)/2)^2*((2*ACOS((((12/12)/2)-((12/12)-(12*0.938333/12)))/((12/12)/2)))-SIN(2*ACOS((((12/12)/2)-((12/12)-(12*0.938333/12)))/((12/12)/2))))/2))/((PI()*(12/12))-((2*ACOS((((12/12)/2)-((12/12)-(12*0.938333/12)))/((12/12)/2)))*((12/12)/2))))^(2/3)*$H$20^0.5)*(((PI()*(12/12)^2)/4)-(((12/12)/2)^2*((2*ACOS((((12/12)/2)-((12/12)-(12*0.938333/12)))/((12/12)/2)))-SIN(2*ACOS((((12/12)/2)-((12/12)-(12*0.938333/12)))/((12/12)/2))))/2))</f>
        <v>0</v>
      </c>
      <c r="Q61" s="141">
        <f>((1.486/Defaults!$M$5)*((((PI()*(15/12)^2)/4)-(((15/12)/2)^2*((2*ACOS((((15/12)/2)-((15/12)-(15*0.938333/12)))/((15/12)/2)))-SIN(2*ACOS((((15/12)/2)-((15/12)-(15*0.938333/12)))/((15/12)/2))))/2))/((PI()*(15/12))-((2*ACOS((((15/12)/2)-((15/12)-(15*0.938333/12)))/((15/12)/2)))*((15/12)/2))))^(2/3)*$H$20^0.5)*(((PI()*(15/12)^2)/4)-(((15/12)/2)^2*((2*ACOS((((15/12)/2)-((15/12)-(15*0.938333/12)))/((15/12)/2)))-SIN(2*ACOS((((15/12)/2)-((15/12)-(15*0.938333/12)))/((15/12)/2))))/2))</f>
        <v>0</v>
      </c>
      <c r="R61" s="141"/>
      <c r="S61" s="141">
        <f>((1.486/Defaults!$M$5)*((((PI()*(18/12)^2)/4)-(((18/12)/2)^2*((2*ACOS((((18/12)/2)-((18/12)-(18*0.938333/12)))/((18/12)/2)))-SIN(2*ACOS((((18/12)/2)-((18/12)-(18*0.938333/12)))/((18/12)/2))))/2))/((PI()*(18/12))-((2*ACOS((((18/12)/2)-((18/12)-(18*0.938333/12)))/((18/12)/2)))*((18/12)/2))))^(2/3)*$H$20^0.5)*(((PI()*(18/12)^2)/4)-(((18/12)/2)^2*((2*ACOS((((18/12)/2)-((18/12)-(18*0.938333/12)))/((18/12)/2)))-SIN(2*ACOS((((18/12)/2)-((18/12)-(18*0.938333/12)))/((18/12)/2))))/2))</f>
        <v>0</v>
      </c>
      <c r="T61" t="e">
        <f>IF(($F$20+$G$20)&lt;=$M61,6,IF(($F$20+$G$20)&lt;=$N61,8,IF(($F$20+$G$20)&lt;=$O61,10,IF(($F$20+$G$20)&lt;=$P61,12,IF(($F$20+$G$20)&lt;=$Q61,15,IF(($F$20+$G$20)&lt;=$S61,18,"Too Large"))))))</f>
        <v>#VALUE!</v>
      </c>
    </row>
    <row r="62" spans="4:20" x14ac:dyDescent="0.2">
      <c r="L62" s="93" t="str">
        <f>Defaults!$L$6</f>
        <v>PVC</v>
      </c>
      <c r="M62" s="141">
        <f>((1.486/Defaults!$M$6)*((((PI()*(6/12)^2)/4)-(((6/12)/2)^2*((2*ACOS((((6/12)/2)-((6/12)-(6*0.938333/12)))/((6/12)/2)))-SIN(2*ACOS((((6/12)/2)-((6/12)-(6*0.938333/12)))/((6/12)/2))))/2))/((PI()*(6/12))-((2*ACOS((((6/12)/2)-((6/12)-(6*0.938333/12)))/((6/12)/2)))*((6/12)/2))))^(2/3)*$H$20^0.5)*(((PI()*(6/12)^2)/4)-(((6/12)/2)^2*((2*ACOS((((6/12)/2)-((6/12)-(6*0.938333/12)))/((6/12)/2)))-SIN(2*ACOS((((6/12)/2)-((6/12)-(6*0.938333/12)))/((6/12)/2))))/2))</f>
        <v>0</v>
      </c>
      <c r="N62" s="141">
        <f>((1.486/Defaults!$M$6)*((((PI()*(8/12)^2)/4)-(((8/12)/2)^2*((2*ACOS((((8/12)/2)-((8/12)-(8*0.938333/12)))/((8/12)/2)))-SIN(2*ACOS((((8/12)/2)-((8/12)-(8*0.938333/12)))/((8/12)/2))))/2))/((PI()*(8/12))-((2*ACOS((((8/12)/2)-((8/12)-(8*0.938333/12)))/((8/12)/2)))*((8/12)/2))))^(2/3)*$H$20^0.5)*(((PI()*(8/12)^2)/4)-(((8/12)/2)^2*((2*ACOS((((8/12)/2)-((8/12)-(8*0.938333/12)))/((8/12)/2)))-SIN(2*ACOS((((8/12)/2)-((8/12)-(8*0.938333/12)))/((8/12)/2))))/2))</f>
        <v>0</v>
      </c>
      <c r="O62" s="141">
        <f>((1.486/Defaults!$M$6)*((((PI()*(10/12)^2)/4)-(((10/12)/2)^2*((2*ACOS((((10/12)/2)-((10/12)-(10*0.938333/12)))/((10/12)/2)))-SIN(2*ACOS((((10/12)/2)-((10/12)-(10*0.938333/12)))/((10/12)/2))))/2))/((PI()*(10/12))-((2*ACOS((((10/12)/2)-((10/12)-(10*0.938333/12)))/((10/12)/2)))*((10/12)/2))))^(2/3)*$H$20^0.5)*(((PI()*(10/12)^2)/4)-(((10/12)/2)^2*((2*ACOS((((10/12)/2)-((10/12)-(10*0.938333/12)))/((10/12)/2)))-SIN(2*ACOS((((10/12)/2)-((10/12)-(10*0.938333/12)))/((10/12)/2))))/2))</f>
        <v>0</v>
      </c>
      <c r="P62" s="141">
        <f>((1.486/Defaults!$M$6)*((((PI()*(12/12)^2)/4)-(((12/12)/2)^2*((2*ACOS((((12/12)/2)-((12/12)-(12*0.938333/12)))/((12/12)/2)))-SIN(2*ACOS((((12/12)/2)-((12/12)-(12*0.938333/12)))/((12/12)/2))))/2))/((PI()*(12/12))-((2*ACOS((((12/12)/2)-((12/12)-(12*0.938333/12)))/((12/12)/2)))*((12/12)/2))))^(2/3)*$H$20^0.5)*(((PI()*(12/12)^2)/4)-(((12/12)/2)^2*((2*ACOS((((12/12)/2)-((12/12)-(12*0.938333/12)))/((12/12)/2)))-SIN(2*ACOS((((12/12)/2)-((12/12)-(12*0.938333/12)))/((12/12)/2))))/2))</f>
        <v>0</v>
      </c>
      <c r="Q62" s="141">
        <f>((1.486/Defaults!$M$6)*((((PI()*(15/12)^2)/4)-(((15/12)/2)^2*((2*ACOS((((15/12)/2)-((15/12)-(15*0.938333/12)))/((15/12)/2)))-SIN(2*ACOS((((15/12)/2)-((15/12)-(15*0.938333/12)))/((15/12)/2))))/2))/((PI()*(15/12))-((2*ACOS((((15/12)/2)-((15/12)-(15*0.938333/12)))/((15/12)/2)))*((15/12)/2))))^(2/3)*$H$20^0.5)*(((PI()*(15/12)^2)/4)-(((15/12)/2)^2*((2*ACOS((((15/12)/2)-((15/12)-(15*0.938333/12)))/((15/12)/2)))-SIN(2*ACOS((((15/12)/2)-((15/12)-(15*0.938333/12)))/((15/12)/2))))/2))</f>
        <v>0</v>
      </c>
      <c r="R62" s="141"/>
      <c r="S62" s="141">
        <f>((1.486/Defaults!$M$6)*((((PI()*(18/12)^2)/4)-(((18/12)/2)^2*((2*ACOS((((18/12)/2)-((18/12)-(18*0.938333/12)))/((18/12)/2)))-SIN(2*ACOS((((18/12)/2)-((18/12)-(18*0.938333/12)))/((18/12)/2))))/2))/((PI()*(18/12))-((2*ACOS((((18/12)/2)-((18/12)-(18*0.938333/12)))/((18/12)/2)))*((18/12)/2))))^(2/3)*$H$20^0.5)*(((PI()*(18/12)^2)/4)-(((18/12)/2)^2*((2*ACOS((((18/12)/2)-((18/12)-(18*0.938333/12)))/((18/12)/2)))-SIN(2*ACOS((((18/12)/2)-((18/12)-(18*0.938333/12)))/((18/12)/2))))/2))</f>
        <v>0</v>
      </c>
      <c r="T62" t="e">
        <f>IF(($F$20+$G$20)&lt;=$M62,6,IF(($F$20+$G$20)&lt;=$N62,8,IF(($F$20+$G$20)&lt;=$O62,10,IF(($F$20+$G$20)&lt;=$P62,12,IF(($F$20+$G$20)&lt;=$Q62,15,IF(($F$20+$G$20)&lt;=$S62,18,"Too Large"))))))</f>
        <v>#VALUE!</v>
      </c>
    </row>
    <row r="63" spans="4:20" x14ac:dyDescent="0.2">
      <c r="L63" t="str">
        <f>Defaults!$L$7</f>
        <v>Concrete</v>
      </c>
      <c r="M63" s="141">
        <f>((1.486/Defaults!$M$7)*((((PI()*(6/12)^2)/4)-(((6/12)/2)^2*((2*ACOS((((6/12)/2)-((6/12)-(6*0.938333/12)))/((6/12)/2)))-SIN(2*ACOS((((6/12)/2)-((6/12)-(6*0.938333/12)))/((6/12)/2))))/2))/((PI()*(6/12))-((2*ACOS((((6/12)/2)-((6/12)-(6*0.938333/12)))/((6/12)/2)))*((6/12)/2))))^(2/3)*$H$20^0.5)*(((PI()*(6/12)^2)/4)-(((6/12)/2)^2*((2*ACOS((((6/12)/2)-((6/12)-(6*0.938333/12)))/((6/12)/2)))-SIN(2*ACOS((((6/12)/2)-((6/12)-(6*0.938333/12)))/((6/12)/2))))/2))</f>
        <v>0</v>
      </c>
      <c r="N63" s="141">
        <f>((1.486/Defaults!$M$7)*((((PI()*(8/12)^2)/4)-(((8/12)/2)^2*((2*ACOS((((8/12)/2)-((8/12)-(8*0.938333/12)))/((8/12)/2)))-SIN(2*ACOS((((8/12)/2)-((8/12)-(8*0.938333/12)))/((8/12)/2))))/2))/((PI()*(8/12))-((2*ACOS((((8/12)/2)-((8/12)-(8*0.938333/12)))/((8/12)/2)))*((8/12)/2))))^(2/3)*$H$20^0.5)*(((PI()*(8/12)^2)/4)-(((8/12)/2)^2*((2*ACOS((((8/12)/2)-((8/12)-(8*0.938333/12)))/((8/12)/2)))-SIN(2*ACOS((((8/12)/2)-((8/12)-(8*0.938333/12)))/((8/12)/2))))/2))</f>
        <v>0</v>
      </c>
      <c r="O63" s="141">
        <f>((1.486/Defaults!$M$7)*((((PI()*(10/12)^2)/4)-(((10/12)/2)^2*((2*ACOS((((10/12)/2)-((10/12)-(10*0.938333/12)))/((10/12)/2)))-SIN(2*ACOS((((10/12)/2)-((10/12)-(10*0.938333/12)))/((10/12)/2))))/2))/((PI()*(10/12))-((2*ACOS((((10/12)/2)-((10/12)-(10*0.938333/12)))/((10/12)/2)))*((10/12)/2))))^(2/3)*$H$20^0.5)*(((PI()*(10/12)^2)/4)-(((10/12)/2)^2*((2*ACOS((((10/12)/2)-((10/12)-(10*0.938333/12)))/((10/12)/2)))-SIN(2*ACOS((((10/12)/2)-((10/12)-(10*0.938333/12)))/((10/12)/2))))/2))</f>
        <v>0</v>
      </c>
      <c r="P63" s="141">
        <f>((1.486/Defaults!$M$7)*((((PI()*(12/12)^2)/4)-(((12/12)/2)^2*((2*ACOS((((12/12)/2)-((12/12)-(12*0.938333/12)))/((12/12)/2)))-SIN(2*ACOS((((12/12)/2)-((12/12)-(12*0.938333/12)))/((12/12)/2))))/2))/((PI()*(12/12))-((2*ACOS((((12/12)/2)-((12/12)-(12*0.938333/12)))/((12/12)/2)))*((12/12)/2))))^(2/3)*$H$20^0.5)*(((PI()*(12/12)^2)/4)-(((12/12)/2)^2*((2*ACOS((((12/12)/2)-((12/12)-(12*0.938333/12)))/((12/12)/2)))-SIN(2*ACOS((((12/12)/2)-((12/12)-(12*0.938333/12)))/((12/12)/2))))/2))</f>
        <v>0</v>
      </c>
      <c r="Q63" s="141">
        <f>((1.486/Defaults!$M$7)*((((PI()*(15/12)^2)/4)-(((15/12)/2)^2*((2*ACOS((((15/12)/2)-((15/12)-(15*0.938333/12)))/((15/12)/2)))-SIN(2*ACOS((((15/12)/2)-((15/12)-(15*0.938333/12)))/((15/12)/2))))/2))/((PI()*(15/12))-((2*ACOS((((15/12)/2)-((15/12)-(15*0.938333/12)))/((15/12)/2)))*((15/12)/2))))^(2/3)*$H$20^0.5)*(((PI()*(15/12)^2)/4)-(((15/12)/2)^2*((2*ACOS((((15/12)/2)-((15/12)-(15*0.938333/12)))/((15/12)/2)))-SIN(2*ACOS((((15/12)/2)-((15/12)-(15*0.938333/12)))/((15/12)/2))))/2))</f>
        <v>0</v>
      </c>
      <c r="R63" s="141">
        <f>((1.486/Defaults!$M$7)*((((PI()*(16/12)^2)/4)-(((16/12)/2)^2*((2*ACOS((((16/12)/2)-((16/12)-(16*0.938333/12)))/((16/12)/2)))-SIN(2*ACOS((((16/12)/2)-((16/12)-(16*0.938333/12)))/((16/12)/2))))/2))/((PI()*(16/12))-((2*ACOS((((16/12)/2)-((16/12)-(16*0.938333/12)))/((16/12)/2)))*((16/12)/2))))^(2/3)*$H$20^0.5)*(((PI()*(16/12)^2)/4)-(((16/12)/2)^2*((2*ACOS((((16/12)/2)-((16/12)-(16*0.938333/12)))/((16/12)/2)))-SIN(2*ACOS((((16/12)/2)-((16/12)-(16*0.938333/12)))/((16/12)/2))))/2))</f>
        <v>0</v>
      </c>
      <c r="S63" s="141">
        <f>((1.486/Defaults!$M$7)*((((PI()*(18/12)^2)/4)-(((18/12)/2)^2*((2*ACOS((((18/12)/2)-((18/12)-(18*0.938333/12)))/((18/12)/2)))-SIN(2*ACOS((((18/12)/2)-((18/12)-(18*0.938333/12)))/((18/12)/2))))/2))/((PI()*(18/12))-((2*ACOS((((18/12)/2)-((18/12)-(18*0.938333/12)))/((18/12)/2)))*((18/12)/2))))^(2/3)*$H$20^0.5)*(((PI()*(18/12)^2)/4)-(((18/12)/2)^2*((2*ACOS((((18/12)/2)-((18/12)-(18*0.938333/12)))/((18/12)/2)))-SIN(2*ACOS((((18/12)/2)-((18/12)-(18*0.938333/12)))/((18/12)/2))))/2))</f>
        <v>0</v>
      </c>
      <c r="T63" t="e">
        <f>IF(($F$20+$G$20)&lt;=$M63,6,IF(($F$20+$G$20)&lt;=$N63,8,IF(($F$20+$G$20)&lt;=$O63,10,IF(($F$20+$G$20)&lt;=$P63,12,IF(($F$20+$G$20)&lt;=$Q63,15,IF(($F$20+$G$20)&lt;=$R63,16,IF(($F$20+$G$20)&lt;=$S63,18,"Too Large")))))))</f>
        <v>#VALUE!</v>
      </c>
    </row>
    <row r="65" spans="12:20" x14ac:dyDescent="0.2">
      <c r="M65">
        <v>6</v>
      </c>
      <c r="N65">
        <v>8</v>
      </c>
      <c r="O65">
        <v>10</v>
      </c>
      <c r="P65">
        <v>12</v>
      </c>
      <c r="Q65">
        <v>15</v>
      </c>
      <c r="R65">
        <v>16</v>
      </c>
      <c r="S65">
        <v>18</v>
      </c>
      <c r="T65" s="140" t="s">
        <v>186</v>
      </c>
    </row>
    <row r="66" spans="12:20" x14ac:dyDescent="0.2">
      <c r="L66" t="str">
        <f>Defaults!$L$2</f>
        <v>CPT (Tile)</v>
      </c>
      <c r="M66" s="141">
        <f>((1.486/Defaults!$M$10)*((((PI()*(6/12)^2)/4)-(((6/12)/2)^2*((2*ACOS((((6/12)/2)-((6/12)-(6*0.938333/12)))/((6/12)/2)))-SIN(2*ACOS((((6/12)/2)-((6/12)-(6*0.938333/12)))/((6/12)/2))))/2))/((PI()*(6/12))-((2*ACOS((((6/12)/2)-((6/12)-(6*0.938333/12)))/((6/12)/2)))*((6/12)/2))))^(2/3)*$H$21^0.5)*(((PI()*(6/12)^2)/4)-(((6/12)/2)^2*((2*ACOS((((6/12)/2)-((6/12)-(6*0.938333/12)))/((6/12)/2)))-SIN(2*ACOS((((6/12)/2)-((6/12)-(6*0.938333/12)))/((6/12)/2))))/2))</f>
        <v>0</v>
      </c>
      <c r="N66" s="141">
        <f>((1.486/Defaults!$M$11)*((((PI()*(8/12)^2)/4)-(((8/12)/2)^2*((2*ACOS((((8/12)/2)-((8/12)-(8*0.938333/12)))/((8/12)/2)))-SIN(2*ACOS((((8/12)/2)-((8/12)-(8*0.938333/12)))/((8/12)/2))))/2))/((PI()*(8/12))-((2*ACOS((((8/12)/2)-((8/12)-(8*0.938333/12)))/((8/12)/2)))*((8/12)/2))))^(2/3)*$H$21^0.5)*(((PI()*(8/12)^2)/4)-(((8/12)/2)^2*((2*ACOS((((8/12)/2)-((8/12)-(8*0.938333/12)))/((8/12)/2)))-SIN(2*ACOS((((8/12)/2)-((8/12)-(8*0.938333/12)))/((8/12)/2))))/2))</f>
        <v>0</v>
      </c>
      <c r="O66" s="141">
        <f>((1.486/Defaults!$M$12)*((((PI()*(10/12)^2)/4)-(((10/12)/2)^2*((2*ACOS((((10/12)/2)-((10/12)-(10*0.938333/12)))/((10/12)/2)))-SIN(2*ACOS((((10/12)/2)-((10/12)-(10*0.938333/12)))/((10/12)/2))))/2))/((PI()*(10/12))-((2*ACOS((((10/12)/2)-((10/12)-(10*0.938333/12)))/((10/12)/2)))*((10/12)/2))))^(2/3)*$H$21^0.5)*(((PI()*(10/12)^2)/4)-(((10/12)/2)^2*((2*ACOS((((10/12)/2)-((10/12)-(10*0.938333/12)))/((10/12)/2)))-SIN(2*ACOS((((10/12)/2)-((10/12)-(10*0.938333/12)))/((10/12)/2))))/2))</f>
        <v>0</v>
      </c>
      <c r="P66" s="141">
        <f>((1.486/Defaults!$M$13)*((((PI()*(12/12)^2)/4)-(((12/12)/2)^2*((2*ACOS((((12/12)/2)-((12/12)-(12*0.938333/12)))/((12/12)/2)))-SIN(2*ACOS((((12/12)/2)-((12/12)-(12*0.938333/12)))/((12/12)/2))))/2))/((PI()*(12/12))-((2*ACOS((((12/12)/2)-((12/12)-(12*0.938333/12)))/((12/12)/2)))*((12/12)/2))))^(2/3)*$H$21^0.5)*(((PI()*(12/12)^2)/4)-(((12/12)/2)^2*((2*ACOS((((12/12)/2)-((12/12)-(12*0.938333/12)))/((12/12)/2)))-SIN(2*ACOS((((12/12)/2)-((12/12)-(12*0.938333/12)))/((12/12)/2))))/2))</f>
        <v>0</v>
      </c>
      <c r="Q66" s="141">
        <f>((1.486/Defaults!$M$14)*((((PI()*(15/12)^2)/4)-(((15/12)/2)^2*((2*ACOS((((15/12)/2)-((15/12)-(15*0.938333/12)))/((15/12)/2)))-SIN(2*ACOS((((15/12)/2)-((15/12)-(15*0.938333/12)))/((15/12)/2))))/2))/((PI()*(15/12))-((2*ACOS((((15/12)/2)-((15/12)-(15*0.938333/12)))/((15/12)/2)))*((15/12)/2))))^(2/3)*$H$21^0.5)*(((PI()*(15/12)^2)/4)-(((15/12)/2)^2*((2*ACOS((((15/12)/2)-((15/12)-(15*0.938333/12)))/((15/12)/2)))-SIN(2*ACOS((((15/12)/2)-((15/12)-(15*0.938333/12)))/((15/12)/2))))/2))</f>
        <v>0</v>
      </c>
      <c r="S66" s="141">
        <f>((1.486/Defaults!$M$15)*((((PI()*(18/12)^2)/4)-(((18/12)/2)^2*((2*ACOS((((18/12)/2)-((18/12)-(18*0.938333/12)))/((18/12)/2)))-SIN(2*ACOS((((18/12)/2)-((18/12)-(18*0.938333/12)))/((18/12)/2))))/2))/((PI()*(18/12))-((2*ACOS((((18/12)/2)-((18/12)-(18*0.938333/12)))/((18/12)/2)))*((18/12)/2))))^(2/3)*$H$21^0.5)*(((PI()*(18/12)^2)/4)-(((18/12)/2)^2*((2*ACOS((((18/12)/2)-((18/12)-(18*0.938333/12)))/((18/12)/2)))-SIN(2*ACOS((((18/12)/2)-((18/12)-(18*0.938333/12)))/((18/12)/2))))/2))</f>
        <v>0</v>
      </c>
      <c r="T66" t="e">
        <f>IF(($F$21+$G$21)&lt;=$M66,6,IF(($F$21+$G$21)&lt;=$N66,8,IF(($F$21+$G$21)&lt;=$O66,10,IF(($F$21+$G$21)&lt;=$P66,12,IF(($F$21+$G$21)&lt;=$Q66,15,IF(($F$21+$G$21)&lt;=$S66,18,"Too Large"))))))</f>
        <v>#VALUE!</v>
      </c>
    </row>
    <row r="67" spans="12:20" x14ac:dyDescent="0.2">
      <c r="L67" t="str">
        <f>Defaults!$L$3</f>
        <v>Dual-Wall CPT</v>
      </c>
      <c r="M67" s="141">
        <f>((1.486/Defaults!$M$3)*((((PI()*(6/12)^2)/4)-(((6/12)/2)^2*((2*ACOS((((6/12)/2)-((6/12)-(6*0.938333/12)))/((6/12)/2)))-SIN(2*ACOS((((6/12)/2)-((6/12)-(6*0.938333/12)))/((6/12)/2))))/2))/((PI()*(6/12))-((2*ACOS((((6/12)/2)-((6/12)-(6*0.938333/12)))/((6/12)/2)))*((6/12)/2))))^(2/3)*$H$21^0.5)*(((PI()*(6/12)^2)/4)-(((6/12)/2)^2*((2*ACOS((((6/12)/2)-((6/12)-(6*0.938333/12)))/((6/12)/2)))-SIN(2*ACOS((((6/12)/2)-((6/12)-(6*0.938333/12)))/((6/12)/2))))/2))</f>
        <v>0</v>
      </c>
      <c r="N67" s="141">
        <f>((1.486/Defaults!$M$3)*((((PI()*(8/12)^2)/4)-(((8/12)/2)^2*((2*ACOS((((8/12)/2)-((8/12)-(8*0.938333/12)))/((8/12)/2)))-SIN(2*ACOS((((8/12)/2)-((8/12)-(8*0.938333/12)))/((8/12)/2))))/2))/((PI()*(8/12))-((2*ACOS((((8/12)/2)-((8/12)-(8*0.938333/12)))/((8/12)/2)))*((8/12)/2))))^(2/3)*$H$21^0.5)*(((PI()*(8/12)^2)/4)-(((8/12)/2)^2*((2*ACOS((((8/12)/2)-((8/12)-(8*0.938333/12)))/((8/12)/2)))-SIN(2*ACOS((((8/12)/2)-((8/12)-(8*0.938333/12)))/((8/12)/2))))/2))</f>
        <v>0</v>
      </c>
      <c r="O67" s="141">
        <f>((1.486/Defaults!$M$3)*((((PI()*(10/12)^2)/4)-(((10/12)/2)^2*((2*ACOS((((10/12)/2)-((10/12)-(10*0.938333/12)))/((10/12)/2)))-SIN(2*ACOS((((10/12)/2)-((10/12)-(10*0.938333/12)))/((10/12)/2))))/2))/((PI()*(10/12))-((2*ACOS((((10/12)/2)-((10/12)-(10*0.938333/12)))/((10/12)/2)))*((10/12)/2))))^(2/3)*$H$21^0.5)*(((PI()*(10/12)^2)/4)-(((10/12)/2)^2*((2*ACOS((((10/12)/2)-((10/12)-(10*0.938333/12)))/((10/12)/2)))-SIN(2*ACOS((((10/12)/2)-((10/12)-(10*0.938333/12)))/((10/12)/2))))/2))</f>
        <v>0</v>
      </c>
      <c r="P67" s="141">
        <f>((1.486/Defaults!$M$3)*((((PI()*(12/12)^2)/4)-(((12/12)/2)^2*((2*ACOS((((12/12)/2)-((12/12)-(12*0.938333/12)))/((12/12)/2)))-SIN(2*ACOS((((12/12)/2)-((12/12)-(12*0.938333/12)))/((12/12)/2))))/2))/((PI()*(12/12))-((2*ACOS((((12/12)/2)-((12/12)-(12*0.938333/12)))/((12/12)/2)))*((12/12)/2))))^(2/3)*$H$21^0.5)*(((PI()*(12/12)^2)/4)-(((12/12)/2)^2*((2*ACOS((((12/12)/2)-((12/12)-(12*0.938333/12)))/((12/12)/2)))-SIN(2*ACOS((((12/12)/2)-((12/12)-(12*0.938333/12)))/((12/12)/2))))/2))</f>
        <v>0</v>
      </c>
      <c r="Q67" s="141">
        <f>((1.486/Defaults!$M$3)*((((PI()*(15/12)^2)/4)-(((15/12)/2)^2*((2*ACOS((((15/12)/2)-((15/12)-(15*0.938333/12)))/((15/12)/2)))-SIN(2*ACOS((((15/12)/2)-((15/12)-(15*0.938333/12)))/((15/12)/2))))/2))/((PI()*(15/12))-((2*ACOS((((15/12)/2)-((15/12)-(15*0.938333/12)))/((15/12)/2)))*((15/12)/2))))^(2/3)*$H$21^0.5)*(((PI()*(15/12)^2)/4)-(((15/12)/2)^2*((2*ACOS((((15/12)/2)-((15/12)-(15*0.938333/12)))/((15/12)/2)))-SIN(2*ACOS((((15/12)/2)-((15/12)-(15*0.938333/12)))/((15/12)/2))))/2))</f>
        <v>0</v>
      </c>
      <c r="R67" s="141"/>
      <c r="S67" s="141">
        <f>((1.486/Defaults!$M$3)*((((PI()*(18/12)^2)/4)-(((18/12)/2)^2*((2*ACOS((((18/12)/2)-((18/12)-(18*0.938333/12)))/((18/12)/2)))-SIN(2*ACOS((((18/12)/2)-((18/12)-(18*0.938333/12)))/((18/12)/2))))/2))/((PI()*(18/12))-((2*ACOS((((18/12)/2)-((18/12)-(18*0.938333/12)))/((18/12)/2)))*((18/12)/2))))^(2/3)*$H$21^0.5)*(((PI()*(18/12)^2)/4)-(((18/12)/2)^2*((2*ACOS((((18/12)/2)-((18/12)-(18*0.938333/12)))/((18/12)/2)))-SIN(2*ACOS((((18/12)/2)-((18/12)-(18*0.938333/12)))/((18/12)/2))))/2))</f>
        <v>0</v>
      </c>
      <c r="T67" t="e">
        <f>IF(($F$21+$G$21)&lt;=$M67,6,IF(($F$21+$G$21)&lt;=$N67,8,IF(($F$21+$G$21)&lt;=$O67,10,IF(($F$21+$G$21)&lt;=$P67,12,IF(($F$21+$G$21)&lt;=$Q67,15,IF(($F$21+$G$21)&lt;=$S67,18,"Too Large"))))))</f>
        <v>#VALUE!</v>
      </c>
    </row>
    <row r="68" spans="12:20" x14ac:dyDescent="0.2">
      <c r="L68" t="str">
        <f>Defaults!$L$4</f>
        <v>CMP-Annular</v>
      </c>
      <c r="M68" s="141">
        <f>((1.486/Defaults!$M$4)*((((PI()*(6/12)^2)/4)-(((6/12)/2)^2*((2*ACOS((((6/12)/2)-((6/12)-(6*0.938333/12)))/((6/12)/2)))-SIN(2*ACOS((((6/12)/2)-((6/12)-(6*0.938333/12)))/((6/12)/2))))/2))/((PI()*(6/12))-((2*ACOS((((6/12)/2)-((6/12)-(6*0.938333/12)))/((6/12)/2)))*((6/12)/2))))^(2/3)*$H$21^0.5)*(((PI()*(6/12)^2)/4)-(((6/12)/2)^2*((2*ACOS((((6/12)/2)-((6/12)-(6*0.938333/12)))/((6/12)/2)))-SIN(2*ACOS((((6/12)/2)-((6/12)-(6*0.938333/12)))/((6/12)/2))))/2))</f>
        <v>0</v>
      </c>
      <c r="N68" s="141">
        <f>((1.486/Defaults!$M$4)*((((PI()*(8/12)^2)/4)-(((8/12)/2)^2*((2*ACOS((((8/12)/2)-((8/12)-(8*0.938333/12)))/((8/12)/2)))-SIN(2*ACOS((((8/12)/2)-((8/12)-(8*0.938333/12)))/((8/12)/2))))/2))/((PI()*(8/12))-((2*ACOS((((8/12)/2)-((8/12)-(8*0.938333/12)))/((8/12)/2)))*((8/12)/2))))^(2/3)*$H$21^0.5)*(((PI()*(8/12)^2)/4)-(((8/12)/2)^2*((2*ACOS((((8/12)/2)-((8/12)-(8*0.938333/12)))/((8/12)/2)))-SIN(2*ACOS((((8/12)/2)-((8/12)-(8*0.938333/12)))/((8/12)/2))))/2))</f>
        <v>0</v>
      </c>
      <c r="O68" s="141">
        <f>((1.486/Defaults!$M$4)*((((PI()*(10/12)^2)/4)-(((10/12)/2)^2*((2*ACOS((((10/12)/2)-((10/12)-(10*0.938333/12)))/((10/12)/2)))-SIN(2*ACOS((((10/12)/2)-((10/12)-(10*0.938333/12)))/((10/12)/2))))/2))/((PI()*(10/12))-((2*ACOS((((10/12)/2)-((10/12)-(10*0.938333/12)))/((10/12)/2)))*((10/12)/2))))^(2/3)*$H$21^0.5)*(((PI()*(10/12)^2)/4)-(((10/12)/2)^2*((2*ACOS((((10/12)/2)-((10/12)-(10*0.938333/12)))/((10/12)/2)))-SIN(2*ACOS((((10/12)/2)-((10/12)-(10*0.938333/12)))/((10/12)/2))))/2))</f>
        <v>0</v>
      </c>
      <c r="P68" s="141">
        <f>((1.486/Defaults!$M$4)*((((PI()*(12/12)^2)/4)-(((12/12)/2)^2*((2*ACOS((((12/12)/2)-((12/12)-(12*0.938333/12)))/((12/12)/2)))-SIN(2*ACOS((((12/12)/2)-((12/12)-(12*0.938333/12)))/((12/12)/2))))/2))/((PI()*(12/12))-((2*ACOS((((12/12)/2)-((12/12)-(12*0.938333/12)))/((12/12)/2)))*((12/12)/2))))^(2/3)*$H$21^0.5)*(((PI()*(12/12)^2)/4)-(((12/12)/2)^2*((2*ACOS((((12/12)/2)-((12/12)-(12*0.938333/12)))/((12/12)/2)))-SIN(2*ACOS((((12/12)/2)-((12/12)-(12*0.938333/12)))/((12/12)/2))))/2))</f>
        <v>0</v>
      </c>
      <c r="Q68" s="141">
        <f>((1.486/Defaults!$M$4)*((((PI()*(15/12)^2)/4)-(((15/12)/2)^2*((2*ACOS((((15/12)/2)-((15/12)-(15*0.938333/12)))/((15/12)/2)))-SIN(2*ACOS((((15/12)/2)-((15/12)-(15*0.938333/12)))/((15/12)/2))))/2))/((PI()*(15/12))-((2*ACOS((((15/12)/2)-((15/12)-(15*0.938333/12)))/((15/12)/2)))*((15/12)/2))))^(2/3)*$H$21^0.5)*(((PI()*(15/12)^2)/4)-(((15/12)/2)^2*((2*ACOS((((15/12)/2)-((15/12)-(15*0.938333/12)))/((15/12)/2)))-SIN(2*ACOS((((15/12)/2)-((15/12)-(15*0.938333/12)))/((15/12)/2))))/2))</f>
        <v>0</v>
      </c>
      <c r="R68" s="141"/>
      <c r="S68" s="141">
        <f>((1.486/Defaults!$M$4)*((((PI()*(18/12)^2)/4)-(((18/12)/2)^2*((2*ACOS((((18/12)/2)-((18/12)-(18*0.938333/12)))/((18/12)/2)))-SIN(2*ACOS((((18/12)/2)-((18/12)-(18*0.938333/12)))/((18/12)/2))))/2))/((PI()*(18/12))-((2*ACOS((((18/12)/2)-((18/12)-(18*0.938333/12)))/((18/12)/2)))*((18/12)/2))))^(2/3)*$H$21^0.5)*(((PI()*(18/12)^2)/4)-(((18/12)/2)^2*((2*ACOS((((18/12)/2)-((18/12)-(18*0.938333/12)))/((18/12)/2)))-SIN(2*ACOS((((18/12)/2)-((18/12)-(18*0.938333/12)))/((18/12)/2))))/2))</f>
        <v>0</v>
      </c>
      <c r="T68" t="e">
        <f>IF(($F$21+$G$21)&lt;=$M68,6,IF(($F$21+$G$21)&lt;=$N68,8,IF(($F$21+$G$21)&lt;=$O68,10,IF(($F$21+$G$21)&lt;=$P68,12,IF(($F$21+$G$21)&lt;=$Q68,15,IF(($F$21+$G$21)&lt;=$S68,18,"Too Large"))))))</f>
        <v>#VALUE!</v>
      </c>
    </row>
    <row r="69" spans="12:20" x14ac:dyDescent="0.2">
      <c r="L69" t="str">
        <f>Defaults!$L$5</f>
        <v>CMP-Helical</v>
      </c>
      <c r="M69" s="141">
        <f>((1.486/Defaults!$M$5)*((((PI()*(6/12)^2)/4)-(((6/12)/2)^2*((2*ACOS((((6/12)/2)-((6/12)-(6*0.938333/12)))/((6/12)/2)))-SIN(2*ACOS((((6/12)/2)-((6/12)-(6*0.938333/12)))/((6/12)/2))))/2))/((PI()*(6/12))-((2*ACOS((((6/12)/2)-((6/12)-(6*0.938333/12)))/((6/12)/2)))*((6/12)/2))))^(2/3)*$H$21^0.5)*(((PI()*(6/12)^2)/4)-(((6/12)/2)^2*((2*ACOS((((6/12)/2)-((6/12)-(6*0.938333/12)))/((6/12)/2)))-SIN(2*ACOS((((6/12)/2)-((6/12)-(6*0.938333/12)))/((6/12)/2))))/2))</f>
        <v>0</v>
      </c>
      <c r="N69" s="141">
        <f>((1.486/Defaults!$M$5)*((((PI()*(8/12)^2)/4)-(((8/12)/2)^2*((2*ACOS((((8/12)/2)-((8/12)-(8*0.938333/12)))/((8/12)/2)))-SIN(2*ACOS((((8/12)/2)-((8/12)-(8*0.938333/12)))/((8/12)/2))))/2))/((PI()*(8/12))-((2*ACOS((((8/12)/2)-((8/12)-(8*0.938333/12)))/((8/12)/2)))*((8/12)/2))))^(2/3)*$H$21^0.5)*(((PI()*(8/12)^2)/4)-(((8/12)/2)^2*((2*ACOS((((8/12)/2)-((8/12)-(8*0.938333/12)))/((8/12)/2)))-SIN(2*ACOS((((8/12)/2)-((8/12)-(8*0.938333/12)))/((8/12)/2))))/2))</f>
        <v>0</v>
      </c>
      <c r="O69" s="141">
        <f>((1.486/Defaults!$M$5)*((((PI()*(10/12)^2)/4)-(((10/12)/2)^2*((2*ACOS((((10/12)/2)-((10/12)-(10*0.938333/12)))/((10/12)/2)))-SIN(2*ACOS((((10/12)/2)-((10/12)-(10*0.938333/12)))/((10/12)/2))))/2))/((PI()*(10/12))-((2*ACOS((((10/12)/2)-((10/12)-(10*0.938333/12)))/((10/12)/2)))*((10/12)/2))))^(2/3)*$H$21^0.5)*(((PI()*(10/12)^2)/4)-(((10/12)/2)^2*((2*ACOS((((10/12)/2)-((10/12)-(10*0.938333/12)))/((10/12)/2)))-SIN(2*ACOS((((10/12)/2)-((10/12)-(10*0.938333/12)))/((10/12)/2))))/2))</f>
        <v>0</v>
      </c>
      <c r="P69" s="141">
        <f>((1.486/Defaults!$M$5)*((((PI()*(12/12)^2)/4)-(((12/12)/2)^2*((2*ACOS((((12/12)/2)-((12/12)-(12*0.938333/12)))/((12/12)/2)))-SIN(2*ACOS((((12/12)/2)-((12/12)-(12*0.938333/12)))/((12/12)/2))))/2))/((PI()*(12/12))-((2*ACOS((((12/12)/2)-((12/12)-(12*0.938333/12)))/((12/12)/2)))*((12/12)/2))))^(2/3)*$H$21^0.5)*(((PI()*(12/12)^2)/4)-(((12/12)/2)^2*((2*ACOS((((12/12)/2)-((12/12)-(12*0.938333/12)))/((12/12)/2)))-SIN(2*ACOS((((12/12)/2)-((12/12)-(12*0.938333/12)))/((12/12)/2))))/2))</f>
        <v>0</v>
      </c>
      <c r="Q69" s="141">
        <f>((1.486/Defaults!$M$5)*((((PI()*(15/12)^2)/4)-(((15/12)/2)^2*((2*ACOS((((15/12)/2)-((15/12)-(15*0.938333/12)))/((15/12)/2)))-SIN(2*ACOS((((15/12)/2)-((15/12)-(15*0.938333/12)))/((15/12)/2))))/2))/((PI()*(15/12))-((2*ACOS((((15/12)/2)-((15/12)-(15*0.938333/12)))/((15/12)/2)))*((15/12)/2))))^(2/3)*$H$21^0.5)*(((PI()*(15/12)^2)/4)-(((15/12)/2)^2*((2*ACOS((((15/12)/2)-((15/12)-(15*0.938333/12)))/((15/12)/2)))-SIN(2*ACOS((((15/12)/2)-((15/12)-(15*0.938333/12)))/((15/12)/2))))/2))</f>
        <v>0</v>
      </c>
      <c r="R69" s="141"/>
      <c r="S69" s="141">
        <f>((1.486/Defaults!$M$5)*((((PI()*(18/12)^2)/4)-(((18/12)/2)^2*((2*ACOS((((18/12)/2)-((18/12)-(18*0.938333/12)))/((18/12)/2)))-SIN(2*ACOS((((18/12)/2)-((18/12)-(18*0.938333/12)))/((18/12)/2))))/2))/((PI()*(18/12))-((2*ACOS((((18/12)/2)-((18/12)-(18*0.938333/12)))/((18/12)/2)))*((18/12)/2))))^(2/3)*$H$21^0.5)*(((PI()*(18/12)^2)/4)-(((18/12)/2)^2*((2*ACOS((((18/12)/2)-((18/12)-(18*0.938333/12)))/((18/12)/2)))-SIN(2*ACOS((((18/12)/2)-((18/12)-(18*0.938333/12)))/((18/12)/2))))/2))</f>
        <v>0</v>
      </c>
      <c r="T69" t="e">
        <f>IF(($F$21+$G$21)&lt;=$M69,6,IF(($F$21+$G$21)&lt;=$N69,8,IF(($F$21+$G$21)&lt;=$O69,10,IF(($F$21+$G$21)&lt;=$P69,12,IF(($F$21+$G$21)&lt;=$Q69,15,IF(($F$21+$G$21)&lt;=$S69,18,"Too Large"))))))</f>
        <v>#VALUE!</v>
      </c>
    </row>
    <row r="70" spans="12:20" x14ac:dyDescent="0.2">
      <c r="L70" s="93" t="str">
        <f>Defaults!$L$6</f>
        <v>PVC</v>
      </c>
      <c r="M70" s="141">
        <f>((1.486/Defaults!$M$6)*((((PI()*(6/12)^2)/4)-(((6/12)/2)^2*((2*ACOS((((6/12)/2)-((6/12)-(6*0.938333/12)))/((6/12)/2)))-SIN(2*ACOS((((6/12)/2)-((6/12)-(6*0.938333/12)))/((6/12)/2))))/2))/((PI()*(6/12))-((2*ACOS((((6/12)/2)-((6/12)-(6*0.938333/12)))/((6/12)/2)))*((6/12)/2))))^(2/3)*$H$21^0.5)*(((PI()*(6/12)^2)/4)-(((6/12)/2)^2*((2*ACOS((((6/12)/2)-((6/12)-(6*0.938333/12)))/((6/12)/2)))-SIN(2*ACOS((((6/12)/2)-((6/12)-(6*0.938333/12)))/((6/12)/2))))/2))</f>
        <v>0</v>
      </c>
      <c r="N70" s="141">
        <f>((1.486/Defaults!$M$6)*((((PI()*(8/12)^2)/4)-(((8/12)/2)^2*((2*ACOS((((8/12)/2)-((8/12)-(8*0.938333/12)))/((8/12)/2)))-SIN(2*ACOS((((8/12)/2)-((8/12)-(8*0.938333/12)))/((8/12)/2))))/2))/((PI()*(8/12))-((2*ACOS((((8/12)/2)-((8/12)-(8*0.938333/12)))/((8/12)/2)))*((8/12)/2))))^(2/3)*$H$21^0.5)*(((PI()*(8/12)^2)/4)-(((8/12)/2)^2*((2*ACOS((((8/12)/2)-((8/12)-(8*0.938333/12)))/((8/12)/2)))-SIN(2*ACOS((((8/12)/2)-((8/12)-(8*0.938333/12)))/((8/12)/2))))/2))</f>
        <v>0</v>
      </c>
      <c r="O70" s="141">
        <f>((1.486/Defaults!$M$6)*((((PI()*(10/12)^2)/4)-(((10/12)/2)^2*((2*ACOS((((10/12)/2)-((10/12)-(10*0.938333/12)))/((10/12)/2)))-SIN(2*ACOS((((10/12)/2)-((10/12)-(10*0.938333/12)))/((10/12)/2))))/2))/((PI()*(10/12))-((2*ACOS((((10/12)/2)-((10/12)-(10*0.938333/12)))/((10/12)/2)))*((10/12)/2))))^(2/3)*$H$21^0.5)*(((PI()*(10/12)^2)/4)-(((10/12)/2)^2*((2*ACOS((((10/12)/2)-((10/12)-(10*0.938333/12)))/((10/12)/2)))-SIN(2*ACOS((((10/12)/2)-((10/12)-(10*0.938333/12)))/((10/12)/2))))/2))</f>
        <v>0</v>
      </c>
      <c r="P70" s="141">
        <f>((1.486/Defaults!$M$6)*((((PI()*(12/12)^2)/4)-(((12/12)/2)^2*((2*ACOS((((12/12)/2)-((12/12)-(12*0.938333/12)))/((12/12)/2)))-SIN(2*ACOS((((12/12)/2)-((12/12)-(12*0.938333/12)))/((12/12)/2))))/2))/((PI()*(12/12))-((2*ACOS((((12/12)/2)-((12/12)-(12*0.938333/12)))/((12/12)/2)))*((12/12)/2))))^(2/3)*$H$21^0.5)*(((PI()*(12/12)^2)/4)-(((12/12)/2)^2*((2*ACOS((((12/12)/2)-((12/12)-(12*0.938333/12)))/((12/12)/2)))-SIN(2*ACOS((((12/12)/2)-((12/12)-(12*0.938333/12)))/((12/12)/2))))/2))</f>
        <v>0</v>
      </c>
      <c r="Q70" s="141">
        <f>((1.486/Defaults!$M$6)*((((PI()*(15/12)^2)/4)-(((15/12)/2)^2*((2*ACOS((((15/12)/2)-((15/12)-(15*0.938333/12)))/((15/12)/2)))-SIN(2*ACOS((((15/12)/2)-((15/12)-(15*0.938333/12)))/((15/12)/2))))/2))/((PI()*(15/12))-((2*ACOS((((15/12)/2)-((15/12)-(15*0.938333/12)))/((15/12)/2)))*((15/12)/2))))^(2/3)*$H$21^0.5)*(((PI()*(15/12)^2)/4)-(((15/12)/2)^2*((2*ACOS((((15/12)/2)-((15/12)-(15*0.938333/12)))/((15/12)/2)))-SIN(2*ACOS((((15/12)/2)-((15/12)-(15*0.938333/12)))/((15/12)/2))))/2))</f>
        <v>0</v>
      </c>
      <c r="R70" s="141"/>
      <c r="S70" s="141">
        <f>((1.486/Defaults!$M$6)*((((PI()*(18/12)^2)/4)-(((18/12)/2)^2*((2*ACOS((((18/12)/2)-((18/12)-(18*0.938333/12)))/((18/12)/2)))-SIN(2*ACOS((((18/12)/2)-((18/12)-(18*0.938333/12)))/((18/12)/2))))/2))/((PI()*(18/12))-((2*ACOS((((18/12)/2)-((18/12)-(18*0.938333/12)))/((18/12)/2)))*((18/12)/2))))^(2/3)*$H$21^0.5)*(((PI()*(18/12)^2)/4)-(((18/12)/2)^2*((2*ACOS((((18/12)/2)-((18/12)-(18*0.938333/12)))/((18/12)/2)))-SIN(2*ACOS((((18/12)/2)-((18/12)-(18*0.938333/12)))/((18/12)/2))))/2))</f>
        <v>0</v>
      </c>
      <c r="T70" t="e">
        <f>IF(($F$21+$G$21)&lt;=$M70,6,IF(($F$21+$G$21)&lt;=$N70,8,IF(($F$21+$G$21)&lt;=$O70,10,IF(($F$21+$G$21)&lt;=$P70,12,IF(($F$21+$G$21)&lt;=$Q70,15,IF(($F$21+$G$21)&lt;=$S70,18,"Too Large"))))))</f>
        <v>#VALUE!</v>
      </c>
    </row>
    <row r="71" spans="12:20" x14ac:dyDescent="0.2">
      <c r="L71" t="str">
        <f>Defaults!$L$7</f>
        <v>Concrete</v>
      </c>
      <c r="M71" s="141">
        <f>((1.486/Defaults!$M$7)*((((PI()*(6/12)^2)/4)-(((6/12)/2)^2*((2*ACOS((((6/12)/2)-((6/12)-(6*0.938333/12)))/((6/12)/2)))-SIN(2*ACOS((((6/12)/2)-((6/12)-(6*0.938333/12)))/((6/12)/2))))/2))/((PI()*(6/12))-((2*ACOS((((6/12)/2)-((6/12)-(6*0.938333/12)))/((6/12)/2)))*((6/12)/2))))^(2/3)*$H$21^0.5)*(((PI()*(6/12)^2)/4)-(((6/12)/2)^2*((2*ACOS((((6/12)/2)-((6/12)-(6*0.938333/12)))/((6/12)/2)))-SIN(2*ACOS((((6/12)/2)-((6/12)-(6*0.938333/12)))/((6/12)/2))))/2))</f>
        <v>0</v>
      </c>
      <c r="N71" s="141">
        <f>((1.486/Defaults!$M$7)*((((PI()*(8/12)^2)/4)-(((8/12)/2)^2*((2*ACOS((((8/12)/2)-((8/12)-(8*0.938333/12)))/((8/12)/2)))-SIN(2*ACOS((((8/12)/2)-((8/12)-(8*0.938333/12)))/((8/12)/2))))/2))/((PI()*(8/12))-((2*ACOS((((8/12)/2)-((8/12)-(8*0.938333/12)))/((8/12)/2)))*((8/12)/2))))^(2/3)*$H$21^0.5)*(((PI()*(8/12)^2)/4)-(((8/12)/2)^2*((2*ACOS((((8/12)/2)-((8/12)-(8*0.938333/12)))/((8/12)/2)))-SIN(2*ACOS((((8/12)/2)-((8/12)-(8*0.938333/12)))/((8/12)/2))))/2))</f>
        <v>0</v>
      </c>
      <c r="O71" s="141">
        <f>((1.486/Defaults!$M$7)*((((PI()*(10/12)^2)/4)-(((10/12)/2)^2*((2*ACOS((((10/12)/2)-((10/12)-(10*0.938333/12)))/((10/12)/2)))-SIN(2*ACOS((((10/12)/2)-((10/12)-(10*0.938333/12)))/((10/12)/2))))/2))/((PI()*(10/12))-((2*ACOS((((10/12)/2)-((10/12)-(10*0.938333/12)))/((10/12)/2)))*((10/12)/2))))^(2/3)*$H$21^0.5)*(((PI()*(10/12)^2)/4)-(((10/12)/2)^2*((2*ACOS((((10/12)/2)-((10/12)-(10*0.938333/12)))/((10/12)/2)))-SIN(2*ACOS((((10/12)/2)-((10/12)-(10*0.938333/12)))/((10/12)/2))))/2))</f>
        <v>0</v>
      </c>
      <c r="P71" s="141">
        <f>((1.486/Defaults!$M$7)*((((PI()*(12/12)^2)/4)-(((12/12)/2)^2*((2*ACOS((((12/12)/2)-((12/12)-(12*0.938333/12)))/((12/12)/2)))-SIN(2*ACOS((((12/12)/2)-((12/12)-(12*0.938333/12)))/((12/12)/2))))/2))/((PI()*(12/12))-((2*ACOS((((12/12)/2)-((12/12)-(12*0.938333/12)))/((12/12)/2)))*((12/12)/2))))^(2/3)*$H$21^0.5)*(((PI()*(12/12)^2)/4)-(((12/12)/2)^2*((2*ACOS((((12/12)/2)-((12/12)-(12*0.938333/12)))/((12/12)/2)))-SIN(2*ACOS((((12/12)/2)-((12/12)-(12*0.938333/12)))/((12/12)/2))))/2))</f>
        <v>0</v>
      </c>
      <c r="Q71" s="141">
        <f>((1.486/Defaults!$M$7)*((((PI()*(15/12)^2)/4)-(((15/12)/2)^2*((2*ACOS((((15/12)/2)-((15/12)-(15*0.938333/12)))/((15/12)/2)))-SIN(2*ACOS((((15/12)/2)-((15/12)-(15*0.938333/12)))/((15/12)/2))))/2))/((PI()*(15/12))-((2*ACOS((((15/12)/2)-((15/12)-(15*0.938333/12)))/((15/12)/2)))*((15/12)/2))))^(2/3)*$H$21^0.5)*(((PI()*(15/12)^2)/4)-(((15/12)/2)^2*((2*ACOS((((15/12)/2)-((15/12)-(15*0.938333/12)))/((15/12)/2)))-SIN(2*ACOS((((15/12)/2)-((15/12)-(15*0.938333/12)))/((15/12)/2))))/2))</f>
        <v>0</v>
      </c>
      <c r="R71" s="141">
        <f>((1.486/Defaults!$M$7)*((((PI()*(16/12)^2)/4)-(((16/12)/2)^2*((2*ACOS((((16/12)/2)-((16/12)-(16*0.938333/12)))/((16/12)/2)))-SIN(2*ACOS((((16/12)/2)-((16/12)-(16*0.938333/12)))/((16/12)/2))))/2))/((PI()*(16/12))-((2*ACOS((((16/12)/2)-((16/12)-(16*0.938333/12)))/((16/12)/2)))*((16/12)/2))))^(2/3)*$H$21^0.5)*(((PI()*(16/12)^2)/4)-(((16/12)/2)^2*((2*ACOS((((16/12)/2)-((16/12)-(16*0.938333/12)))/((16/12)/2)))-SIN(2*ACOS((((16/12)/2)-((16/12)-(16*0.938333/12)))/((16/12)/2))))/2))</f>
        <v>0</v>
      </c>
      <c r="S71" s="141">
        <f>((1.486/Defaults!$M$7)*((((PI()*(18/12)^2)/4)-(((18/12)/2)^2*((2*ACOS((((18/12)/2)-((18/12)-(18*0.938333/12)))/((18/12)/2)))-SIN(2*ACOS((((18/12)/2)-((18/12)-(18*0.938333/12)))/((18/12)/2))))/2))/((PI()*(18/12))-((2*ACOS((((18/12)/2)-((18/12)-(18*0.938333/12)))/((18/12)/2)))*((18/12)/2))))^(2/3)*$H$21^0.5)*(((PI()*(18/12)^2)/4)-(((18/12)/2)^2*((2*ACOS((((18/12)/2)-((18/12)-(18*0.938333/12)))/((18/12)/2)))-SIN(2*ACOS((((18/12)/2)-((18/12)-(18*0.938333/12)))/((18/12)/2))))/2))</f>
        <v>0</v>
      </c>
      <c r="T71" t="e">
        <f>IF(($F$21+$G$21)&lt;=$M71,6,IF(($F$21+$G$21)&lt;=$N71,8,IF(($F$21+$G$21)&lt;=$O71,10,IF(($F$21+$G$21)&lt;=$P71,12,IF(($F$21+$G$21)&lt;=$Q71,15,IF(($F$21+$G$21)&lt;=$R71,16,IF(($F$21+$G$21)&lt;=$S71,18,"Too Large")))))))</f>
        <v>#VALUE!</v>
      </c>
    </row>
    <row r="73" spans="12:20" x14ac:dyDescent="0.2">
      <c r="M73">
        <v>6</v>
      </c>
      <c r="N73">
        <v>8</v>
      </c>
      <c r="O73">
        <v>10</v>
      </c>
      <c r="P73">
        <v>12</v>
      </c>
      <c r="Q73">
        <v>15</v>
      </c>
      <c r="R73">
        <v>16</v>
      </c>
      <c r="S73">
        <v>18</v>
      </c>
      <c r="T73" s="140" t="s">
        <v>186</v>
      </c>
    </row>
    <row r="74" spans="12:20" x14ac:dyDescent="0.2">
      <c r="L74" t="str">
        <f>Defaults!$L$2</f>
        <v>CPT (Tile)</v>
      </c>
      <c r="M74" s="141">
        <f>((1.486/Defaults!$M$10)*((((PI()*(6/12)^2)/4)-(((6/12)/2)^2*((2*ACOS((((6/12)/2)-((6/12)-(6*0.938333/12)))/((6/12)/2)))-SIN(2*ACOS((((6/12)/2)-((6/12)-(6*0.938333/12)))/((6/12)/2))))/2))/((PI()*(6/12))-((2*ACOS((((6/12)/2)-((6/12)-(6*0.938333/12)))/((6/12)/2)))*((6/12)/2))))^(2/3)*$H$22^0.5)*(((PI()*(6/12)^2)/4)-(((6/12)/2)^2*((2*ACOS((((6/12)/2)-((6/12)-(6*0.938333/12)))/((6/12)/2)))-SIN(2*ACOS((((6/12)/2)-((6/12)-(6*0.938333/12)))/((6/12)/2))))/2))</f>
        <v>0</v>
      </c>
      <c r="N74" s="141">
        <f>((1.486/Defaults!$M$11)*((((PI()*(8/12)^2)/4)-(((8/12)/2)^2*((2*ACOS((((8/12)/2)-((8/12)-(8*0.938333/12)))/((8/12)/2)))-SIN(2*ACOS((((8/12)/2)-((8/12)-(8*0.938333/12)))/((8/12)/2))))/2))/((PI()*(8/12))-((2*ACOS((((8/12)/2)-((8/12)-(8*0.938333/12)))/((8/12)/2)))*((8/12)/2))))^(2/3)*$H$22^0.5)*(((PI()*(8/12)^2)/4)-(((8/12)/2)^2*((2*ACOS((((8/12)/2)-((8/12)-(8*0.938333/12)))/((8/12)/2)))-SIN(2*ACOS((((8/12)/2)-((8/12)-(8*0.938333/12)))/((8/12)/2))))/2))</f>
        <v>0</v>
      </c>
      <c r="O74" s="141">
        <f>((1.486/Defaults!$M$12)*((((PI()*(10/12)^2)/4)-(((10/12)/2)^2*((2*ACOS((((10/12)/2)-((10/12)-(10*0.938333/12)))/((10/12)/2)))-SIN(2*ACOS((((10/12)/2)-((10/12)-(10*0.938333/12)))/((10/12)/2))))/2))/((PI()*(10/12))-((2*ACOS((((10/12)/2)-((10/12)-(10*0.938333/12)))/((10/12)/2)))*((10/12)/2))))^(2/3)*$H$22^0.5)*(((PI()*(10/12)^2)/4)-(((10/12)/2)^2*((2*ACOS((((10/12)/2)-((10/12)-(10*0.938333/12)))/((10/12)/2)))-SIN(2*ACOS((((10/12)/2)-((10/12)-(10*0.938333/12)))/((10/12)/2))))/2))</f>
        <v>0</v>
      </c>
      <c r="P74" s="141">
        <f>((1.486/Defaults!$M$13)*((((PI()*(12/12)^2)/4)-(((12/12)/2)^2*((2*ACOS((((12/12)/2)-((12/12)-(12*0.938333/12)))/((12/12)/2)))-SIN(2*ACOS((((12/12)/2)-((12/12)-(12*0.938333/12)))/((12/12)/2))))/2))/((PI()*(12/12))-((2*ACOS((((12/12)/2)-((12/12)-(12*0.938333/12)))/((12/12)/2)))*((12/12)/2))))^(2/3)*$H$22^0.5)*(((PI()*(12/12)^2)/4)-(((12/12)/2)^2*((2*ACOS((((12/12)/2)-((12/12)-(12*0.938333/12)))/((12/12)/2)))-SIN(2*ACOS((((12/12)/2)-((12/12)-(12*0.938333/12)))/((12/12)/2))))/2))</f>
        <v>0</v>
      </c>
      <c r="Q74" s="141">
        <f>((1.486/Defaults!$M$14)*((((PI()*(15/12)^2)/4)-(((15/12)/2)^2*((2*ACOS((((15/12)/2)-((15/12)-(15*0.938333/12)))/((15/12)/2)))-SIN(2*ACOS((((15/12)/2)-((15/12)-(15*0.938333/12)))/((15/12)/2))))/2))/((PI()*(15/12))-((2*ACOS((((15/12)/2)-((15/12)-(15*0.938333/12)))/((15/12)/2)))*((15/12)/2))))^(2/3)*$H$22^0.5)*(((PI()*(15/12)^2)/4)-(((15/12)/2)^2*((2*ACOS((((15/12)/2)-((15/12)-(15*0.938333/12)))/((15/12)/2)))-SIN(2*ACOS((((15/12)/2)-((15/12)-(15*0.938333/12)))/((15/12)/2))))/2))</f>
        <v>0</v>
      </c>
      <c r="S74" s="141">
        <f>((1.486/Defaults!$M$15)*((((PI()*(18/12)^2)/4)-(((18/12)/2)^2*((2*ACOS((((18/12)/2)-((18/12)-(18*0.938333/12)))/((18/12)/2)))-SIN(2*ACOS((((18/12)/2)-((18/12)-(18*0.938333/12)))/((18/12)/2))))/2))/((PI()*(18/12))-((2*ACOS((((18/12)/2)-((18/12)-(18*0.938333/12)))/((18/12)/2)))*((18/12)/2))))^(2/3)*$H$22^0.5)*(((PI()*(18/12)^2)/4)-(((18/12)/2)^2*((2*ACOS((((18/12)/2)-((18/12)-(18*0.938333/12)))/((18/12)/2)))-SIN(2*ACOS((((18/12)/2)-((18/12)-(18*0.938333/12)))/((18/12)/2))))/2))</f>
        <v>0</v>
      </c>
      <c r="T74" t="e">
        <f>IF(($F$22+$G$22)&lt;=$M74,6,IF(($F$22+$G$22)&lt;=$N74,8,IF(($F$22+$G$22)&lt;=$O74,10,IF(($F$22+$G$22)&lt;=$P74,12,IF(($F$22+$G$22)&lt;=$Q74,15,IF(($F$22+$G$22)&lt;=$S74,18,"Too Large"))))))</f>
        <v>#VALUE!</v>
      </c>
    </row>
    <row r="75" spans="12:20" x14ac:dyDescent="0.2">
      <c r="L75" t="str">
        <f>Defaults!$L$3</f>
        <v>Dual-Wall CPT</v>
      </c>
      <c r="M75" s="141">
        <f>((1.486/Defaults!$M$3)*((((PI()*(6/12)^2)/4)-(((6/12)/2)^2*((2*ACOS((((6/12)/2)-((6/12)-(6*0.938333/12)))/((6/12)/2)))-SIN(2*ACOS((((6/12)/2)-((6/12)-(6*0.938333/12)))/((6/12)/2))))/2))/((PI()*(6/12))-((2*ACOS((((6/12)/2)-((6/12)-(6*0.938333/12)))/((6/12)/2)))*((6/12)/2))))^(2/3)*$H$22^0.5)*(((PI()*(6/12)^2)/4)-(((6/12)/2)^2*((2*ACOS((((6/12)/2)-((6/12)-(6*0.938333/12)))/((6/12)/2)))-SIN(2*ACOS((((6/12)/2)-((6/12)-(6*0.938333/12)))/((6/12)/2))))/2))</f>
        <v>0</v>
      </c>
      <c r="N75" s="141">
        <f>((1.486/Defaults!$M$3)*((((PI()*(8/12)^2)/4)-(((8/12)/2)^2*((2*ACOS((((8/12)/2)-((8/12)-(8*0.938333/12)))/((8/12)/2)))-SIN(2*ACOS((((8/12)/2)-((8/12)-(8*0.938333/12)))/((8/12)/2))))/2))/((PI()*(8/12))-((2*ACOS((((8/12)/2)-((8/12)-(8*0.938333/12)))/((8/12)/2)))*((8/12)/2))))^(2/3)*$H$22^0.5)*(((PI()*(8/12)^2)/4)-(((8/12)/2)^2*((2*ACOS((((8/12)/2)-((8/12)-(8*0.938333/12)))/((8/12)/2)))-SIN(2*ACOS((((8/12)/2)-((8/12)-(8*0.938333/12)))/((8/12)/2))))/2))</f>
        <v>0</v>
      </c>
      <c r="O75" s="141">
        <f>((1.486/Defaults!$M$3)*((((PI()*(10/12)^2)/4)-(((10/12)/2)^2*((2*ACOS((((10/12)/2)-((10/12)-(10*0.938333/12)))/((10/12)/2)))-SIN(2*ACOS((((10/12)/2)-((10/12)-(10*0.938333/12)))/((10/12)/2))))/2))/((PI()*(10/12))-((2*ACOS((((10/12)/2)-((10/12)-(10*0.938333/12)))/((10/12)/2)))*((10/12)/2))))^(2/3)*$H$22^0.5)*(((PI()*(10/12)^2)/4)-(((10/12)/2)^2*((2*ACOS((((10/12)/2)-((10/12)-(10*0.938333/12)))/((10/12)/2)))-SIN(2*ACOS((((10/12)/2)-((10/12)-(10*0.938333/12)))/((10/12)/2))))/2))</f>
        <v>0</v>
      </c>
      <c r="P75" s="141">
        <f>((1.486/Defaults!$M$3)*((((PI()*(12/12)^2)/4)-(((12/12)/2)^2*((2*ACOS((((12/12)/2)-((12/12)-(12*0.938333/12)))/((12/12)/2)))-SIN(2*ACOS((((12/12)/2)-((12/12)-(12*0.938333/12)))/((12/12)/2))))/2))/((PI()*(12/12))-((2*ACOS((((12/12)/2)-((12/12)-(12*0.938333/12)))/((12/12)/2)))*((12/12)/2))))^(2/3)*$H$22^0.5)*(((PI()*(12/12)^2)/4)-(((12/12)/2)^2*((2*ACOS((((12/12)/2)-((12/12)-(12*0.938333/12)))/((12/12)/2)))-SIN(2*ACOS((((12/12)/2)-((12/12)-(12*0.938333/12)))/((12/12)/2))))/2))</f>
        <v>0</v>
      </c>
      <c r="Q75" s="141">
        <f>((1.486/Defaults!$M$3)*((((PI()*(15/12)^2)/4)-(((15/12)/2)^2*((2*ACOS((((15/12)/2)-((15/12)-(15*0.938333/12)))/((15/12)/2)))-SIN(2*ACOS((((15/12)/2)-((15/12)-(15*0.938333/12)))/((15/12)/2))))/2))/((PI()*(15/12))-((2*ACOS((((15/12)/2)-((15/12)-(15*0.938333/12)))/((15/12)/2)))*((15/12)/2))))^(2/3)*$H$22^0.5)*(((PI()*(15/12)^2)/4)-(((15/12)/2)^2*((2*ACOS((((15/12)/2)-((15/12)-(15*0.938333/12)))/((15/12)/2)))-SIN(2*ACOS((((15/12)/2)-((15/12)-(15*0.938333/12)))/((15/12)/2))))/2))</f>
        <v>0</v>
      </c>
      <c r="R75" s="141"/>
      <c r="S75" s="141">
        <f>((1.486/Defaults!$M$3)*((((PI()*(18/12)^2)/4)-(((18/12)/2)^2*((2*ACOS((((18/12)/2)-((18/12)-(18*0.938333/12)))/((18/12)/2)))-SIN(2*ACOS((((18/12)/2)-((18/12)-(18*0.938333/12)))/((18/12)/2))))/2))/((PI()*(18/12))-((2*ACOS((((18/12)/2)-((18/12)-(18*0.938333/12)))/((18/12)/2)))*((18/12)/2))))^(2/3)*$H$22^0.5)*(((PI()*(18/12)^2)/4)-(((18/12)/2)^2*((2*ACOS((((18/12)/2)-((18/12)-(18*0.938333/12)))/((18/12)/2)))-SIN(2*ACOS((((18/12)/2)-((18/12)-(18*0.938333/12)))/((18/12)/2))))/2))</f>
        <v>0</v>
      </c>
      <c r="T75" t="e">
        <f>IF(($F$22+$G$22)&lt;=$M75,6,IF(($F$22+$G$22)&lt;=$N75,8,IF(($F$22+$G$22)&lt;=$O75,10,IF(($F$22+$G$22)&lt;=$P75,12,IF(($F$22+$G$22)&lt;=$Q75,15,IF(($F$22+$G$22)&lt;=$S75,18,"Too Large"))))))</f>
        <v>#VALUE!</v>
      </c>
    </row>
    <row r="76" spans="12:20" x14ac:dyDescent="0.2">
      <c r="L76" t="str">
        <f>Defaults!$L$4</f>
        <v>CMP-Annular</v>
      </c>
      <c r="M76" s="141">
        <f>((1.486/Defaults!$M$4)*((((PI()*(6/12)^2)/4)-(((6/12)/2)^2*((2*ACOS((((6/12)/2)-((6/12)-(6*0.938333/12)))/((6/12)/2)))-SIN(2*ACOS((((6/12)/2)-((6/12)-(6*0.938333/12)))/((6/12)/2))))/2))/((PI()*(6/12))-((2*ACOS((((6/12)/2)-((6/12)-(6*0.938333/12)))/((6/12)/2)))*((6/12)/2))))^(2/3)*$H$22^0.5)*(((PI()*(6/12)^2)/4)-(((6/12)/2)^2*((2*ACOS((((6/12)/2)-((6/12)-(6*0.938333/12)))/((6/12)/2)))-SIN(2*ACOS((((6/12)/2)-((6/12)-(6*0.938333/12)))/((6/12)/2))))/2))</f>
        <v>0</v>
      </c>
      <c r="N76" s="141">
        <f>((1.486/Defaults!$M$4)*((((PI()*(8/12)^2)/4)-(((8/12)/2)^2*((2*ACOS((((8/12)/2)-((8/12)-(8*0.938333/12)))/((8/12)/2)))-SIN(2*ACOS((((8/12)/2)-((8/12)-(8*0.938333/12)))/((8/12)/2))))/2))/((PI()*(8/12))-((2*ACOS((((8/12)/2)-((8/12)-(8*0.938333/12)))/((8/12)/2)))*((8/12)/2))))^(2/3)*$H$22^0.5)*(((PI()*(8/12)^2)/4)-(((8/12)/2)^2*((2*ACOS((((8/12)/2)-((8/12)-(8*0.938333/12)))/((8/12)/2)))-SIN(2*ACOS((((8/12)/2)-((8/12)-(8*0.938333/12)))/((8/12)/2))))/2))</f>
        <v>0</v>
      </c>
      <c r="O76" s="141">
        <f>((1.486/Defaults!$M$4)*((((PI()*(10/12)^2)/4)-(((10/12)/2)^2*((2*ACOS((((10/12)/2)-((10/12)-(10*0.938333/12)))/((10/12)/2)))-SIN(2*ACOS((((10/12)/2)-((10/12)-(10*0.938333/12)))/((10/12)/2))))/2))/((PI()*(10/12))-((2*ACOS((((10/12)/2)-((10/12)-(10*0.938333/12)))/((10/12)/2)))*((10/12)/2))))^(2/3)*$H$22^0.5)*(((PI()*(10/12)^2)/4)-(((10/12)/2)^2*((2*ACOS((((10/12)/2)-((10/12)-(10*0.938333/12)))/((10/12)/2)))-SIN(2*ACOS((((10/12)/2)-((10/12)-(10*0.938333/12)))/((10/12)/2))))/2))</f>
        <v>0</v>
      </c>
      <c r="P76" s="141">
        <f>((1.486/Defaults!$M$4)*((((PI()*(12/12)^2)/4)-(((12/12)/2)^2*((2*ACOS((((12/12)/2)-((12/12)-(12*0.938333/12)))/((12/12)/2)))-SIN(2*ACOS((((12/12)/2)-((12/12)-(12*0.938333/12)))/((12/12)/2))))/2))/((PI()*(12/12))-((2*ACOS((((12/12)/2)-((12/12)-(12*0.938333/12)))/((12/12)/2)))*((12/12)/2))))^(2/3)*$H$22^0.5)*(((PI()*(12/12)^2)/4)-(((12/12)/2)^2*((2*ACOS((((12/12)/2)-((12/12)-(12*0.938333/12)))/((12/12)/2)))-SIN(2*ACOS((((12/12)/2)-((12/12)-(12*0.938333/12)))/((12/12)/2))))/2))</f>
        <v>0</v>
      </c>
      <c r="Q76" s="141">
        <f>((1.486/Defaults!$M$4)*((((PI()*(15/12)^2)/4)-(((15/12)/2)^2*((2*ACOS((((15/12)/2)-((15/12)-(15*0.938333/12)))/((15/12)/2)))-SIN(2*ACOS((((15/12)/2)-((15/12)-(15*0.938333/12)))/((15/12)/2))))/2))/((PI()*(15/12))-((2*ACOS((((15/12)/2)-((15/12)-(15*0.938333/12)))/((15/12)/2)))*((15/12)/2))))^(2/3)*$H$22^0.5)*(((PI()*(15/12)^2)/4)-(((15/12)/2)^2*((2*ACOS((((15/12)/2)-((15/12)-(15*0.938333/12)))/((15/12)/2)))-SIN(2*ACOS((((15/12)/2)-((15/12)-(15*0.938333/12)))/((15/12)/2))))/2))</f>
        <v>0</v>
      </c>
      <c r="R76" s="141"/>
      <c r="S76" s="141">
        <f>((1.486/Defaults!$M$4)*((((PI()*(18/12)^2)/4)-(((18/12)/2)^2*((2*ACOS((((18/12)/2)-((18/12)-(18*0.938333/12)))/((18/12)/2)))-SIN(2*ACOS((((18/12)/2)-((18/12)-(18*0.938333/12)))/((18/12)/2))))/2))/((PI()*(18/12))-((2*ACOS((((18/12)/2)-((18/12)-(18*0.938333/12)))/((18/12)/2)))*((18/12)/2))))^(2/3)*$H$22^0.5)*(((PI()*(18/12)^2)/4)-(((18/12)/2)^2*((2*ACOS((((18/12)/2)-((18/12)-(18*0.938333/12)))/((18/12)/2)))-SIN(2*ACOS((((18/12)/2)-((18/12)-(18*0.938333/12)))/((18/12)/2))))/2))</f>
        <v>0</v>
      </c>
      <c r="T76" t="e">
        <f>IF(($F$22+$G$22)&lt;=$M76,6,IF(($F$22+$G$22)&lt;=$N76,8,IF(($F$22+$G$22)&lt;=$O76,10,IF(($F$22+$G$22)&lt;=$P76,12,IF(($F$22+$G$22)&lt;=$Q76,15,IF(($F$22+$G$22)&lt;=$S76,18,"Too Large"))))))</f>
        <v>#VALUE!</v>
      </c>
    </row>
    <row r="77" spans="12:20" x14ac:dyDescent="0.2">
      <c r="L77" t="str">
        <f>Defaults!$L$5</f>
        <v>CMP-Helical</v>
      </c>
      <c r="M77" s="141">
        <f>((1.486/Defaults!$M$5)*((((PI()*(6/12)^2)/4)-(((6/12)/2)^2*((2*ACOS((((6/12)/2)-((6/12)-(6*0.938333/12)))/((6/12)/2)))-SIN(2*ACOS((((6/12)/2)-((6/12)-(6*0.938333/12)))/((6/12)/2))))/2))/((PI()*(6/12))-((2*ACOS((((6/12)/2)-((6/12)-(6*0.938333/12)))/((6/12)/2)))*((6/12)/2))))^(2/3)*$H$22^0.5)*(((PI()*(6/12)^2)/4)-(((6/12)/2)^2*((2*ACOS((((6/12)/2)-((6/12)-(6*0.938333/12)))/((6/12)/2)))-SIN(2*ACOS((((6/12)/2)-((6/12)-(6*0.938333/12)))/((6/12)/2))))/2))</f>
        <v>0</v>
      </c>
      <c r="N77" s="141">
        <f>((1.486/Defaults!$M$5)*((((PI()*(8/12)^2)/4)-(((8/12)/2)^2*((2*ACOS((((8/12)/2)-((8/12)-(8*0.938333/12)))/((8/12)/2)))-SIN(2*ACOS((((8/12)/2)-((8/12)-(8*0.938333/12)))/((8/12)/2))))/2))/((PI()*(8/12))-((2*ACOS((((8/12)/2)-((8/12)-(8*0.938333/12)))/((8/12)/2)))*((8/12)/2))))^(2/3)*$H$22^0.5)*(((PI()*(8/12)^2)/4)-(((8/12)/2)^2*((2*ACOS((((8/12)/2)-((8/12)-(8*0.938333/12)))/((8/12)/2)))-SIN(2*ACOS((((8/12)/2)-((8/12)-(8*0.938333/12)))/((8/12)/2))))/2))</f>
        <v>0</v>
      </c>
      <c r="O77" s="141">
        <f>((1.486/Defaults!$M$5)*((((PI()*(10/12)^2)/4)-(((10/12)/2)^2*((2*ACOS((((10/12)/2)-((10/12)-(10*0.938333/12)))/((10/12)/2)))-SIN(2*ACOS((((10/12)/2)-((10/12)-(10*0.938333/12)))/((10/12)/2))))/2))/((PI()*(10/12))-((2*ACOS((((10/12)/2)-((10/12)-(10*0.938333/12)))/((10/12)/2)))*((10/12)/2))))^(2/3)*$H$22^0.5)*(((PI()*(10/12)^2)/4)-(((10/12)/2)^2*((2*ACOS((((10/12)/2)-((10/12)-(10*0.938333/12)))/((10/12)/2)))-SIN(2*ACOS((((10/12)/2)-((10/12)-(10*0.938333/12)))/((10/12)/2))))/2))</f>
        <v>0</v>
      </c>
      <c r="P77" s="141">
        <f>((1.486/Defaults!$M$5)*((((PI()*(12/12)^2)/4)-(((12/12)/2)^2*((2*ACOS((((12/12)/2)-((12/12)-(12*0.938333/12)))/((12/12)/2)))-SIN(2*ACOS((((12/12)/2)-((12/12)-(12*0.938333/12)))/((12/12)/2))))/2))/((PI()*(12/12))-((2*ACOS((((12/12)/2)-((12/12)-(12*0.938333/12)))/((12/12)/2)))*((12/12)/2))))^(2/3)*$H$22^0.5)*(((PI()*(12/12)^2)/4)-(((12/12)/2)^2*((2*ACOS((((12/12)/2)-((12/12)-(12*0.938333/12)))/((12/12)/2)))-SIN(2*ACOS((((12/12)/2)-((12/12)-(12*0.938333/12)))/((12/12)/2))))/2))</f>
        <v>0</v>
      </c>
      <c r="Q77" s="141">
        <f>((1.486/Defaults!$M$5)*((((PI()*(15/12)^2)/4)-(((15/12)/2)^2*((2*ACOS((((15/12)/2)-((15/12)-(15*0.938333/12)))/((15/12)/2)))-SIN(2*ACOS((((15/12)/2)-((15/12)-(15*0.938333/12)))/((15/12)/2))))/2))/((PI()*(15/12))-((2*ACOS((((15/12)/2)-((15/12)-(15*0.938333/12)))/((15/12)/2)))*((15/12)/2))))^(2/3)*$H$22^0.5)*(((PI()*(15/12)^2)/4)-(((15/12)/2)^2*((2*ACOS((((15/12)/2)-((15/12)-(15*0.938333/12)))/((15/12)/2)))-SIN(2*ACOS((((15/12)/2)-((15/12)-(15*0.938333/12)))/((15/12)/2))))/2))</f>
        <v>0</v>
      </c>
      <c r="R77" s="141"/>
      <c r="S77" s="141">
        <f>((1.486/Defaults!$M$5)*((((PI()*(18/12)^2)/4)-(((18/12)/2)^2*((2*ACOS((((18/12)/2)-((18/12)-(18*0.938333/12)))/((18/12)/2)))-SIN(2*ACOS((((18/12)/2)-((18/12)-(18*0.938333/12)))/((18/12)/2))))/2))/((PI()*(18/12))-((2*ACOS((((18/12)/2)-((18/12)-(18*0.938333/12)))/((18/12)/2)))*((18/12)/2))))^(2/3)*$H$22^0.5)*(((PI()*(18/12)^2)/4)-(((18/12)/2)^2*((2*ACOS((((18/12)/2)-((18/12)-(18*0.938333/12)))/((18/12)/2)))-SIN(2*ACOS((((18/12)/2)-((18/12)-(18*0.938333/12)))/((18/12)/2))))/2))</f>
        <v>0</v>
      </c>
      <c r="T77" t="e">
        <f>IF(($F$22+$G$22)&lt;=$M77,6,IF(($F$22+$G$22)&lt;=$N77,8,IF(($F$22+$G$22)&lt;=$O77,10,IF(($F$22+$G$22)&lt;=$P77,12,IF(($F$22+$G$22)&lt;=$Q77,15,IF(($F$22+$G$22)&lt;=$S77,18,"Too Large"))))))</f>
        <v>#VALUE!</v>
      </c>
    </row>
    <row r="78" spans="12:20" x14ac:dyDescent="0.2">
      <c r="L78" s="93" t="str">
        <f>Defaults!$L$6</f>
        <v>PVC</v>
      </c>
      <c r="M78" s="141">
        <f>((1.486/Defaults!$M$6)*((((PI()*(6/12)^2)/4)-(((6/12)/2)^2*((2*ACOS((((6/12)/2)-((6/12)-(6*0.938333/12)))/((6/12)/2)))-SIN(2*ACOS((((6/12)/2)-((6/12)-(6*0.938333/12)))/((6/12)/2))))/2))/((PI()*(6/12))-((2*ACOS((((6/12)/2)-((6/12)-(6*0.938333/12)))/((6/12)/2)))*((6/12)/2))))^(2/3)*$H$22^0.5)*(((PI()*(6/12)^2)/4)-(((6/12)/2)^2*((2*ACOS((((6/12)/2)-((6/12)-(6*0.938333/12)))/((6/12)/2)))-SIN(2*ACOS((((6/12)/2)-((6/12)-(6*0.938333/12)))/((6/12)/2))))/2))</f>
        <v>0</v>
      </c>
      <c r="N78" s="141">
        <f>((1.486/Defaults!$M$6)*((((PI()*(8/12)^2)/4)-(((8/12)/2)^2*((2*ACOS((((8/12)/2)-((8/12)-(8*0.938333/12)))/((8/12)/2)))-SIN(2*ACOS((((8/12)/2)-((8/12)-(8*0.938333/12)))/((8/12)/2))))/2))/((PI()*(8/12))-((2*ACOS((((8/12)/2)-((8/12)-(8*0.938333/12)))/((8/12)/2)))*((8/12)/2))))^(2/3)*$H$22^0.5)*(((PI()*(8/12)^2)/4)-(((8/12)/2)^2*((2*ACOS((((8/12)/2)-((8/12)-(8*0.938333/12)))/((8/12)/2)))-SIN(2*ACOS((((8/12)/2)-((8/12)-(8*0.938333/12)))/((8/12)/2))))/2))</f>
        <v>0</v>
      </c>
      <c r="O78" s="141">
        <f>((1.486/Defaults!$M$6)*((((PI()*(10/12)^2)/4)-(((10/12)/2)^2*((2*ACOS((((10/12)/2)-((10/12)-(10*0.938333/12)))/((10/12)/2)))-SIN(2*ACOS((((10/12)/2)-((10/12)-(10*0.938333/12)))/((10/12)/2))))/2))/((PI()*(10/12))-((2*ACOS((((10/12)/2)-((10/12)-(10*0.938333/12)))/((10/12)/2)))*((10/12)/2))))^(2/3)*$H$22^0.5)*(((PI()*(10/12)^2)/4)-(((10/12)/2)^2*((2*ACOS((((10/12)/2)-((10/12)-(10*0.938333/12)))/((10/12)/2)))-SIN(2*ACOS((((10/12)/2)-((10/12)-(10*0.938333/12)))/((10/12)/2))))/2))</f>
        <v>0</v>
      </c>
      <c r="P78" s="141">
        <f>((1.486/Defaults!$M$6)*((((PI()*(12/12)^2)/4)-(((12/12)/2)^2*((2*ACOS((((12/12)/2)-((12/12)-(12*0.938333/12)))/((12/12)/2)))-SIN(2*ACOS((((12/12)/2)-((12/12)-(12*0.938333/12)))/((12/12)/2))))/2))/((PI()*(12/12))-((2*ACOS((((12/12)/2)-((12/12)-(12*0.938333/12)))/((12/12)/2)))*((12/12)/2))))^(2/3)*$H$22^0.5)*(((PI()*(12/12)^2)/4)-(((12/12)/2)^2*((2*ACOS((((12/12)/2)-((12/12)-(12*0.938333/12)))/((12/12)/2)))-SIN(2*ACOS((((12/12)/2)-((12/12)-(12*0.938333/12)))/((12/12)/2))))/2))</f>
        <v>0</v>
      </c>
      <c r="Q78" s="141">
        <f>((1.486/Defaults!$M$6)*((((PI()*(15/12)^2)/4)-(((15/12)/2)^2*((2*ACOS((((15/12)/2)-((15/12)-(15*0.938333/12)))/((15/12)/2)))-SIN(2*ACOS((((15/12)/2)-((15/12)-(15*0.938333/12)))/((15/12)/2))))/2))/((PI()*(15/12))-((2*ACOS((((15/12)/2)-((15/12)-(15*0.938333/12)))/((15/12)/2)))*((15/12)/2))))^(2/3)*$H$22^0.5)*(((PI()*(15/12)^2)/4)-(((15/12)/2)^2*((2*ACOS((((15/12)/2)-((15/12)-(15*0.938333/12)))/((15/12)/2)))-SIN(2*ACOS((((15/12)/2)-((15/12)-(15*0.938333/12)))/((15/12)/2))))/2))</f>
        <v>0</v>
      </c>
      <c r="R78" s="141"/>
      <c r="S78" s="141">
        <f>((1.486/Defaults!$M$6)*((((PI()*(18/12)^2)/4)-(((18/12)/2)^2*((2*ACOS((((18/12)/2)-((18/12)-(18*0.938333/12)))/((18/12)/2)))-SIN(2*ACOS((((18/12)/2)-((18/12)-(18*0.938333/12)))/((18/12)/2))))/2))/((PI()*(18/12))-((2*ACOS((((18/12)/2)-((18/12)-(18*0.938333/12)))/((18/12)/2)))*((18/12)/2))))^(2/3)*$H$22^0.5)*(((PI()*(18/12)^2)/4)-(((18/12)/2)^2*((2*ACOS((((18/12)/2)-((18/12)-(18*0.938333/12)))/((18/12)/2)))-SIN(2*ACOS((((18/12)/2)-((18/12)-(18*0.938333/12)))/((18/12)/2))))/2))</f>
        <v>0</v>
      </c>
      <c r="T78" t="e">
        <f>IF(($F$22+$G$22)&lt;=$M78,6,IF(($F$22+$G$22)&lt;=$N78,8,IF(($F$22+$G$22)&lt;=$O78,10,IF(($F$22+$G$22)&lt;=$P78,12,IF(($F$22+$G$22)&lt;=$Q78,15,IF(($F$22+$G$22)&lt;=$S78,18,"Too Large"))))))</f>
        <v>#VALUE!</v>
      </c>
    </row>
    <row r="79" spans="12:20" x14ac:dyDescent="0.2">
      <c r="L79" t="str">
        <f>Defaults!$L$7</f>
        <v>Concrete</v>
      </c>
      <c r="M79" s="141">
        <f>((1.486/Defaults!$M$7)*((((PI()*(6/12)^2)/4)-(((6/12)/2)^2*((2*ACOS((((6/12)/2)-((6/12)-(6*0.938333/12)))/((6/12)/2)))-SIN(2*ACOS((((6/12)/2)-((6/12)-(6*0.938333/12)))/((6/12)/2))))/2))/((PI()*(6/12))-((2*ACOS((((6/12)/2)-((6/12)-(6*0.938333/12)))/((6/12)/2)))*((6/12)/2))))^(2/3)*$H$22^0.5)*(((PI()*(6/12)^2)/4)-(((6/12)/2)^2*((2*ACOS((((6/12)/2)-((6/12)-(6*0.938333/12)))/((6/12)/2)))-SIN(2*ACOS((((6/12)/2)-((6/12)-(6*0.938333/12)))/((6/12)/2))))/2))</f>
        <v>0</v>
      </c>
      <c r="N79" s="141">
        <f>((1.486/Defaults!$M$7)*((((PI()*(8/12)^2)/4)-(((8/12)/2)^2*((2*ACOS((((8/12)/2)-((8/12)-(8*0.938333/12)))/((8/12)/2)))-SIN(2*ACOS((((8/12)/2)-((8/12)-(8*0.938333/12)))/((8/12)/2))))/2))/((PI()*(8/12))-((2*ACOS((((8/12)/2)-((8/12)-(8*0.938333/12)))/((8/12)/2)))*((8/12)/2))))^(2/3)*$H$22^0.5)*(((PI()*(8/12)^2)/4)-(((8/12)/2)^2*((2*ACOS((((8/12)/2)-((8/12)-(8*0.938333/12)))/((8/12)/2)))-SIN(2*ACOS((((8/12)/2)-((8/12)-(8*0.938333/12)))/((8/12)/2))))/2))</f>
        <v>0</v>
      </c>
      <c r="O79" s="141">
        <f>((1.486/Defaults!$M$7)*((((PI()*(10/12)^2)/4)-(((10/12)/2)^2*((2*ACOS((((10/12)/2)-((10/12)-(10*0.938333/12)))/((10/12)/2)))-SIN(2*ACOS((((10/12)/2)-((10/12)-(10*0.938333/12)))/((10/12)/2))))/2))/((PI()*(10/12))-((2*ACOS((((10/12)/2)-((10/12)-(10*0.938333/12)))/((10/12)/2)))*((10/12)/2))))^(2/3)*$H$22^0.5)*(((PI()*(10/12)^2)/4)-(((10/12)/2)^2*((2*ACOS((((10/12)/2)-((10/12)-(10*0.938333/12)))/((10/12)/2)))-SIN(2*ACOS((((10/12)/2)-((10/12)-(10*0.938333/12)))/((10/12)/2))))/2))</f>
        <v>0</v>
      </c>
      <c r="P79" s="141">
        <f>((1.486/Defaults!$M$7)*((((PI()*(12/12)^2)/4)-(((12/12)/2)^2*((2*ACOS((((12/12)/2)-((12/12)-(12*0.938333/12)))/((12/12)/2)))-SIN(2*ACOS((((12/12)/2)-((12/12)-(12*0.938333/12)))/((12/12)/2))))/2))/((PI()*(12/12))-((2*ACOS((((12/12)/2)-((12/12)-(12*0.938333/12)))/((12/12)/2)))*((12/12)/2))))^(2/3)*$H$22^0.5)*(((PI()*(12/12)^2)/4)-(((12/12)/2)^2*((2*ACOS((((12/12)/2)-((12/12)-(12*0.938333/12)))/((12/12)/2)))-SIN(2*ACOS((((12/12)/2)-((12/12)-(12*0.938333/12)))/((12/12)/2))))/2))</f>
        <v>0</v>
      </c>
      <c r="Q79" s="141">
        <f>((1.486/Defaults!$M$7)*((((PI()*(15/12)^2)/4)-(((15/12)/2)^2*((2*ACOS((((15/12)/2)-((15/12)-(15*0.938333/12)))/((15/12)/2)))-SIN(2*ACOS((((15/12)/2)-((15/12)-(15*0.938333/12)))/((15/12)/2))))/2))/((PI()*(15/12))-((2*ACOS((((15/12)/2)-((15/12)-(15*0.938333/12)))/((15/12)/2)))*((15/12)/2))))^(2/3)*$H$22^0.5)*(((PI()*(15/12)^2)/4)-(((15/12)/2)^2*((2*ACOS((((15/12)/2)-((15/12)-(15*0.938333/12)))/((15/12)/2)))-SIN(2*ACOS((((15/12)/2)-((15/12)-(15*0.938333/12)))/((15/12)/2))))/2))</f>
        <v>0</v>
      </c>
      <c r="R79" s="141">
        <f>((1.486/Defaults!$M$7)*((((PI()*(16/12)^2)/4)-(((16/12)/2)^2*((2*ACOS((((16/12)/2)-((16/12)-(16*0.938333/12)))/((16/12)/2)))-SIN(2*ACOS((((16/12)/2)-((16/12)-(16*0.938333/12)))/((16/12)/2))))/2))/((PI()*(16/12))-((2*ACOS((((16/12)/2)-((16/12)-(16*0.938333/12)))/((16/12)/2)))*((16/12)/2))))^(2/3)*$H$22^0.5)*(((PI()*(16/12)^2)/4)-(((16/12)/2)^2*((2*ACOS((((16/12)/2)-((16/12)-(16*0.938333/12)))/((16/12)/2)))-SIN(2*ACOS((((16/12)/2)-((16/12)-(16*0.938333/12)))/((16/12)/2))))/2))</f>
        <v>0</v>
      </c>
      <c r="S79" s="141">
        <f>((1.486/Defaults!$M$7)*((((PI()*(18/12)^2)/4)-(((18/12)/2)^2*((2*ACOS((((18/12)/2)-((18/12)-(18*0.938333/12)))/((18/12)/2)))-SIN(2*ACOS((((18/12)/2)-((18/12)-(18*0.938333/12)))/((18/12)/2))))/2))/((PI()*(18/12))-((2*ACOS((((18/12)/2)-((18/12)-(18*0.938333/12)))/((18/12)/2)))*((18/12)/2))))^(2/3)*$H$22^0.5)*(((PI()*(18/12)^2)/4)-(((18/12)/2)^2*((2*ACOS((((18/12)/2)-((18/12)-(18*0.938333/12)))/((18/12)/2)))-SIN(2*ACOS((((18/12)/2)-((18/12)-(18*0.938333/12)))/((18/12)/2))))/2))</f>
        <v>0</v>
      </c>
      <c r="T79" t="e">
        <f>IF(($F$22+$G$22)&lt;=$M79,6,IF(($F$22+$G$22)&lt;=$N79,8,IF(($F$22+$G$22)&lt;=$O79,10,IF(($F$22+$G$22)&lt;=$P79,12,IF(($F$22+$G$22)&lt;=$Q79,15,IF(($F$22+$G$22)&lt;=$R79,16,IF(($F$22+$G$22)&lt;=$S79,18,"Too Large")))))))</f>
        <v>#VALUE!</v>
      </c>
    </row>
    <row r="81" spans="12:20" x14ac:dyDescent="0.2">
      <c r="M81">
        <v>6</v>
      </c>
      <c r="N81">
        <v>8</v>
      </c>
      <c r="O81">
        <v>10</v>
      </c>
      <c r="P81">
        <v>12</v>
      </c>
      <c r="Q81">
        <v>15</v>
      </c>
      <c r="R81">
        <v>16</v>
      </c>
      <c r="S81">
        <v>18</v>
      </c>
      <c r="T81" s="140" t="s">
        <v>186</v>
      </c>
    </row>
    <row r="82" spans="12:20" x14ac:dyDescent="0.2">
      <c r="L82" t="str">
        <f>Defaults!$L$2</f>
        <v>CPT (Tile)</v>
      </c>
      <c r="M82" s="141">
        <f>((1.486/Defaults!$M$10)*((((PI()*(6/12)^2)/4)-(((6/12)/2)^2*((2*ACOS((((6/12)/2)-((6/12)-(6*0.938333/12)))/((6/12)/2)))-SIN(2*ACOS((((6/12)/2)-((6/12)-(6*0.938333/12)))/((6/12)/2))))/2))/((PI()*(6/12))-((2*ACOS((((6/12)/2)-((6/12)-(6*0.938333/12)))/((6/12)/2)))*((6/12)/2))))^(2/3)*$H$23^0.5)*(((PI()*(6/12)^2)/4)-(((6/12)/2)^2*((2*ACOS((((6/12)/2)-((6/12)-(6*0.938333/12)))/((6/12)/2)))-SIN(2*ACOS((((6/12)/2)-((6/12)-(6*0.938333/12)))/((6/12)/2))))/2))</f>
        <v>0</v>
      </c>
      <c r="N82" s="141">
        <f>((1.486/Defaults!$M$11)*((((PI()*(8/12)^2)/4)-(((8/12)/2)^2*((2*ACOS((((8/12)/2)-((8/12)-(8*0.938333/12)))/((8/12)/2)))-SIN(2*ACOS((((8/12)/2)-((8/12)-(8*0.938333/12)))/((8/12)/2))))/2))/((PI()*(8/12))-((2*ACOS((((8/12)/2)-((8/12)-(8*0.938333/12)))/((8/12)/2)))*((8/12)/2))))^(2/3)*$H$23^0.5)*(((PI()*(8/12)^2)/4)-(((8/12)/2)^2*((2*ACOS((((8/12)/2)-((8/12)-(8*0.938333/12)))/((8/12)/2)))-SIN(2*ACOS((((8/12)/2)-((8/12)-(8*0.938333/12)))/((8/12)/2))))/2))</f>
        <v>0</v>
      </c>
      <c r="O82" s="141">
        <f>((1.486/Defaults!$M$12)*((((PI()*(10/12)^2)/4)-(((10/12)/2)^2*((2*ACOS((((10/12)/2)-((10/12)-(10*0.938333/12)))/((10/12)/2)))-SIN(2*ACOS((((10/12)/2)-((10/12)-(10*0.938333/12)))/((10/12)/2))))/2))/((PI()*(10/12))-((2*ACOS((((10/12)/2)-((10/12)-(10*0.938333/12)))/((10/12)/2)))*((10/12)/2))))^(2/3)*$H$23^0.5)*(((PI()*(10/12)^2)/4)-(((10/12)/2)^2*((2*ACOS((((10/12)/2)-((10/12)-(10*0.938333/12)))/((10/12)/2)))-SIN(2*ACOS((((10/12)/2)-((10/12)-(10*0.938333/12)))/((10/12)/2))))/2))</f>
        <v>0</v>
      </c>
      <c r="P82" s="141">
        <f>((1.486/Defaults!$M$13)*((((PI()*(12/12)^2)/4)-(((12/12)/2)^2*((2*ACOS((((12/12)/2)-((12/12)-(12*0.938333/12)))/((12/12)/2)))-SIN(2*ACOS((((12/12)/2)-((12/12)-(12*0.938333/12)))/((12/12)/2))))/2))/((PI()*(12/12))-((2*ACOS((((12/12)/2)-((12/12)-(12*0.938333/12)))/((12/12)/2)))*((12/12)/2))))^(2/3)*$H$23^0.5)*(((PI()*(12/12)^2)/4)-(((12/12)/2)^2*((2*ACOS((((12/12)/2)-((12/12)-(12*0.938333/12)))/((12/12)/2)))-SIN(2*ACOS((((12/12)/2)-((12/12)-(12*0.938333/12)))/((12/12)/2))))/2))</f>
        <v>0</v>
      </c>
      <c r="Q82" s="141">
        <f>((1.486/Defaults!$M$14)*((((PI()*(15/12)^2)/4)-(((15/12)/2)^2*((2*ACOS((((15/12)/2)-((15/12)-(15*0.938333/12)))/((15/12)/2)))-SIN(2*ACOS((((15/12)/2)-((15/12)-(15*0.938333/12)))/((15/12)/2))))/2))/((PI()*(15/12))-((2*ACOS((((15/12)/2)-((15/12)-(15*0.938333/12)))/((15/12)/2)))*((15/12)/2))))^(2/3)*$H$23^0.5)*(((PI()*(15/12)^2)/4)-(((15/12)/2)^2*((2*ACOS((((15/12)/2)-((15/12)-(15*0.938333/12)))/((15/12)/2)))-SIN(2*ACOS((((15/12)/2)-((15/12)-(15*0.938333/12)))/((15/12)/2))))/2))</f>
        <v>0</v>
      </c>
      <c r="S82" s="141">
        <f>((1.486/Defaults!$M$15)*((((PI()*(18/12)^2)/4)-(((18/12)/2)^2*((2*ACOS((((18/12)/2)-((18/12)-(18*0.938333/12)))/((18/12)/2)))-SIN(2*ACOS((((18/12)/2)-((18/12)-(18*0.938333/12)))/((18/12)/2))))/2))/((PI()*(18/12))-((2*ACOS((((18/12)/2)-((18/12)-(18*0.938333/12)))/((18/12)/2)))*((18/12)/2))))^(2/3)*$H$23^0.5)*(((PI()*(18/12)^2)/4)-(((18/12)/2)^2*((2*ACOS((((18/12)/2)-((18/12)-(18*0.938333/12)))/((18/12)/2)))-SIN(2*ACOS((((18/12)/2)-((18/12)-(18*0.938333/12)))/((18/12)/2))))/2))</f>
        <v>0</v>
      </c>
      <c r="T82" t="e">
        <f>IF(($F$23+$G$23)&lt;=$M82,6,IF(($F$23+$G$23)&lt;=$N82,8,IF(($F$23+$G$23)&lt;=$O82,10,IF(($F$23+$G$23)&lt;=$P82,12,IF(($F$23+$G$23)&lt;=$Q82,15,IF(($F$23+$G$23)&lt;=$S82,18,"Too Large"))))))</f>
        <v>#VALUE!</v>
      </c>
    </row>
    <row r="83" spans="12:20" x14ac:dyDescent="0.2">
      <c r="L83" t="str">
        <f>Defaults!$L$3</f>
        <v>Dual-Wall CPT</v>
      </c>
      <c r="M83" s="141">
        <f>((1.486/Defaults!$M$3)*((((PI()*(6/12)^2)/4)-(((6/12)/2)^2*((2*ACOS((((6/12)/2)-((6/12)-(6*0.938333/12)))/((6/12)/2)))-SIN(2*ACOS((((6/12)/2)-((6/12)-(6*0.938333/12)))/((6/12)/2))))/2))/((PI()*(6/12))-((2*ACOS((((6/12)/2)-((6/12)-(6*0.938333/12)))/((6/12)/2)))*((6/12)/2))))^(2/3)*$H$23^0.5)*(((PI()*(6/12)^2)/4)-(((6/12)/2)^2*((2*ACOS((((6/12)/2)-((6/12)-(6*0.938333/12)))/((6/12)/2)))-SIN(2*ACOS((((6/12)/2)-((6/12)-(6*0.938333/12)))/((6/12)/2))))/2))</f>
        <v>0</v>
      </c>
      <c r="N83" s="141">
        <f>((1.486/Defaults!$M$3)*((((PI()*(8/12)^2)/4)-(((8/12)/2)^2*((2*ACOS((((8/12)/2)-((8/12)-(8*0.938333/12)))/((8/12)/2)))-SIN(2*ACOS((((8/12)/2)-((8/12)-(8*0.938333/12)))/((8/12)/2))))/2))/((PI()*(8/12))-((2*ACOS((((8/12)/2)-((8/12)-(8*0.938333/12)))/((8/12)/2)))*((8/12)/2))))^(2/3)*$H$23^0.5)*(((PI()*(8/12)^2)/4)-(((8/12)/2)^2*((2*ACOS((((8/12)/2)-((8/12)-(8*0.938333/12)))/((8/12)/2)))-SIN(2*ACOS((((8/12)/2)-((8/12)-(8*0.938333/12)))/((8/12)/2))))/2))</f>
        <v>0</v>
      </c>
      <c r="O83" s="141">
        <f>((1.486/Defaults!$M$3)*((((PI()*(10/12)^2)/4)-(((10/12)/2)^2*((2*ACOS((((10/12)/2)-((10/12)-(10*0.938333/12)))/((10/12)/2)))-SIN(2*ACOS((((10/12)/2)-((10/12)-(10*0.938333/12)))/((10/12)/2))))/2))/((PI()*(10/12))-((2*ACOS((((10/12)/2)-((10/12)-(10*0.938333/12)))/((10/12)/2)))*((10/12)/2))))^(2/3)*$H$23^0.5)*(((PI()*(10/12)^2)/4)-(((10/12)/2)^2*((2*ACOS((((10/12)/2)-((10/12)-(10*0.938333/12)))/((10/12)/2)))-SIN(2*ACOS((((10/12)/2)-((10/12)-(10*0.938333/12)))/((10/12)/2))))/2))</f>
        <v>0</v>
      </c>
      <c r="P83" s="141">
        <f>((1.486/Defaults!$M$3)*((((PI()*(12/12)^2)/4)-(((12/12)/2)^2*((2*ACOS((((12/12)/2)-((12/12)-(12*0.938333/12)))/((12/12)/2)))-SIN(2*ACOS((((12/12)/2)-((12/12)-(12*0.938333/12)))/((12/12)/2))))/2))/((PI()*(12/12))-((2*ACOS((((12/12)/2)-((12/12)-(12*0.938333/12)))/((12/12)/2)))*((12/12)/2))))^(2/3)*$H$23^0.5)*(((PI()*(12/12)^2)/4)-(((12/12)/2)^2*((2*ACOS((((12/12)/2)-((12/12)-(12*0.938333/12)))/((12/12)/2)))-SIN(2*ACOS((((12/12)/2)-((12/12)-(12*0.938333/12)))/((12/12)/2))))/2))</f>
        <v>0</v>
      </c>
      <c r="Q83" s="141">
        <f>((1.486/Defaults!$M$3)*((((PI()*(15/12)^2)/4)-(((15/12)/2)^2*((2*ACOS((((15/12)/2)-((15/12)-(15*0.938333/12)))/((15/12)/2)))-SIN(2*ACOS((((15/12)/2)-((15/12)-(15*0.938333/12)))/((15/12)/2))))/2))/((PI()*(15/12))-((2*ACOS((((15/12)/2)-((15/12)-(15*0.938333/12)))/((15/12)/2)))*((15/12)/2))))^(2/3)*$H$23^0.5)*(((PI()*(15/12)^2)/4)-(((15/12)/2)^2*((2*ACOS((((15/12)/2)-((15/12)-(15*0.938333/12)))/((15/12)/2)))-SIN(2*ACOS((((15/12)/2)-((15/12)-(15*0.938333/12)))/((15/12)/2))))/2))</f>
        <v>0</v>
      </c>
      <c r="R83" s="141"/>
      <c r="S83" s="141">
        <f>((1.486/Defaults!$M$3)*((((PI()*(18/12)^2)/4)-(((18/12)/2)^2*((2*ACOS((((18/12)/2)-((18/12)-(18*0.938333/12)))/((18/12)/2)))-SIN(2*ACOS((((18/12)/2)-((18/12)-(18*0.938333/12)))/((18/12)/2))))/2))/((PI()*(18/12))-((2*ACOS((((18/12)/2)-((18/12)-(18*0.938333/12)))/((18/12)/2)))*((18/12)/2))))^(2/3)*$H$23^0.5)*(((PI()*(18/12)^2)/4)-(((18/12)/2)^2*((2*ACOS((((18/12)/2)-((18/12)-(18*0.938333/12)))/((18/12)/2)))-SIN(2*ACOS((((18/12)/2)-((18/12)-(18*0.938333/12)))/((18/12)/2))))/2))</f>
        <v>0</v>
      </c>
      <c r="T83" t="e">
        <f>IF(($F$23+$G$23)&lt;=$M83,6,IF(($F$23+$G$23)&lt;=$N83,8,IF(($F$23+$G$23)&lt;=$O83,10,IF(($F$23+$G$23)&lt;=$P83,12,IF(($F$23+$G$23)&lt;=$Q83,15,IF(($F$23+$G$23)&lt;=$S83,18,"Too Large"))))))</f>
        <v>#VALUE!</v>
      </c>
    </row>
    <row r="84" spans="12:20" x14ac:dyDescent="0.2">
      <c r="L84" t="str">
        <f>Defaults!$L$4</f>
        <v>CMP-Annular</v>
      </c>
      <c r="M84" s="141">
        <f>((1.486/Defaults!$M$4)*((((PI()*(6/12)^2)/4)-(((6/12)/2)^2*((2*ACOS((((6/12)/2)-((6/12)-(6*0.938333/12)))/((6/12)/2)))-SIN(2*ACOS((((6/12)/2)-((6/12)-(6*0.938333/12)))/((6/12)/2))))/2))/((PI()*(6/12))-((2*ACOS((((6/12)/2)-((6/12)-(6*0.938333/12)))/((6/12)/2)))*((6/12)/2))))^(2/3)*$H$23^0.5)*(((PI()*(6/12)^2)/4)-(((6/12)/2)^2*((2*ACOS((((6/12)/2)-((6/12)-(6*0.938333/12)))/((6/12)/2)))-SIN(2*ACOS((((6/12)/2)-((6/12)-(6*0.938333/12)))/((6/12)/2))))/2))</f>
        <v>0</v>
      </c>
      <c r="N84" s="141">
        <f>((1.486/Defaults!$M$4)*((((PI()*(8/12)^2)/4)-(((8/12)/2)^2*((2*ACOS((((8/12)/2)-((8/12)-(8*0.938333/12)))/((8/12)/2)))-SIN(2*ACOS((((8/12)/2)-((8/12)-(8*0.938333/12)))/((8/12)/2))))/2))/((PI()*(8/12))-((2*ACOS((((8/12)/2)-((8/12)-(8*0.938333/12)))/((8/12)/2)))*((8/12)/2))))^(2/3)*$H$23^0.5)*(((PI()*(8/12)^2)/4)-(((8/12)/2)^2*((2*ACOS((((8/12)/2)-((8/12)-(8*0.938333/12)))/((8/12)/2)))-SIN(2*ACOS((((8/12)/2)-((8/12)-(8*0.938333/12)))/((8/12)/2))))/2))</f>
        <v>0</v>
      </c>
      <c r="O84" s="141">
        <f>((1.486/Defaults!$M$4)*((((PI()*(10/12)^2)/4)-(((10/12)/2)^2*((2*ACOS((((10/12)/2)-((10/12)-(10*0.938333/12)))/((10/12)/2)))-SIN(2*ACOS((((10/12)/2)-((10/12)-(10*0.938333/12)))/((10/12)/2))))/2))/((PI()*(10/12))-((2*ACOS((((10/12)/2)-((10/12)-(10*0.938333/12)))/((10/12)/2)))*((10/12)/2))))^(2/3)*$H$23^0.5)*(((PI()*(10/12)^2)/4)-(((10/12)/2)^2*((2*ACOS((((10/12)/2)-((10/12)-(10*0.938333/12)))/((10/12)/2)))-SIN(2*ACOS((((10/12)/2)-((10/12)-(10*0.938333/12)))/((10/12)/2))))/2))</f>
        <v>0</v>
      </c>
      <c r="P84" s="141">
        <f>((1.486/Defaults!$M$4)*((((PI()*(12/12)^2)/4)-(((12/12)/2)^2*((2*ACOS((((12/12)/2)-((12/12)-(12*0.938333/12)))/((12/12)/2)))-SIN(2*ACOS((((12/12)/2)-((12/12)-(12*0.938333/12)))/((12/12)/2))))/2))/((PI()*(12/12))-((2*ACOS((((12/12)/2)-((12/12)-(12*0.938333/12)))/((12/12)/2)))*((12/12)/2))))^(2/3)*$H$23^0.5)*(((PI()*(12/12)^2)/4)-(((12/12)/2)^2*((2*ACOS((((12/12)/2)-((12/12)-(12*0.938333/12)))/((12/12)/2)))-SIN(2*ACOS((((12/12)/2)-((12/12)-(12*0.938333/12)))/((12/12)/2))))/2))</f>
        <v>0</v>
      </c>
      <c r="Q84" s="141">
        <f>((1.486/Defaults!$M$4)*((((PI()*(15/12)^2)/4)-(((15/12)/2)^2*((2*ACOS((((15/12)/2)-((15/12)-(15*0.938333/12)))/((15/12)/2)))-SIN(2*ACOS((((15/12)/2)-((15/12)-(15*0.938333/12)))/((15/12)/2))))/2))/((PI()*(15/12))-((2*ACOS((((15/12)/2)-((15/12)-(15*0.938333/12)))/((15/12)/2)))*((15/12)/2))))^(2/3)*$H$23^0.5)*(((PI()*(15/12)^2)/4)-(((15/12)/2)^2*((2*ACOS((((15/12)/2)-((15/12)-(15*0.938333/12)))/((15/12)/2)))-SIN(2*ACOS((((15/12)/2)-((15/12)-(15*0.938333/12)))/((15/12)/2))))/2))</f>
        <v>0</v>
      </c>
      <c r="R84" s="141"/>
      <c r="S84" s="141">
        <f>((1.486/Defaults!$M$4)*((((PI()*(18/12)^2)/4)-(((18/12)/2)^2*((2*ACOS((((18/12)/2)-((18/12)-(18*0.938333/12)))/((18/12)/2)))-SIN(2*ACOS((((18/12)/2)-((18/12)-(18*0.938333/12)))/((18/12)/2))))/2))/((PI()*(18/12))-((2*ACOS((((18/12)/2)-((18/12)-(18*0.938333/12)))/((18/12)/2)))*((18/12)/2))))^(2/3)*$H$23^0.5)*(((PI()*(18/12)^2)/4)-(((18/12)/2)^2*((2*ACOS((((18/12)/2)-((18/12)-(18*0.938333/12)))/((18/12)/2)))-SIN(2*ACOS((((18/12)/2)-((18/12)-(18*0.938333/12)))/((18/12)/2))))/2))</f>
        <v>0</v>
      </c>
      <c r="T84" t="e">
        <f>IF(($F$23+$G$23)&lt;=$M84,6,IF(($F$23+$G$23)&lt;=$N84,8,IF(($F$23+$G$23)&lt;=$O84,10,IF(($F$23+$G$23)&lt;=$P84,12,IF(($F$23+$G$23)&lt;=$Q84,15,IF(($F$23+$G$23)&lt;=$S84,18,"Too Large"))))))</f>
        <v>#VALUE!</v>
      </c>
    </row>
    <row r="85" spans="12:20" x14ac:dyDescent="0.2">
      <c r="L85" t="str">
        <f>Defaults!$L$5</f>
        <v>CMP-Helical</v>
      </c>
      <c r="M85" s="141">
        <f>((1.486/Defaults!$M$5)*((((PI()*(6/12)^2)/4)-(((6/12)/2)^2*((2*ACOS((((6/12)/2)-((6/12)-(6*0.938333/12)))/((6/12)/2)))-SIN(2*ACOS((((6/12)/2)-((6/12)-(6*0.938333/12)))/((6/12)/2))))/2))/((PI()*(6/12))-((2*ACOS((((6/12)/2)-((6/12)-(6*0.938333/12)))/((6/12)/2)))*((6/12)/2))))^(2/3)*$H$23^0.5)*(((PI()*(6/12)^2)/4)-(((6/12)/2)^2*((2*ACOS((((6/12)/2)-((6/12)-(6*0.938333/12)))/((6/12)/2)))-SIN(2*ACOS((((6/12)/2)-((6/12)-(6*0.938333/12)))/((6/12)/2))))/2))</f>
        <v>0</v>
      </c>
      <c r="N85" s="141">
        <f>((1.486/Defaults!$M$5)*((((PI()*(8/12)^2)/4)-(((8/12)/2)^2*((2*ACOS((((8/12)/2)-((8/12)-(8*0.938333/12)))/((8/12)/2)))-SIN(2*ACOS((((8/12)/2)-((8/12)-(8*0.938333/12)))/((8/12)/2))))/2))/((PI()*(8/12))-((2*ACOS((((8/12)/2)-((8/12)-(8*0.938333/12)))/((8/12)/2)))*((8/12)/2))))^(2/3)*$H$23^0.5)*(((PI()*(8/12)^2)/4)-(((8/12)/2)^2*((2*ACOS((((8/12)/2)-((8/12)-(8*0.938333/12)))/((8/12)/2)))-SIN(2*ACOS((((8/12)/2)-((8/12)-(8*0.938333/12)))/((8/12)/2))))/2))</f>
        <v>0</v>
      </c>
      <c r="O85" s="141">
        <f>((1.486/Defaults!$M$5)*((((PI()*(10/12)^2)/4)-(((10/12)/2)^2*((2*ACOS((((10/12)/2)-((10/12)-(10*0.938333/12)))/((10/12)/2)))-SIN(2*ACOS((((10/12)/2)-((10/12)-(10*0.938333/12)))/((10/12)/2))))/2))/((PI()*(10/12))-((2*ACOS((((10/12)/2)-((10/12)-(10*0.938333/12)))/((10/12)/2)))*((10/12)/2))))^(2/3)*$H$23^0.5)*(((PI()*(10/12)^2)/4)-(((10/12)/2)^2*((2*ACOS((((10/12)/2)-((10/12)-(10*0.938333/12)))/((10/12)/2)))-SIN(2*ACOS((((10/12)/2)-((10/12)-(10*0.938333/12)))/((10/12)/2))))/2))</f>
        <v>0</v>
      </c>
      <c r="P85" s="141">
        <f>((1.486/Defaults!$M$5)*((((PI()*(12/12)^2)/4)-(((12/12)/2)^2*((2*ACOS((((12/12)/2)-((12/12)-(12*0.938333/12)))/((12/12)/2)))-SIN(2*ACOS((((12/12)/2)-((12/12)-(12*0.938333/12)))/((12/12)/2))))/2))/((PI()*(12/12))-((2*ACOS((((12/12)/2)-((12/12)-(12*0.938333/12)))/((12/12)/2)))*((12/12)/2))))^(2/3)*$H$23^0.5)*(((PI()*(12/12)^2)/4)-(((12/12)/2)^2*((2*ACOS((((12/12)/2)-((12/12)-(12*0.938333/12)))/((12/12)/2)))-SIN(2*ACOS((((12/12)/2)-((12/12)-(12*0.938333/12)))/((12/12)/2))))/2))</f>
        <v>0</v>
      </c>
      <c r="Q85" s="141">
        <f>((1.486/Defaults!$M$5)*((((PI()*(15/12)^2)/4)-(((15/12)/2)^2*((2*ACOS((((15/12)/2)-((15/12)-(15*0.938333/12)))/((15/12)/2)))-SIN(2*ACOS((((15/12)/2)-((15/12)-(15*0.938333/12)))/((15/12)/2))))/2))/((PI()*(15/12))-((2*ACOS((((15/12)/2)-((15/12)-(15*0.938333/12)))/((15/12)/2)))*((15/12)/2))))^(2/3)*$H$23^0.5)*(((PI()*(15/12)^2)/4)-(((15/12)/2)^2*((2*ACOS((((15/12)/2)-((15/12)-(15*0.938333/12)))/((15/12)/2)))-SIN(2*ACOS((((15/12)/2)-((15/12)-(15*0.938333/12)))/((15/12)/2))))/2))</f>
        <v>0</v>
      </c>
      <c r="R85" s="141"/>
      <c r="S85" s="141">
        <f>((1.486/Defaults!$M$5)*((((PI()*(18/12)^2)/4)-(((18/12)/2)^2*((2*ACOS((((18/12)/2)-((18/12)-(18*0.938333/12)))/((18/12)/2)))-SIN(2*ACOS((((18/12)/2)-((18/12)-(18*0.938333/12)))/((18/12)/2))))/2))/((PI()*(18/12))-((2*ACOS((((18/12)/2)-((18/12)-(18*0.938333/12)))/((18/12)/2)))*((18/12)/2))))^(2/3)*$H$23^0.5)*(((PI()*(18/12)^2)/4)-(((18/12)/2)^2*((2*ACOS((((18/12)/2)-((18/12)-(18*0.938333/12)))/((18/12)/2)))-SIN(2*ACOS((((18/12)/2)-((18/12)-(18*0.938333/12)))/((18/12)/2))))/2))</f>
        <v>0</v>
      </c>
      <c r="T85" t="e">
        <f>IF(($F$23+$G$23)&lt;=$M85,6,IF(($F$23+$G$23)&lt;=$N85,8,IF(($F$23+$G$23)&lt;=$O85,10,IF(($F$23+$G$23)&lt;=$P85,12,IF(($F$23+$G$23)&lt;=$Q85,15,IF(($F$23+$G$23)&lt;=$S85,18,"Too Large"))))))</f>
        <v>#VALUE!</v>
      </c>
    </row>
    <row r="86" spans="12:20" x14ac:dyDescent="0.2">
      <c r="L86" s="93" t="str">
        <f>Defaults!$L$6</f>
        <v>PVC</v>
      </c>
      <c r="M86" s="141">
        <f>((1.486/Defaults!$M$6)*((((PI()*(6/12)^2)/4)-(((6/12)/2)^2*((2*ACOS((((6/12)/2)-((6/12)-(6*0.938333/12)))/((6/12)/2)))-SIN(2*ACOS((((6/12)/2)-((6/12)-(6*0.938333/12)))/((6/12)/2))))/2))/((PI()*(6/12))-((2*ACOS((((6/12)/2)-((6/12)-(6*0.938333/12)))/((6/12)/2)))*((6/12)/2))))^(2/3)*$H$23^0.5)*(((PI()*(6/12)^2)/4)-(((6/12)/2)^2*((2*ACOS((((6/12)/2)-((6/12)-(6*0.938333/12)))/((6/12)/2)))-SIN(2*ACOS((((6/12)/2)-((6/12)-(6*0.938333/12)))/((6/12)/2))))/2))</f>
        <v>0</v>
      </c>
      <c r="N86" s="141">
        <f>((1.486/Defaults!$M$6)*((((PI()*(8/12)^2)/4)-(((8/12)/2)^2*((2*ACOS((((8/12)/2)-((8/12)-(8*0.938333/12)))/((8/12)/2)))-SIN(2*ACOS((((8/12)/2)-((8/12)-(8*0.938333/12)))/((8/12)/2))))/2))/((PI()*(8/12))-((2*ACOS((((8/12)/2)-((8/12)-(8*0.938333/12)))/((8/12)/2)))*((8/12)/2))))^(2/3)*$H$23^0.5)*(((PI()*(8/12)^2)/4)-(((8/12)/2)^2*((2*ACOS((((8/12)/2)-((8/12)-(8*0.938333/12)))/((8/12)/2)))-SIN(2*ACOS((((8/12)/2)-((8/12)-(8*0.938333/12)))/((8/12)/2))))/2))</f>
        <v>0</v>
      </c>
      <c r="O86" s="141">
        <f>((1.486/Defaults!$M$6)*((((PI()*(10/12)^2)/4)-(((10/12)/2)^2*((2*ACOS((((10/12)/2)-((10/12)-(10*0.938333/12)))/((10/12)/2)))-SIN(2*ACOS((((10/12)/2)-((10/12)-(10*0.938333/12)))/((10/12)/2))))/2))/((PI()*(10/12))-((2*ACOS((((10/12)/2)-((10/12)-(10*0.938333/12)))/((10/12)/2)))*((10/12)/2))))^(2/3)*$H$23^0.5)*(((PI()*(10/12)^2)/4)-(((10/12)/2)^2*((2*ACOS((((10/12)/2)-((10/12)-(10*0.938333/12)))/((10/12)/2)))-SIN(2*ACOS((((10/12)/2)-((10/12)-(10*0.938333/12)))/((10/12)/2))))/2))</f>
        <v>0</v>
      </c>
      <c r="P86" s="141">
        <f>((1.486/Defaults!$M$6)*((((PI()*(12/12)^2)/4)-(((12/12)/2)^2*((2*ACOS((((12/12)/2)-((12/12)-(12*0.938333/12)))/((12/12)/2)))-SIN(2*ACOS((((12/12)/2)-((12/12)-(12*0.938333/12)))/((12/12)/2))))/2))/((PI()*(12/12))-((2*ACOS((((12/12)/2)-((12/12)-(12*0.938333/12)))/((12/12)/2)))*((12/12)/2))))^(2/3)*$H$23^0.5)*(((PI()*(12/12)^2)/4)-(((12/12)/2)^2*((2*ACOS((((12/12)/2)-((12/12)-(12*0.938333/12)))/((12/12)/2)))-SIN(2*ACOS((((12/12)/2)-((12/12)-(12*0.938333/12)))/((12/12)/2))))/2))</f>
        <v>0</v>
      </c>
      <c r="Q86" s="141">
        <f>((1.486/Defaults!$M$6)*((((PI()*(15/12)^2)/4)-(((15/12)/2)^2*((2*ACOS((((15/12)/2)-((15/12)-(15*0.938333/12)))/((15/12)/2)))-SIN(2*ACOS((((15/12)/2)-((15/12)-(15*0.938333/12)))/((15/12)/2))))/2))/((PI()*(15/12))-((2*ACOS((((15/12)/2)-((15/12)-(15*0.938333/12)))/((15/12)/2)))*((15/12)/2))))^(2/3)*$H$23^0.5)*(((PI()*(15/12)^2)/4)-(((15/12)/2)^2*((2*ACOS((((15/12)/2)-((15/12)-(15*0.938333/12)))/((15/12)/2)))-SIN(2*ACOS((((15/12)/2)-((15/12)-(15*0.938333/12)))/((15/12)/2))))/2))</f>
        <v>0</v>
      </c>
      <c r="R86" s="141"/>
      <c r="S86" s="141">
        <f>((1.486/Defaults!$M$6)*((((PI()*(18/12)^2)/4)-(((18/12)/2)^2*((2*ACOS((((18/12)/2)-((18/12)-(18*0.938333/12)))/((18/12)/2)))-SIN(2*ACOS((((18/12)/2)-((18/12)-(18*0.938333/12)))/((18/12)/2))))/2))/((PI()*(18/12))-((2*ACOS((((18/12)/2)-((18/12)-(18*0.938333/12)))/((18/12)/2)))*((18/12)/2))))^(2/3)*$H$23^0.5)*(((PI()*(18/12)^2)/4)-(((18/12)/2)^2*((2*ACOS((((18/12)/2)-((18/12)-(18*0.938333/12)))/((18/12)/2)))-SIN(2*ACOS((((18/12)/2)-((18/12)-(18*0.938333/12)))/((18/12)/2))))/2))</f>
        <v>0</v>
      </c>
      <c r="T86" t="e">
        <f>IF(($F$23+$G$23)&lt;=$M86,6,IF(($F$23+$G$23)&lt;=$N86,8,IF(($F$23+$G$23)&lt;=$O86,10,IF(($F$23+$G$23)&lt;=$P86,12,IF(($F$23+$G$23)&lt;=$Q86,15,IF(($F$23+$G$23)&lt;=$S86,18,"Too Large"))))))</f>
        <v>#VALUE!</v>
      </c>
    </row>
    <row r="87" spans="12:20" x14ac:dyDescent="0.2">
      <c r="L87" t="str">
        <f>Defaults!$L$7</f>
        <v>Concrete</v>
      </c>
      <c r="M87" s="141">
        <f>((1.486/Defaults!$M$7)*((((PI()*(6/12)^2)/4)-(((6/12)/2)^2*((2*ACOS((((6/12)/2)-((6/12)-(6*0.938333/12)))/((6/12)/2)))-SIN(2*ACOS((((6/12)/2)-((6/12)-(6*0.938333/12)))/((6/12)/2))))/2))/((PI()*(6/12))-((2*ACOS((((6/12)/2)-((6/12)-(6*0.938333/12)))/((6/12)/2)))*((6/12)/2))))^(2/3)*$H$23^0.5)*(((PI()*(6/12)^2)/4)-(((6/12)/2)^2*((2*ACOS((((6/12)/2)-((6/12)-(6*0.938333/12)))/((6/12)/2)))-SIN(2*ACOS((((6/12)/2)-((6/12)-(6*0.938333/12)))/((6/12)/2))))/2))</f>
        <v>0</v>
      </c>
      <c r="N87" s="141">
        <f>((1.486/Defaults!$M$7)*((((PI()*(8/12)^2)/4)-(((8/12)/2)^2*((2*ACOS((((8/12)/2)-((8/12)-(8*0.938333/12)))/((8/12)/2)))-SIN(2*ACOS((((8/12)/2)-((8/12)-(8*0.938333/12)))/((8/12)/2))))/2))/((PI()*(8/12))-((2*ACOS((((8/12)/2)-((8/12)-(8*0.938333/12)))/((8/12)/2)))*((8/12)/2))))^(2/3)*$H$23^0.5)*(((PI()*(8/12)^2)/4)-(((8/12)/2)^2*((2*ACOS((((8/12)/2)-((8/12)-(8*0.938333/12)))/((8/12)/2)))-SIN(2*ACOS((((8/12)/2)-((8/12)-(8*0.938333/12)))/((8/12)/2))))/2))</f>
        <v>0</v>
      </c>
      <c r="O87" s="141">
        <f>((1.486/Defaults!$M$7)*((((PI()*(10/12)^2)/4)-(((10/12)/2)^2*((2*ACOS((((10/12)/2)-((10/12)-(10*0.938333/12)))/((10/12)/2)))-SIN(2*ACOS((((10/12)/2)-((10/12)-(10*0.938333/12)))/((10/12)/2))))/2))/((PI()*(10/12))-((2*ACOS((((10/12)/2)-((10/12)-(10*0.938333/12)))/((10/12)/2)))*((10/12)/2))))^(2/3)*$H$23^0.5)*(((PI()*(10/12)^2)/4)-(((10/12)/2)^2*((2*ACOS((((10/12)/2)-((10/12)-(10*0.938333/12)))/((10/12)/2)))-SIN(2*ACOS((((10/12)/2)-((10/12)-(10*0.938333/12)))/((10/12)/2))))/2))</f>
        <v>0</v>
      </c>
      <c r="P87" s="141">
        <f>((1.486/Defaults!$M$7)*((((PI()*(12/12)^2)/4)-(((12/12)/2)^2*((2*ACOS((((12/12)/2)-((12/12)-(12*0.938333/12)))/((12/12)/2)))-SIN(2*ACOS((((12/12)/2)-((12/12)-(12*0.938333/12)))/((12/12)/2))))/2))/((PI()*(12/12))-((2*ACOS((((12/12)/2)-((12/12)-(12*0.938333/12)))/((12/12)/2)))*((12/12)/2))))^(2/3)*$H$23^0.5)*(((PI()*(12/12)^2)/4)-(((12/12)/2)^2*((2*ACOS((((12/12)/2)-((12/12)-(12*0.938333/12)))/((12/12)/2)))-SIN(2*ACOS((((12/12)/2)-((12/12)-(12*0.938333/12)))/((12/12)/2))))/2))</f>
        <v>0</v>
      </c>
      <c r="Q87" s="141">
        <f>((1.486/Defaults!$M$7)*((((PI()*(15/12)^2)/4)-(((15/12)/2)^2*((2*ACOS((((15/12)/2)-((15/12)-(15*0.938333/12)))/((15/12)/2)))-SIN(2*ACOS((((15/12)/2)-((15/12)-(15*0.938333/12)))/((15/12)/2))))/2))/((PI()*(15/12))-((2*ACOS((((15/12)/2)-((15/12)-(15*0.938333/12)))/((15/12)/2)))*((15/12)/2))))^(2/3)*$H$23^0.5)*(((PI()*(15/12)^2)/4)-(((15/12)/2)^2*((2*ACOS((((15/12)/2)-((15/12)-(15*0.938333/12)))/((15/12)/2)))-SIN(2*ACOS((((15/12)/2)-((15/12)-(15*0.938333/12)))/((15/12)/2))))/2))</f>
        <v>0</v>
      </c>
      <c r="R87" s="141">
        <f>((1.486/Defaults!$M$7)*((((PI()*(16/12)^2)/4)-(((16/12)/2)^2*((2*ACOS((((16/12)/2)-((16/12)-(16*0.938333/12)))/((16/12)/2)))-SIN(2*ACOS((((16/12)/2)-((16/12)-(16*0.938333/12)))/((16/12)/2))))/2))/((PI()*(16/12))-((2*ACOS((((16/12)/2)-((16/12)-(16*0.938333/12)))/((16/12)/2)))*((16/12)/2))))^(2/3)*$H$23^0.5)*(((PI()*(16/12)^2)/4)-(((16/12)/2)^2*((2*ACOS((((16/12)/2)-((16/12)-(16*0.938333/12)))/((16/12)/2)))-SIN(2*ACOS((((16/12)/2)-((16/12)-(16*0.938333/12)))/((16/12)/2))))/2))</f>
        <v>0</v>
      </c>
      <c r="S87" s="141">
        <f>((1.486/Defaults!$M$7)*((((PI()*(18/12)^2)/4)-(((18/12)/2)^2*((2*ACOS((((18/12)/2)-((18/12)-(18*0.938333/12)))/((18/12)/2)))-SIN(2*ACOS((((18/12)/2)-((18/12)-(18*0.938333/12)))/((18/12)/2))))/2))/((PI()*(18/12))-((2*ACOS((((18/12)/2)-((18/12)-(18*0.938333/12)))/((18/12)/2)))*((18/12)/2))))^(2/3)*$H$23^0.5)*(((PI()*(18/12)^2)/4)-(((18/12)/2)^2*((2*ACOS((((18/12)/2)-((18/12)-(18*0.938333/12)))/((18/12)/2)))-SIN(2*ACOS((((18/12)/2)-((18/12)-(18*0.938333/12)))/((18/12)/2))))/2))</f>
        <v>0</v>
      </c>
      <c r="T87" t="e">
        <f>IF(($F$23+$G$23)&lt;=$M87,6,IF(($F$23+$G$23)&lt;=$N87,8,IF(($F$23+$G$23)&lt;=$O87,10,IF(($F$23+$G$23)&lt;=$P87,12,IF(($F$23+$G$23)&lt;=$Q87,15,IF(($F$23+$G$23)&lt;=$R87,16,IF(($F$23+$G$23)&lt;=$S87,18,"Too Large")))))))</f>
        <v>#VALUE!</v>
      </c>
    </row>
    <row r="89" spans="12:20" x14ac:dyDescent="0.2">
      <c r="M89">
        <v>6</v>
      </c>
      <c r="N89">
        <v>8</v>
      </c>
      <c r="O89">
        <v>10</v>
      </c>
      <c r="P89">
        <v>12</v>
      </c>
      <c r="Q89">
        <v>15</v>
      </c>
      <c r="R89">
        <v>16</v>
      </c>
      <c r="S89">
        <v>18</v>
      </c>
      <c r="T89" s="140" t="s">
        <v>186</v>
      </c>
    </row>
    <row r="90" spans="12:20" x14ac:dyDescent="0.2">
      <c r="L90" t="str">
        <f>Defaults!$L$2</f>
        <v>CPT (Tile)</v>
      </c>
      <c r="M90" s="141">
        <f>((1.486/Defaults!$M$10)*((((PI()*(6/12)^2)/4)-(((6/12)/2)^2*((2*ACOS((((6/12)/2)-((6/12)-(6*0.938333/12)))/((6/12)/2)))-SIN(2*ACOS((((6/12)/2)-((6/12)-(6*0.938333/12)))/((6/12)/2))))/2))/((PI()*(6/12))-((2*ACOS((((6/12)/2)-((6/12)-(6*0.938333/12)))/((6/12)/2)))*((6/12)/2))))^(2/3)*$H$24^0.5)*(((PI()*(6/12)^2)/4)-(((6/12)/2)^2*((2*ACOS((((6/12)/2)-((6/12)-(6*0.938333/12)))/((6/12)/2)))-SIN(2*ACOS((((6/12)/2)-((6/12)-(6*0.938333/12)))/((6/12)/2))))/2))</f>
        <v>0</v>
      </c>
      <c r="N90" s="141">
        <f>((1.486/Defaults!$M$11)*((((PI()*(8/12)^2)/4)-(((8/12)/2)^2*((2*ACOS((((8/12)/2)-((8/12)-(8*0.938333/12)))/((8/12)/2)))-SIN(2*ACOS((((8/12)/2)-((8/12)-(8*0.938333/12)))/((8/12)/2))))/2))/((PI()*(8/12))-((2*ACOS((((8/12)/2)-((8/12)-(8*0.938333/12)))/((8/12)/2)))*((8/12)/2))))^(2/3)*$H$24^0.5)*(((PI()*(8/12)^2)/4)-(((8/12)/2)^2*((2*ACOS((((8/12)/2)-((8/12)-(8*0.938333/12)))/((8/12)/2)))-SIN(2*ACOS((((8/12)/2)-((8/12)-(8*0.938333/12)))/((8/12)/2))))/2))</f>
        <v>0</v>
      </c>
      <c r="O90" s="141">
        <f>((1.486/Defaults!$M$12)*((((PI()*(10/12)^2)/4)-(((10/12)/2)^2*((2*ACOS((((10/12)/2)-((10/12)-(10*0.938333/12)))/((10/12)/2)))-SIN(2*ACOS((((10/12)/2)-((10/12)-(10*0.938333/12)))/((10/12)/2))))/2))/((PI()*(10/12))-((2*ACOS((((10/12)/2)-((10/12)-(10*0.938333/12)))/((10/12)/2)))*((10/12)/2))))^(2/3)*$H$24^0.5)*(((PI()*(10/12)^2)/4)-(((10/12)/2)^2*((2*ACOS((((10/12)/2)-((10/12)-(10*0.938333/12)))/((10/12)/2)))-SIN(2*ACOS((((10/12)/2)-((10/12)-(10*0.938333/12)))/((10/12)/2))))/2))</f>
        <v>0</v>
      </c>
      <c r="P90" s="141">
        <f>((1.486/Defaults!$M$13)*((((PI()*(12/12)^2)/4)-(((12/12)/2)^2*((2*ACOS((((12/12)/2)-((12/12)-(12*0.938333/12)))/((12/12)/2)))-SIN(2*ACOS((((12/12)/2)-((12/12)-(12*0.938333/12)))/((12/12)/2))))/2))/((PI()*(12/12))-((2*ACOS((((12/12)/2)-((12/12)-(12*0.938333/12)))/((12/12)/2)))*((12/12)/2))))^(2/3)*$H$24^0.5)*(((PI()*(12/12)^2)/4)-(((12/12)/2)^2*((2*ACOS((((12/12)/2)-((12/12)-(12*0.938333/12)))/((12/12)/2)))-SIN(2*ACOS((((12/12)/2)-((12/12)-(12*0.938333/12)))/((12/12)/2))))/2))</f>
        <v>0</v>
      </c>
      <c r="Q90" s="141">
        <f>((1.486/Defaults!$M$14)*((((PI()*(15/12)^2)/4)-(((15/12)/2)^2*((2*ACOS((((15/12)/2)-((15/12)-(15*0.938333/12)))/((15/12)/2)))-SIN(2*ACOS((((15/12)/2)-((15/12)-(15*0.938333/12)))/((15/12)/2))))/2))/((PI()*(15/12))-((2*ACOS((((15/12)/2)-((15/12)-(15*0.938333/12)))/((15/12)/2)))*((15/12)/2))))^(2/3)*$H$24^0.5)*(((PI()*(15/12)^2)/4)-(((15/12)/2)^2*((2*ACOS((((15/12)/2)-((15/12)-(15*0.938333/12)))/((15/12)/2)))-SIN(2*ACOS((((15/12)/2)-((15/12)-(15*0.938333/12)))/((15/12)/2))))/2))</f>
        <v>0</v>
      </c>
      <c r="S90" s="141">
        <f>((1.486/Defaults!$M$15)*((((PI()*(18/12)^2)/4)-(((18/12)/2)^2*((2*ACOS((((18/12)/2)-((18/12)-(18*0.938333/12)))/((18/12)/2)))-SIN(2*ACOS((((18/12)/2)-((18/12)-(18*0.938333/12)))/((18/12)/2))))/2))/((PI()*(18/12))-((2*ACOS((((18/12)/2)-((18/12)-(18*0.938333/12)))/((18/12)/2)))*((18/12)/2))))^(2/3)*$H$24^0.5)*(((PI()*(18/12)^2)/4)-(((18/12)/2)^2*((2*ACOS((((18/12)/2)-((18/12)-(18*0.938333/12)))/((18/12)/2)))-SIN(2*ACOS((((18/12)/2)-((18/12)-(18*0.938333/12)))/((18/12)/2))))/2))</f>
        <v>0</v>
      </c>
      <c r="T90" t="e">
        <f>IF(($F$24+$G$24)&lt;=$M90,6,IF(($F$24+$G$24)&lt;=$N90,8,IF(($F$24+$G$24)&lt;=$O90,10,IF(($F$24+$G$24)&lt;=$P90,12,IF(($F$24+$G$24)&lt;=$Q90,15,IF(($F$24+$G$24)&lt;=$S90,18,"Too Large"))))))</f>
        <v>#VALUE!</v>
      </c>
    </row>
    <row r="91" spans="12:20" x14ac:dyDescent="0.2">
      <c r="L91" t="str">
        <f>Defaults!$L$3</f>
        <v>Dual-Wall CPT</v>
      </c>
      <c r="M91" s="141">
        <f>((1.486/Defaults!$M$3)*((((PI()*(6/12)^2)/4)-(((6/12)/2)^2*((2*ACOS((((6/12)/2)-((6/12)-(6*0.938333/12)))/((6/12)/2)))-SIN(2*ACOS((((6/12)/2)-((6/12)-(6*0.938333/12)))/((6/12)/2))))/2))/((PI()*(6/12))-((2*ACOS((((6/12)/2)-((6/12)-(6*0.938333/12)))/((6/12)/2)))*((6/12)/2))))^(2/3)*$H$24^0.5)*(((PI()*(6/12)^2)/4)-(((6/12)/2)^2*((2*ACOS((((6/12)/2)-((6/12)-(6*0.938333/12)))/((6/12)/2)))-SIN(2*ACOS((((6/12)/2)-((6/12)-(6*0.938333/12)))/((6/12)/2))))/2))</f>
        <v>0</v>
      </c>
      <c r="N91" s="141">
        <f>((1.486/Defaults!$M$3)*((((PI()*(8/12)^2)/4)-(((8/12)/2)^2*((2*ACOS((((8/12)/2)-((8/12)-(8*0.938333/12)))/((8/12)/2)))-SIN(2*ACOS((((8/12)/2)-((8/12)-(8*0.938333/12)))/((8/12)/2))))/2))/((PI()*(8/12))-((2*ACOS((((8/12)/2)-((8/12)-(8*0.938333/12)))/((8/12)/2)))*((8/12)/2))))^(2/3)*$H$24^0.5)*(((PI()*(8/12)^2)/4)-(((8/12)/2)^2*((2*ACOS((((8/12)/2)-((8/12)-(8*0.938333/12)))/((8/12)/2)))-SIN(2*ACOS((((8/12)/2)-((8/12)-(8*0.938333/12)))/((8/12)/2))))/2))</f>
        <v>0</v>
      </c>
      <c r="O91" s="141">
        <f>((1.486/Defaults!$M$3)*((((PI()*(10/12)^2)/4)-(((10/12)/2)^2*((2*ACOS((((10/12)/2)-((10/12)-(10*0.938333/12)))/((10/12)/2)))-SIN(2*ACOS((((10/12)/2)-((10/12)-(10*0.938333/12)))/((10/12)/2))))/2))/((PI()*(10/12))-((2*ACOS((((10/12)/2)-((10/12)-(10*0.938333/12)))/((10/12)/2)))*((10/12)/2))))^(2/3)*$H$24^0.5)*(((PI()*(10/12)^2)/4)-(((10/12)/2)^2*((2*ACOS((((10/12)/2)-((10/12)-(10*0.938333/12)))/((10/12)/2)))-SIN(2*ACOS((((10/12)/2)-((10/12)-(10*0.938333/12)))/((10/12)/2))))/2))</f>
        <v>0</v>
      </c>
      <c r="P91" s="141">
        <f>((1.486/Defaults!$M$3)*((((PI()*(12/12)^2)/4)-(((12/12)/2)^2*((2*ACOS((((12/12)/2)-((12/12)-(12*0.938333/12)))/((12/12)/2)))-SIN(2*ACOS((((12/12)/2)-((12/12)-(12*0.938333/12)))/((12/12)/2))))/2))/((PI()*(12/12))-((2*ACOS((((12/12)/2)-((12/12)-(12*0.938333/12)))/((12/12)/2)))*((12/12)/2))))^(2/3)*$H$24^0.5)*(((PI()*(12/12)^2)/4)-(((12/12)/2)^2*((2*ACOS((((12/12)/2)-((12/12)-(12*0.938333/12)))/((12/12)/2)))-SIN(2*ACOS((((12/12)/2)-((12/12)-(12*0.938333/12)))/((12/12)/2))))/2))</f>
        <v>0</v>
      </c>
      <c r="Q91" s="141">
        <f>((1.486/Defaults!$M$3)*((((PI()*(15/12)^2)/4)-(((15/12)/2)^2*((2*ACOS((((15/12)/2)-((15/12)-(15*0.938333/12)))/((15/12)/2)))-SIN(2*ACOS((((15/12)/2)-((15/12)-(15*0.938333/12)))/((15/12)/2))))/2))/((PI()*(15/12))-((2*ACOS((((15/12)/2)-((15/12)-(15*0.938333/12)))/((15/12)/2)))*((15/12)/2))))^(2/3)*$H$24^0.5)*(((PI()*(15/12)^2)/4)-(((15/12)/2)^2*((2*ACOS((((15/12)/2)-((15/12)-(15*0.938333/12)))/((15/12)/2)))-SIN(2*ACOS((((15/12)/2)-((15/12)-(15*0.938333/12)))/((15/12)/2))))/2))</f>
        <v>0</v>
      </c>
      <c r="R91" s="141"/>
      <c r="S91" s="141">
        <f>((1.486/Defaults!$M$3)*((((PI()*(18/12)^2)/4)-(((18/12)/2)^2*((2*ACOS((((18/12)/2)-((18/12)-(18*0.938333/12)))/((18/12)/2)))-SIN(2*ACOS((((18/12)/2)-((18/12)-(18*0.938333/12)))/((18/12)/2))))/2))/((PI()*(18/12))-((2*ACOS((((18/12)/2)-((18/12)-(18*0.938333/12)))/((18/12)/2)))*((18/12)/2))))^(2/3)*$H$24^0.5)*(((PI()*(18/12)^2)/4)-(((18/12)/2)^2*((2*ACOS((((18/12)/2)-((18/12)-(18*0.938333/12)))/((18/12)/2)))-SIN(2*ACOS((((18/12)/2)-((18/12)-(18*0.938333/12)))/((18/12)/2))))/2))</f>
        <v>0</v>
      </c>
      <c r="T91" t="e">
        <f>IF(($F$24+$G$24)&lt;=$M91,6,IF(($F$24+$G$24)&lt;=$N91,8,IF(($F$24+$G$24)&lt;=$O91,10,IF(($F$24+$G$24)&lt;=$P91,12,IF(($F$24+$G$24)&lt;=$Q91,15,IF(($F$24+$G$24)&lt;=$S91,18,"Too Large"))))))</f>
        <v>#VALUE!</v>
      </c>
    </row>
    <row r="92" spans="12:20" x14ac:dyDescent="0.2">
      <c r="L92" t="str">
        <f>Defaults!$L$4</f>
        <v>CMP-Annular</v>
      </c>
      <c r="M92" s="141">
        <f>((1.486/Defaults!$M$4)*((((PI()*(6/12)^2)/4)-(((6/12)/2)^2*((2*ACOS((((6/12)/2)-((6/12)-(6*0.938333/12)))/((6/12)/2)))-SIN(2*ACOS((((6/12)/2)-((6/12)-(6*0.938333/12)))/((6/12)/2))))/2))/((PI()*(6/12))-((2*ACOS((((6/12)/2)-((6/12)-(6*0.938333/12)))/((6/12)/2)))*((6/12)/2))))^(2/3)*$H$24^0.5)*(((PI()*(6/12)^2)/4)-(((6/12)/2)^2*((2*ACOS((((6/12)/2)-((6/12)-(6*0.938333/12)))/((6/12)/2)))-SIN(2*ACOS((((6/12)/2)-((6/12)-(6*0.938333/12)))/((6/12)/2))))/2))</f>
        <v>0</v>
      </c>
      <c r="N92" s="141">
        <f>((1.486/Defaults!$M$4)*((((PI()*(8/12)^2)/4)-(((8/12)/2)^2*((2*ACOS((((8/12)/2)-((8/12)-(8*0.938333/12)))/((8/12)/2)))-SIN(2*ACOS((((8/12)/2)-((8/12)-(8*0.938333/12)))/((8/12)/2))))/2))/((PI()*(8/12))-((2*ACOS((((8/12)/2)-((8/12)-(8*0.938333/12)))/((8/12)/2)))*((8/12)/2))))^(2/3)*$H$24^0.5)*(((PI()*(8/12)^2)/4)-(((8/12)/2)^2*((2*ACOS((((8/12)/2)-((8/12)-(8*0.938333/12)))/((8/12)/2)))-SIN(2*ACOS((((8/12)/2)-((8/12)-(8*0.938333/12)))/((8/12)/2))))/2))</f>
        <v>0</v>
      </c>
      <c r="O92" s="141">
        <f>((1.486/Defaults!$M$4)*((((PI()*(10/12)^2)/4)-(((10/12)/2)^2*((2*ACOS((((10/12)/2)-((10/12)-(10*0.938333/12)))/((10/12)/2)))-SIN(2*ACOS((((10/12)/2)-((10/12)-(10*0.938333/12)))/((10/12)/2))))/2))/((PI()*(10/12))-((2*ACOS((((10/12)/2)-((10/12)-(10*0.938333/12)))/((10/12)/2)))*((10/12)/2))))^(2/3)*$H$24^0.5)*(((PI()*(10/12)^2)/4)-(((10/12)/2)^2*((2*ACOS((((10/12)/2)-((10/12)-(10*0.938333/12)))/((10/12)/2)))-SIN(2*ACOS((((10/12)/2)-((10/12)-(10*0.938333/12)))/((10/12)/2))))/2))</f>
        <v>0</v>
      </c>
      <c r="P92" s="141">
        <f>((1.486/Defaults!$M$4)*((((PI()*(12/12)^2)/4)-(((12/12)/2)^2*((2*ACOS((((12/12)/2)-((12/12)-(12*0.938333/12)))/((12/12)/2)))-SIN(2*ACOS((((12/12)/2)-((12/12)-(12*0.938333/12)))/((12/12)/2))))/2))/((PI()*(12/12))-((2*ACOS((((12/12)/2)-((12/12)-(12*0.938333/12)))/((12/12)/2)))*((12/12)/2))))^(2/3)*$H$24^0.5)*(((PI()*(12/12)^2)/4)-(((12/12)/2)^2*((2*ACOS((((12/12)/2)-((12/12)-(12*0.938333/12)))/((12/12)/2)))-SIN(2*ACOS((((12/12)/2)-((12/12)-(12*0.938333/12)))/((12/12)/2))))/2))</f>
        <v>0</v>
      </c>
      <c r="Q92" s="141">
        <f>((1.486/Defaults!$M$4)*((((PI()*(15/12)^2)/4)-(((15/12)/2)^2*((2*ACOS((((15/12)/2)-((15/12)-(15*0.938333/12)))/((15/12)/2)))-SIN(2*ACOS((((15/12)/2)-((15/12)-(15*0.938333/12)))/((15/12)/2))))/2))/((PI()*(15/12))-((2*ACOS((((15/12)/2)-((15/12)-(15*0.938333/12)))/((15/12)/2)))*((15/12)/2))))^(2/3)*$H$24^0.5)*(((PI()*(15/12)^2)/4)-(((15/12)/2)^2*((2*ACOS((((15/12)/2)-((15/12)-(15*0.938333/12)))/((15/12)/2)))-SIN(2*ACOS((((15/12)/2)-((15/12)-(15*0.938333/12)))/((15/12)/2))))/2))</f>
        <v>0</v>
      </c>
      <c r="R92" s="141"/>
      <c r="S92" s="141">
        <f>((1.486/Defaults!$M$4)*((((PI()*(18/12)^2)/4)-(((18/12)/2)^2*((2*ACOS((((18/12)/2)-((18/12)-(18*0.938333/12)))/((18/12)/2)))-SIN(2*ACOS((((18/12)/2)-((18/12)-(18*0.938333/12)))/((18/12)/2))))/2))/((PI()*(18/12))-((2*ACOS((((18/12)/2)-((18/12)-(18*0.938333/12)))/((18/12)/2)))*((18/12)/2))))^(2/3)*$H$24^0.5)*(((PI()*(18/12)^2)/4)-(((18/12)/2)^2*((2*ACOS((((18/12)/2)-((18/12)-(18*0.938333/12)))/((18/12)/2)))-SIN(2*ACOS((((18/12)/2)-((18/12)-(18*0.938333/12)))/((18/12)/2))))/2))</f>
        <v>0</v>
      </c>
      <c r="T92" t="e">
        <f>IF(($F$24+$G$24)&lt;=$M92,6,IF(($F$24+$G$24)&lt;=$N92,8,IF(($F$24+$G$24)&lt;=$O92,10,IF(($F$24+$G$24)&lt;=$P92,12,IF(($F$24+$G$24)&lt;=$Q92,15,IF(($F$24+$G$24)&lt;=$S92,18,"Too Large"))))))</f>
        <v>#VALUE!</v>
      </c>
    </row>
    <row r="93" spans="12:20" x14ac:dyDescent="0.2">
      <c r="L93" t="str">
        <f>Defaults!$L$5</f>
        <v>CMP-Helical</v>
      </c>
      <c r="M93" s="141">
        <f>((1.486/Defaults!$M$5)*((((PI()*(6/12)^2)/4)-(((6/12)/2)^2*((2*ACOS((((6/12)/2)-((6/12)-(6*0.938333/12)))/((6/12)/2)))-SIN(2*ACOS((((6/12)/2)-((6/12)-(6*0.938333/12)))/((6/12)/2))))/2))/((PI()*(6/12))-((2*ACOS((((6/12)/2)-((6/12)-(6*0.938333/12)))/((6/12)/2)))*((6/12)/2))))^(2/3)*$H$24^0.5)*(((PI()*(6/12)^2)/4)-(((6/12)/2)^2*((2*ACOS((((6/12)/2)-((6/12)-(6*0.938333/12)))/((6/12)/2)))-SIN(2*ACOS((((6/12)/2)-((6/12)-(6*0.938333/12)))/((6/12)/2))))/2))</f>
        <v>0</v>
      </c>
      <c r="N93" s="141">
        <f>((1.486/Defaults!$M$5)*((((PI()*(8/12)^2)/4)-(((8/12)/2)^2*((2*ACOS((((8/12)/2)-((8/12)-(8*0.938333/12)))/((8/12)/2)))-SIN(2*ACOS((((8/12)/2)-((8/12)-(8*0.938333/12)))/((8/12)/2))))/2))/((PI()*(8/12))-((2*ACOS((((8/12)/2)-((8/12)-(8*0.938333/12)))/((8/12)/2)))*((8/12)/2))))^(2/3)*$H$24^0.5)*(((PI()*(8/12)^2)/4)-(((8/12)/2)^2*((2*ACOS((((8/12)/2)-((8/12)-(8*0.938333/12)))/((8/12)/2)))-SIN(2*ACOS((((8/12)/2)-((8/12)-(8*0.938333/12)))/((8/12)/2))))/2))</f>
        <v>0</v>
      </c>
      <c r="O93" s="141">
        <f>((1.486/Defaults!$M$5)*((((PI()*(10/12)^2)/4)-(((10/12)/2)^2*((2*ACOS((((10/12)/2)-((10/12)-(10*0.938333/12)))/((10/12)/2)))-SIN(2*ACOS((((10/12)/2)-((10/12)-(10*0.938333/12)))/((10/12)/2))))/2))/((PI()*(10/12))-((2*ACOS((((10/12)/2)-((10/12)-(10*0.938333/12)))/((10/12)/2)))*((10/12)/2))))^(2/3)*$H$24^0.5)*(((PI()*(10/12)^2)/4)-(((10/12)/2)^2*((2*ACOS((((10/12)/2)-((10/12)-(10*0.938333/12)))/((10/12)/2)))-SIN(2*ACOS((((10/12)/2)-((10/12)-(10*0.938333/12)))/((10/12)/2))))/2))</f>
        <v>0</v>
      </c>
      <c r="P93" s="141">
        <f>((1.486/Defaults!$M$5)*((((PI()*(12/12)^2)/4)-(((12/12)/2)^2*((2*ACOS((((12/12)/2)-((12/12)-(12*0.938333/12)))/((12/12)/2)))-SIN(2*ACOS((((12/12)/2)-((12/12)-(12*0.938333/12)))/((12/12)/2))))/2))/((PI()*(12/12))-((2*ACOS((((12/12)/2)-((12/12)-(12*0.938333/12)))/((12/12)/2)))*((12/12)/2))))^(2/3)*$H$24^0.5)*(((PI()*(12/12)^2)/4)-(((12/12)/2)^2*((2*ACOS((((12/12)/2)-((12/12)-(12*0.938333/12)))/((12/12)/2)))-SIN(2*ACOS((((12/12)/2)-((12/12)-(12*0.938333/12)))/((12/12)/2))))/2))</f>
        <v>0</v>
      </c>
      <c r="Q93" s="141">
        <f>((1.486/Defaults!$M$5)*((((PI()*(15/12)^2)/4)-(((15/12)/2)^2*((2*ACOS((((15/12)/2)-((15/12)-(15*0.938333/12)))/((15/12)/2)))-SIN(2*ACOS((((15/12)/2)-((15/12)-(15*0.938333/12)))/((15/12)/2))))/2))/((PI()*(15/12))-((2*ACOS((((15/12)/2)-((15/12)-(15*0.938333/12)))/((15/12)/2)))*((15/12)/2))))^(2/3)*$H$24^0.5)*(((PI()*(15/12)^2)/4)-(((15/12)/2)^2*((2*ACOS((((15/12)/2)-((15/12)-(15*0.938333/12)))/((15/12)/2)))-SIN(2*ACOS((((15/12)/2)-((15/12)-(15*0.938333/12)))/((15/12)/2))))/2))</f>
        <v>0</v>
      </c>
      <c r="R93" s="141"/>
      <c r="S93" s="141">
        <f>((1.486/Defaults!$M$5)*((((PI()*(18/12)^2)/4)-(((18/12)/2)^2*((2*ACOS((((18/12)/2)-((18/12)-(18*0.938333/12)))/((18/12)/2)))-SIN(2*ACOS((((18/12)/2)-((18/12)-(18*0.938333/12)))/((18/12)/2))))/2))/((PI()*(18/12))-((2*ACOS((((18/12)/2)-((18/12)-(18*0.938333/12)))/((18/12)/2)))*((18/12)/2))))^(2/3)*$H$24^0.5)*(((PI()*(18/12)^2)/4)-(((18/12)/2)^2*((2*ACOS((((18/12)/2)-((18/12)-(18*0.938333/12)))/((18/12)/2)))-SIN(2*ACOS((((18/12)/2)-((18/12)-(18*0.938333/12)))/((18/12)/2))))/2))</f>
        <v>0</v>
      </c>
      <c r="T93" t="e">
        <f>IF(($F$24+$G$24)&lt;=$M93,6,IF(($F$24+$G$24)&lt;=$N93,8,IF(($F$24+$G$24)&lt;=$O93,10,IF(($F$24+$G$24)&lt;=$P93,12,IF(($F$24+$G$24)&lt;=$Q93,15,IF(($F$24+$G$24)&lt;=$S93,18,"Too Large"))))))</f>
        <v>#VALUE!</v>
      </c>
    </row>
    <row r="94" spans="12:20" x14ac:dyDescent="0.2">
      <c r="L94" s="93" t="str">
        <f>Defaults!$L$6</f>
        <v>PVC</v>
      </c>
      <c r="M94" s="141">
        <f>((1.486/Defaults!$M$6)*((((PI()*(6/12)^2)/4)-(((6/12)/2)^2*((2*ACOS((((6/12)/2)-((6/12)-(6*0.938333/12)))/((6/12)/2)))-SIN(2*ACOS((((6/12)/2)-((6/12)-(6*0.938333/12)))/((6/12)/2))))/2))/((PI()*(6/12))-((2*ACOS((((6/12)/2)-((6/12)-(6*0.938333/12)))/((6/12)/2)))*((6/12)/2))))^(2/3)*$H$24^0.5)*(((PI()*(6/12)^2)/4)-(((6/12)/2)^2*((2*ACOS((((6/12)/2)-((6/12)-(6*0.938333/12)))/((6/12)/2)))-SIN(2*ACOS((((6/12)/2)-((6/12)-(6*0.938333/12)))/((6/12)/2))))/2))</f>
        <v>0</v>
      </c>
      <c r="N94" s="141">
        <f>((1.486/Defaults!$M$6)*((((PI()*(8/12)^2)/4)-(((8/12)/2)^2*((2*ACOS((((8/12)/2)-((8/12)-(8*0.938333/12)))/((8/12)/2)))-SIN(2*ACOS((((8/12)/2)-((8/12)-(8*0.938333/12)))/((8/12)/2))))/2))/((PI()*(8/12))-((2*ACOS((((8/12)/2)-((8/12)-(8*0.938333/12)))/((8/12)/2)))*((8/12)/2))))^(2/3)*$H$24^0.5)*(((PI()*(8/12)^2)/4)-(((8/12)/2)^2*((2*ACOS((((8/12)/2)-((8/12)-(8*0.938333/12)))/((8/12)/2)))-SIN(2*ACOS((((8/12)/2)-((8/12)-(8*0.938333/12)))/((8/12)/2))))/2))</f>
        <v>0</v>
      </c>
      <c r="O94" s="141">
        <f>((1.486/Defaults!$M$6)*((((PI()*(10/12)^2)/4)-(((10/12)/2)^2*((2*ACOS((((10/12)/2)-((10/12)-(10*0.938333/12)))/((10/12)/2)))-SIN(2*ACOS((((10/12)/2)-((10/12)-(10*0.938333/12)))/((10/12)/2))))/2))/((PI()*(10/12))-((2*ACOS((((10/12)/2)-((10/12)-(10*0.938333/12)))/((10/12)/2)))*((10/12)/2))))^(2/3)*$H$24^0.5)*(((PI()*(10/12)^2)/4)-(((10/12)/2)^2*((2*ACOS((((10/12)/2)-((10/12)-(10*0.938333/12)))/((10/12)/2)))-SIN(2*ACOS((((10/12)/2)-((10/12)-(10*0.938333/12)))/((10/12)/2))))/2))</f>
        <v>0</v>
      </c>
      <c r="P94" s="141">
        <f>((1.486/Defaults!$M$6)*((((PI()*(12/12)^2)/4)-(((12/12)/2)^2*((2*ACOS((((12/12)/2)-((12/12)-(12*0.938333/12)))/((12/12)/2)))-SIN(2*ACOS((((12/12)/2)-((12/12)-(12*0.938333/12)))/((12/12)/2))))/2))/((PI()*(12/12))-((2*ACOS((((12/12)/2)-((12/12)-(12*0.938333/12)))/((12/12)/2)))*((12/12)/2))))^(2/3)*$H$24^0.5)*(((PI()*(12/12)^2)/4)-(((12/12)/2)^2*((2*ACOS((((12/12)/2)-((12/12)-(12*0.938333/12)))/((12/12)/2)))-SIN(2*ACOS((((12/12)/2)-((12/12)-(12*0.938333/12)))/((12/12)/2))))/2))</f>
        <v>0</v>
      </c>
      <c r="Q94" s="141">
        <f>((1.486/Defaults!$M$6)*((((PI()*(15/12)^2)/4)-(((15/12)/2)^2*((2*ACOS((((15/12)/2)-((15/12)-(15*0.938333/12)))/((15/12)/2)))-SIN(2*ACOS((((15/12)/2)-((15/12)-(15*0.938333/12)))/((15/12)/2))))/2))/((PI()*(15/12))-((2*ACOS((((15/12)/2)-((15/12)-(15*0.938333/12)))/((15/12)/2)))*((15/12)/2))))^(2/3)*$H$24^0.5)*(((PI()*(15/12)^2)/4)-(((15/12)/2)^2*((2*ACOS((((15/12)/2)-((15/12)-(15*0.938333/12)))/((15/12)/2)))-SIN(2*ACOS((((15/12)/2)-((15/12)-(15*0.938333/12)))/((15/12)/2))))/2))</f>
        <v>0</v>
      </c>
      <c r="R94" s="141"/>
      <c r="S94" s="141">
        <f>((1.486/Defaults!$M$6)*((((PI()*(18/12)^2)/4)-(((18/12)/2)^2*((2*ACOS((((18/12)/2)-((18/12)-(18*0.938333/12)))/((18/12)/2)))-SIN(2*ACOS((((18/12)/2)-((18/12)-(18*0.938333/12)))/((18/12)/2))))/2))/((PI()*(18/12))-((2*ACOS((((18/12)/2)-((18/12)-(18*0.938333/12)))/((18/12)/2)))*((18/12)/2))))^(2/3)*$H$24^0.5)*(((PI()*(18/12)^2)/4)-(((18/12)/2)^2*((2*ACOS((((18/12)/2)-((18/12)-(18*0.938333/12)))/((18/12)/2)))-SIN(2*ACOS((((18/12)/2)-((18/12)-(18*0.938333/12)))/((18/12)/2))))/2))</f>
        <v>0</v>
      </c>
      <c r="T94" t="e">
        <f>IF(($F$24+$G$24)&lt;=$M94,6,IF(($F$24+$G$24)&lt;=$N94,8,IF(($F$24+$G$24)&lt;=$O94,10,IF(($F$24+$G$24)&lt;=$P94,12,IF(($F$24+$G$24)&lt;=$Q94,15,IF(($F$24+$G$24)&lt;=$S94,18,"Too Large"))))))</f>
        <v>#VALUE!</v>
      </c>
    </row>
    <row r="95" spans="12:20" x14ac:dyDescent="0.2">
      <c r="L95" t="str">
        <f>Defaults!$L$7</f>
        <v>Concrete</v>
      </c>
      <c r="M95" s="141">
        <f>((1.486/Defaults!$M$7)*((((PI()*(6/12)^2)/4)-(((6/12)/2)^2*((2*ACOS((((6/12)/2)-((6/12)-(6*0.938333/12)))/((6/12)/2)))-SIN(2*ACOS((((6/12)/2)-((6/12)-(6*0.938333/12)))/((6/12)/2))))/2))/((PI()*(6/12))-((2*ACOS((((6/12)/2)-((6/12)-(6*0.938333/12)))/((6/12)/2)))*((6/12)/2))))^(2/3)*$H$24^0.5)*(((PI()*(6/12)^2)/4)-(((6/12)/2)^2*((2*ACOS((((6/12)/2)-((6/12)-(6*0.938333/12)))/((6/12)/2)))-SIN(2*ACOS((((6/12)/2)-((6/12)-(6*0.938333/12)))/((6/12)/2))))/2))</f>
        <v>0</v>
      </c>
      <c r="N95" s="141">
        <f>((1.486/Defaults!$M$7)*((((PI()*(8/12)^2)/4)-(((8/12)/2)^2*((2*ACOS((((8/12)/2)-((8/12)-(8*0.938333/12)))/((8/12)/2)))-SIN(2*ACOS((((8/12)/2)-((8/12)-(8*0.938333/12)))/((8/12)/2))))/2))/((PI()*(8/12))-((2*ACOS((((8/12)/2)-((8/12)-(8*0.938333/12)))/((8/12)/2)))*((8/12)/2))))^(2/3)*$H$24^0.5)*(((PI()*(8/12)^2)/4)-(((8/12)/2)^2*((2*ACOS((((8/12)/2)-((8/12)-(8*0.938333/12)))/((8/12)/2)))-SIN(2*ACOS((((8/12)/2)-((8/12)-(8*0.938333/12)))/((8/12)/2))))/2))</f>
        <v>0</v>
      </c>
      <c r="O95" s="141">
        <f>((1.486/Defaults!$M$7)*((((PI()*(10/12)^2)/4)-(((10/12)/2)^2*((2*ACOS((((10/12)/2)-((10/12)-(10*0.938333/12)))/((10/12)/2)))-SIN(2*ACOS((((10/12)/2)-((10/12)-(10*0.938333/12)))/((10/12)/2))))/2))/((PI()*(10/12))-((2*ACOS((((10/12)/2)-((10/12)-(10*0.938333/12)))/((10/12)/2)))*((10/12)/2))))^(2/3)*$H$24^0.5)*(((PI()*(10/12)^2)/4)-(((10/12)/2)^2*((2*ACOS((((10/12)/2)-((10/12)-(10*0.938333/12)))/((10/12)/2)))-SIN(2*ACOS((((10/12)/2)-((10/12)-(10*0.938333/12)))/((10/12)/2))))/2))</f>
        <v>0</v>
      </c>
      <c r="P95" s="141">
        <f>((1.486/Defaults!$M$7)*((((PI()*(12/12)^2)/4)-(((12/12)/2)^2*((2*ACOS((((12/12)/2)-((12/12)-(12*0.938333/12)))/((12/12)/2)))-SIN(2*ACOS((((12/12)/2)-((12/12)-(12*0.938333/12)))/((12/12)/2))))/2))/((PI()*(12/12))-((2*ACOS((((12/12)/2)-((12/12)-(12*0.938333/12)))/((12/12)/2)))*((12/12)/2))))^(2/3)*$H$24^0.5)*(((PI()*(12/12)^2)/4)-(((12/12)/2)^2*((2*ACOS((((12/12)/2)-((12/12)-(12*0.938333/12)))/((12/12)/2)))-SIN(2*ACOS((((12/12)/2)-((12/12)-(12*0.938333/12)))/((12/12)/2))))/2))</f>
        <v>0</v>
      </c>
      <c r="Q95" s="141">
        <f>((1.486/Defaults!$M$7)*((((PI()*(15/12)^2)/4)-(((15/12)/2)^2*((2*ACOS((((15/12)/2)-((15/12)-(15*0.938333/12)))/((15/12)/2)))-SIN(2*ACOS((((15/12)/2)-((15/12)-(15*0.938333/12)))/((15/12)/2))))/2))/((PI()*(15/12))-((2*ACOS((((15/12)/2)-((15/12)-(15*0.938333/12)))/((15/12)/2)))*((15/12)/2))))^(2/3)*$H$24^0.5)*(((PI()*(15/12)^2)/4)-(((15/12)/2)^2*((2*ACOS((((15/12)/2)-((15/12)-(15*0.938333/12)))/((15/12)/2)))-SIN(2*ACOS((((15/12)/2)-((15/12)-(15*0.938333/12)))/((15/12)/2))))/2))</f>
        <v>0</v>
      </c>
      <c r="R95" s="141">
        <f>((1.486/Defaults!$M$7)*((((PI()*(16/12)^2)/4)-(((16/12)/2)^2*((2*ACOS((((16/12)/2)-((16/12)-(16*0.938333/12)))/((16/12)/2)))-SIN(2*ACOS((((16/12)/2)-((16/12)-(16*0.938333/12)))/((16/12)/2))))/2))/((PI()*(16/12))-((2*ACOS((((16/12)/2)-((16/12)-(16*0.938333/12)))/((16/12)/2)))*((16/12)/2))))^(2/3)*$H$24^0.5)*(((PI()*(16/12)^2)/4)-(((16/12)/2)^2*((2*ACOS((((16/12)/2)-((16/12)-(16*0.938333/12)))/((16/12)/2)))-SIN(2*ACOS((((16/12)/2)-((16/12)-(16*0.938333/12)))/((16/12)/2))))/2))</f>
        <v>0</v>
      </c>
      <c r="S95" s="141">
        <f>((1.486/Defaults!$M$7)*((((PI()*(18/12)^2)/4)-(((18/12)/2)^2*((2*ACOS((((18/12)/2)-((18/12)-(18*0.938333/12)))/((18/12)/2)))-SIN(2*ACOS((((18/12)/2)-((18/12)-(18*0.938333/12)))/((18/12)/2))))/2))/((PI()*(18/12))-((2*ACOS((((18/12)/2)-((18/12)-(18*0.938333/12)))/((18/12)/2)))*((18/12)/2))))^(2/3)*$H$24^0.5)*(((PI()*(18/12)^2)/4)-(((18/12)/2)^2*((2*ACOS((((18/12)/2)-((18/12)-(18*0.938333/12)))/((18/12)/2)))-SIN(2*ACOS((((18/12)/2)-((18/12)-(18*0.938333/12)))/((18/12)/2))))/2))</f>
        <v>0</v>
      </c>
      <c r="T95" t="e">
        <f>IF(($F$24+$G$24)&lt;=$M95,6,IF(($F$24+$G$24)&lt;=$N95,8,IF(($F$24+$G$24)&lt;=$O95,10,IF(($F$24+$G$24)&lt;=$P95,12,IF(($F$24+$G$24)&lt;=$Q95,15,IF(($F$24+$G$24)&lt;=$R95,16,IF(($F$24+$G$24)&lt;=$S95,18,"Too Large")))))))</f>
        <v>#VALUE!</v>
      </c>
    </row>
    <row r="97" spans="12:20" x14ac:dyDescent="0.2">
      <c r="M97">
        <v>6</v>
      </c>
      <c r="N97">
        <v>8</v>
      </c>
      <c r="O97">
        <v>10</v>
      </c>
      <c r="P97">
        <v>12</v>
      </c>
      <c r="Q97">
        <v>15</v>
      </c>
      <c r="R97">
        <v>16</v>
      </c>
      <c r="S97">
        <v>18</v>
      </c>
      <c r="T97" s="140" t="s">
        <v>186</v>
      </c>
    </row>
    <row r="98" spans="12:20" x14ac:dyDescent="0.2">
      <c r="L98" t="str">
        <f>Defaults!$L$2</f>
        <v>CPT (Tile)</v>
      </c>
      <c r="M98" s="141">
        <f>((1.486/Defaults!$M$10)*((((PI()*(6/12)^2)/4)-(((6/12)/2)^2*((2*ACOS((((6/12)/2)-((6/12)-(6*0.938333/12)))/((6/12)/2)))-SIN(2*ACOS((((6/12)/2)-((6/12)-(6*0.938333/12)))/((6/12)/2))))/2))/((PI()*(6/12))-((2*ACOS((((6/12)/2)-((6/12)-(6*0.938333/12)))/((6/12)/2)))*((6/12)/2))))^(2/3)*$H$25^0.5)*(((PI()*(6/12)^2)/4)-(((6/12)/2)^2*((2*ACOS((((6/12)/2)-((6/12)-(6*0.938333/12)))/((6/12)/2)))-SIN(2*ACOS((((6/12)/2)-((6/12)-(6*0.938333/12)))/((6/12)/2))))/2))</f>
        <v>0</v>
      </c>
      <c r="N98" s="141">
        <f>((1.486/Defaults!$M$11)*((((PI()*(8/12)^2)/4)-(((8/12)/2)^2*((2*ACOS((((8/12)/2)-((8/12)-(8*0.938333/12)))/((8/12)/2)))-SIN(2*ACOS((((8/12)/2)-((8/12)-(8*0.938333/12)))/((8/12)/2))))/2))/((PI()*(8/12))-((2*ACOS((((8/12)/2)-((8/12)-(8*0.938333/12)))/((8/12)/2)))*((8/12)/2))))^(2/3)*$H$25^0.5)*(((PI()*(8/12)^2)/4)-(((8/12)/2)^2*((2*ACOS((((8/12)/2)-((8/12)-(8*0.938333/12)))/((8/12)/2)))-SIN(2*ACOS((((8/12)/2)-((8/12)-(8*0.938333/12)))/((8/12)/2))))/2))</f>
        <v>0</v>
      </c>
      <c r="O98" s="141">
        <f>((1.486/Defaults!$M$12)*((((PI()*(10/12)^2)/4)-(((10/12)/2)^2*((2*ACOS((((10/12)/2)-((10/12)-(10*0.938333/12)))/((10/12)/2)))-SIN(2*ACOS((((10/12)/2)-((10/12)-(10*0.938333/12)))/((10/12)/2))))/2))/((PI()*(10/12))-((2*ACOS((((10/12)/2)-((10/12)-(10*0.938333/12)))/((10/12)/2)))*((10/12)/2))))^(2/3)*$H$25^0.5)*(((PI()*(10/12)^2)/4)-(((10/12)/2)^2*((2*ACOS((((10/12)/2)-((10/12)-(10*0.938333/12)))/((10/12)/2)))-SIN(2*ACOS((((10/12)/2)-((10/12)-(10*0.938333/12)))/((10/12)/2))))/2))</f>
        <v>0</v>
      </c>
      <c r="P98" s="141">
        <f>((1.486/Defaults!$M$13)*((((PI()*(12/12)^2)/4)-(((12/12)/2)^2*((2*ACOS((((12/12)/2)-((12/12)-(12*0.938333/12)))/((12/12)/2)))-SIN(2*ACOS((((12/12)/2)-((12/12)-(12*0.938333/12)))/((12/12)/2))))/2))/((PI()*(12/12))-((2*ACOS((((12/12)/2)-((12/12)-(12*0.938333/12)))/((12/12)/2)))*((12/12)/2))))^(2/3)*$H$25^0.5)*(((PI()*(12/12)^2)/4)-(((12/12)/2)^2*((2*ACOS((((12/12)/2)-((12/12)-(12*0.938333/12)))/((12/12)/2)))-SIN(2*ACOS((((12/12)/2)-((12/12)-(12*0.938333/12)))/((12/12)/2))))/2))</f>
        <v>0</v>
      </c>
      <c r="Q98" s="141">
        <f>((1.486/Defaults!$M$14)*((((PI()*(15/12)^2)/4)-(((15/12)/2)^2*((2*ACOS((((15/12)/2)-((15/12)-(15*0.938333/12)))/((15/12)/2)))-SIN(2*ACOS((((15/12)/2)-((15/12)-(15*0.938333/12)))/((15/12)/2))))/2))/((PI()*(15/12))-((2*ACOS((((15/12)/2)-((15/12)-(15*0.938333/12)))/((15/12)/2)))*((15/12)/2))))^(2/3)*$H$25^0.5)*(((PI()*(15/12)^2)/4)-(((15/12)/2)^2*((2*ACOS((((15/12)/2)-((15/12)-(15*0.938333/12)))/((15/12)/2)))-SIN(2*ACOS((((15/12)/2)-((15/12)-(15*0.938333/12)))/((15/12)/2))))/2))</f>
        <v>0</v>
      </c>
      <c r="S98" s="141">
        <f>((1.486/Defaults!$M$15)*((((PI()*(18/12)^2)/4)-(((18/12)/2)^2*((2*ACOS((((18/12)/2)-((18/12)-(18*0.938333/12)))/((18/12)/2)))-SIN(2*ACOS((((18/12)/2)-((18/12)-(18*0.938333/12)))/((18/12)/2))))/2))/((PI()*(18/12))-((2*ACOS((((18/12)/2)-((18/12)-(18*0.938333/12)))/((18/12)/2)))*((18/12)/2))))^(2/3)*$H$25^0.5)*(((PI()*(18/12)^2)/4)-(((18/12)/2)^2*((2*ACOS((((18/12)/2)-((18/12)-(18*0.938333/12)))/((18/12)/2)))-SIN(2*ACOS((((18/12)/2)-((18/12)-(18*0.938333/12)))/((18/12)/2))))/2))</f>
        <v>0</v>
      </c>
      <c r="T98" t="e">
        <f>IF(($F$25+$G$25)&lt;=$M98,6,IF(($F$25+$G$25)&lt;=$N98,8,IF(($F$25+$G$25)&lt;=$O98,10,IF(($F$25+$G$25)&lt;=$P98,12,IF(($F$25+$G$25)&lt;=$Q98,15,IF(($F$25+$G$25)&lt;=$S98,18,"Too Large"))))))</f>
        <v>#VALUE!</v>
      </c>
    </row>
    <row r="99" spans="12:20" x14ac:dyDescent="0.2">
      <c r="L99" t="str">
        <f>Defaults!$L$3</f>
        <v>Dual-Wall CPT</v>
      </c>
      <c r="M99" s="141">
        <f>((1.486/Defaults!$M$3)*((((PI()*(6/12)^2)/4)-(((6/12)/2)^2*((2*ACOS((((6/12)/2)-((6/12)-(6*0.938333/12)))/((6/12)/2)))-SIN(2*ACOS((((6/12)/2)-((6/12)-(6*0.938333/12)))/((6/12)/2))))/2))/((PI()*(6/12))-((2*ACOS((((6/12)/2)-((6/12)-(6*0.938333/12)))/((6/12)/2)))*((6/12)/2))))^(2/3)*$H$25^0.5)*(((PI()*(6/12)^2)/4)-(((6/12)/2)^2*((2*ACOS((((6/12)/2)-((6/12)-(6*0.938333/12)))/((6/12)/2)))-SIN(2*ACOS((((6/12)/2)-((6/12)-(6*0.938333/12)))/((6/12)/2))))/2))</f>
        <v>0</v>
      </c>
      <c r="N99" s="141">
        <f>((1.486/Defaults!$M$3)*((((PI()*(8/12)^2)/4)-(((8/12)/2)^2*((2*ACOS((((8/12)/2)-((8/12)-(8*0.938333/12)))/((8/12)/2)))-SIN(2*ACOS((((8/12)/2)-((8/12)-(8*0.938333/12)))/((8/12)/2))))/2))/((PI()*(8/12))-((2*ACOS((((8/12)/2)-((8/12)-(8*0.938333/12)))/((8/12)/2)))*((8/12)/2))))^(2/3)*$H$25^0.5)*(((PI()*(8/12)^2)/4)-(((8/12)/2)^2*((2*ACOS((((8/12)/2)-((8/12)-(8*0.938333/12)))/((8/12)/2)))-SIN(2*ACOS((((8/12)/2)-((8/12)-(8*0.938333/12)))/((8/12)/2))))/2))</f>
        <v>0</v>
      </c>
      <c r="O99" s="141">
        <f>((1.486/Defaults!$M$3)*((((PI()*(10/12)^2)/4)-(((10/12)/2)^2*((2*ACOS((((10/12)/2)-((10/12)-(10*0.938333/12)))/((10/12)/2)))-SIN(2*ACOS((((10/12)/2)-((10/12)-(10*0.938333/12)))/((10/12)/2))))/2))/((PI()*(10/12))-((2*ACOS((((10/12)/2)-((10/12)-(10*0.938333/12)))/((10/12)/2)))*((10/12)/2))))^(2/3)*$H$25^0.5)*(((PI()*(10/12)^2)/4)-(((10/12)/2)^2*((2*ACOS((((10/12)/2)-((10/12)-(10*0.938333/12)))/((10/12)/2)))-SIN(2*ACOS((((10/12)/2)-((10/12)-(10*0.938333/12)))/((10/12)/2))))/2))</f>
        <v>0</v>
      </c>
      <c r="P99" s="141">
        <f>((1.486/Defaults!$M$3)*((((PI()*(12/12)^2)/4)-(((12/12)/2)^2*((2*ACOS((((12/12)/2)-((12/12)-(12*0.938333/12)))/((12/12)/2)))-SIN(2*ACOS((((12/12)/2)-((12/12)-(12*0.938333/12)))/((12/12)/2))))/2))/((PI()*(12/12))-((2*ACOS((((12/12)/2)-((12/12)-(12*0.938333/12)))/((12/12)/2)))*((12/12)/2))))^(2/3)*$H$25^0.5)*(((PI()*(12/12)^2)/4)-(((12/12)/2)^2*((2*ACOS((((12/12)/2)-((12/12)-(12*0.938333/12)))/((12/12)/2)))-SIN(2*ACOS((((12/12)/2)-((12/12)-(12*0.938333/12)))/((12/12)/2))))/2))</f>
        <v>0</v>
      </c>
      <c r="Q99" s="141">
        <f>((1.486/Defaults!$M$3)*((((PI()*(15/12)^2)/4)-(((15/12)/2)^2*((2*ACOS((((15/12)/2)-((15/12)-(15*0.938333/12)))/((15/12)/2)))-SIN(2*ACOS((((15/12)/2)-((15/12)-(15*0.938333/12)))/((15/12)/2))))/2))/((PI()*(15/12))-((2*ACOS((((15/12)/2)-((15/12)-(15*0.938333/12)))/((15/12)/2)))*((15/12)/2))))^(2/3)*$H$25^0.5)*(((PI()*(15/12)^2)/4)-(((15/12)/2)^2*((2*ACOS((((15/12)/2)-((15/12)-(15*0.938333/12)))/((15/12)/2)))-SIN(2*ACOS((((15/12)/2)-((15/12)-(15*0.938333/12)))/((15/12)/2))))/2))</f>
        <v>0</v>
      </c>
      <c r="R99" s="141"/>
      <c r="S99" s="141">
        <f>((1.486/Defaults!$M$3)*((((PI()*(18/12)^2)/4)-(((18/12)/2)^2*((2*ACOS((((18/12)/2)-((18/12)-(18*0.938333/12)))/((18/12)/2)))-SIN(2*ACOS((((18/12)/2)-((18/12)-(18*0.938333/12)))/((18/12)/2))))/2))/((PI()*(18/12))-((2*ACOS((((18/12)/2)-((18/12)-(18*0.938333/12)))/((18/12)/2)))*((18/12)/2))))^(2/3)*$H$25^0.5)*(((PI()*(18/12)^2)/4)-(((18/12)/2)^2*((2*ACOS((((18/12)/2)-((18/12)-(18*0.938333/12)))/((18/12)/2)))-SIN(2*ACOS((((18/12)/2)-((18/12)-(18*0.938333/12)))/((18/12)/2))))/2))</f>
        <v>0</v>
      </c>
      <c r="T99" t="e">
        <f>IF(($F$25+$G$25)&lt;=$M99,6,IF(($F$25+$G$25)&lt;=$N99,8,IF(($F$25+$G$25)&lt;=$O99,10,IF(($F$25+$G$25)&lt;=$P99,12,IF(($F$25+$G$25)&lt;=$Q99,15,IF(($F$25+$G$25)&lt;=$S99,18,"Too Large"))))))</f>
        <v>#VALUE!</v>
      </c>
    </row>
    <row r="100" spans="12:20" x14ac:dyDescent="0.2">
      <c r="L100" t="str">
        <f>Defaults!$L$4</f>
        <v>CMP-Annular</v>
      </c>
      <c r="M100" s="141">
        <f>((1.486/Defaults!$M$4)*((((PI()*(6/12)^2)/4)-(((6/12)/2)^2*((2*ACOS((((6/12)/2)-((6/12)-(6*0.938333/12)))/((6/12)/2)))-SIN(2*ACOS((((6/12)/2)-((6/12)-(6*0.938333/12)))/((6/12)/2))))/2))/((PI()*(6/12))-((2*ACOS((((6/12)/2)-((6/12)-(6*0.938333/12)))/((6/12)/2)))*((6/12)/2))))^(2/3)*$H$25^0.5)*(((PI()*(6/12)^2)/4)-(((6/12)/2)^2*((2*ACOS((((6/12)/2)-((6/12)-(6*0.938333/12)))/((6/12)/2)))-SIN(2*ACOS((((6/12)/2)-((6/12)-(6*0.938333/12)))/((6/12)/2))))/2))</f>
        <v>0</v>
      </c>
      <c r="N100" s="141">
        <f>((1.486/Defaults!$M$4)*((((PI()*(8/12)^2)/4)-(((8/12)/2)^2*((2*ACOS((((8/12)/2)-((8/12)-(8*0.938333/12)))/((8/12)/2)))-SIN(2*ACOS((((8/12)/2)-((8/12)-(8*0.938333/12)))/((8/12)/2))))/2))/((PI()*(8/12))-((2*ACOS((((8/12)/2)-((8/12)-(8*0.938333/12)))/((8/12)/2)))*((8/12)/2))))^(2/3)*$H$25^0.5)*(((PI()*(8/12)^2)/4)-(((8/12)/2)^2*((2*ACOS((((8/12)/2)-((8/12)-(8*0.938333/12)))/((8/12)/2)))-SIN(2*ACOS((((8/12)/2)-((8/12)-(8*0.938333/12)))/((8/12)/2))))/2))</f>
        <v>0</v>
      </c>
      <c r="O100" s="141">
        <f>((1.486/Defaults!$M$4)*((((PI()*(10/12)^2)/4)-(((10/12)/2)^2*((2*ACOS((((10/12)/2)-((10/12)-(10*0.938333/12)))/((10/12)/2)))-SIN(2*ACOS((((10/12)/2)-((10/12)-(10*0.938333/12)))/((10/12)/2))))/2))/((PI()*(10/12))-((2*ACOS((((10/12)/2)-((10/12)-(10*0.938333/12)))/((10/12)/2)))*((10/12)/2))))^(2/3)*$H$25^0.5)*(((PI()*(10/12)^2)/4)-(((10/12)/2)^2*((2*ACOS((((10/12)/2)-((10/12)-(10*0.938333/12)))/((10/12)/2)))-SIN(2*ACOS((((10/12)/2)-((10/12)-(10*0.938333/12)))/((10/12)/2))))/2))</f>
        <v>0</v>
      </c>
      <c r="P100" s="141">
        <f>((1.486/Defaults!$M$4)*((((PI()*(12/12)^2)/4)-(((12/12)/2)^2*((2*ACOS((((12/12)/2)-((12/12)-(12*0.938333/12)))/((12/12)/2)))-SIN(2*ACOS((((12/12)/2)-((12/12)-(12*0.938333/12)))/((12/12)/2))))/2))/((PI()*(12/12))-((2*ACOS((((12/12)/2)-((12/12)-(12*0.938333/12)))/((12/12)/2)))*((12/12)/2))))^(2/3)*$H$25^0.5)*(((PI()*(12/12)^2)/4)-(((12/12)/2)^2*((2*ACOS((((12/12)/2)-((12/12)-(12*0.938333/12)))/((12/12)/2)))-SIN(2*ACOS((((12/12)/2)-((12/12)-(12*0.938333/12)))/((12/12)/2))))/2))</f>
        <v>0</v>
      </c>
      <c r="Q100" s="141">
        <f>((1.486/Defaults!$M$4)*((((PI()*(15/12)^2)/4)-(((15/12)/2)^2*((2*ACOS((((15/12)/2)-((15/12)-(15*0.938333/12)))/((15/12)/2)))-SIN(2*ACOS((((15/12)/2)-((15/12)-(15*0.938333/12)))/((15/12)/2))))/2))/((PI()*(15/12))-((2*ACOS((((15/12)/2)-((15/12)-(15*0.938333/12)))/((15/12)/2)))*((15/12)/2))))^(2/3)*$H$25^0.5)*(((PI()*(15/12)^2)/4)-(((15/12)/2)^2*((2*ACOS((((15/12)/2)-((15/12)-(15*0.938333/12)))/((15/12)/2)))-SIN(2*ACOS((((15/12)/2)-((15/12)-(15*0.938333/12)))/((15/12)/2))))/2))</f>
        <v>0</v>
      </c>
      <c r="R100" s="141"/>
      <c r="S100" s="141">
        <f>((1.486/Defaults!$M$4)*((((PI()*(18/12)^2)/4)-(((18/12)/2)^2*((2*ACOS((((18/12)/2)-((18/12)-(18*0.938333/12)))/((18/12)/2)))-SIN(2*ACOS((((18/12)/2)-((18/12)-(18*0.938333/12)))/((18/12)/2))))/2))/((PI()*(18/12))-((2*ACOS((((18/12)/2)-((18/12)-(18*0.938333/12)))/((18/12)/2)))*((18/12)/2))))^(2/3)*$H$25^0.5)*(((PI()*(18/12)^2)/4)-(((18/12)/2)^2*((2*ACOS((((18/12)/2)-((18/12)-(18*0.938333/12)))/((18/12)/2)))-SIN(2*ACOS((((18/12)/2)-((18/12)-(18*0.938333/12)))/((18/12)/2))))/2))</f>
        <v>0</v>
      </c>
      <c r="T100" t="e">
        <f>IF(($F$25+$G$25)&lt;=$M100,6,IF(($F$25+$G$25)&lt;=$N100,8,IF(($F$25+$G$25)&lt;=$O100,10,IF(($F$25+$G$25)&lt;=$P100,12,IF(($F$25+$G$25)&lt;=$Q100,15,IF(($F$25+$G$25)&lt;=$S100,18,"Too Large"))))))</f>
        <v>#VALUE!</v>
      </c>
    </row>
    <row r="101" spans="12:20" x14ac:dyDescent="0.2">
      <c r="L101" t="str">
        <f>Defaults!$L$5</f>
        <v>CMP-Helical</v>
      </c>
      <c r="M101" s="141">
        <f>((1.486/Defaults!$M$5)*((((PI()*(6/12)^2)/4)-(((6/12)/2)^2*((2*ACOS((((6/12)/2)-((6/12)-(6*0.938333/12)))/((6/12)/2)))-SIN(2*ACOS((((6/12)/2)-((6/12)-(6*0.938333/12)))/((6/12)/2))))/2))/((PI()*(6/12))-((2*ACOS((((6/12)/2)-((6/12)-(6*0.938333/12)))/((6/12)/2)))*((6/12)/2))))^(2/3)*$H$25^0.5)*(((PI()*(6/12)^2)/4)-(((6/12)/2)^2*((2*ACOS((((6/12)/2)-((6/12)-(6*0.938333/12)))/((6/12)/2)))-SIN(2*ACOS((((6/12)/2)-((6/12)-(6*0.938333/12)))/((6/12)/2))))/2))</f>
        <v>0</v>
      </c>
      <c r="N101" s="141">
        <f>((1.486/Defaults!$M$5)*((((PI()*(8/12)^2)/4)-(((8/12)/2)^2*((2*ACOS((((8/12)/2)-((8/12)-(8*0.938333/12)))/((8/12)/2)))-SIN(2*ACOS((((8/12)/2)-((8/12)-(8*0.938333/12)))/((8/12)/2))))/2))/((PI()*(8/12))-((2*ACOS((((8/12)/2)-((8/12)-(8*0.938333/12)))/((8/12)/2)))*((8/12)/2))))^(2/3)*$H$25^0.5)*(((PI()*(8/12)^2)/4)-(((8/12)/2)^2*((2*ACOS((((8/12)/2)-((8/12)-(8*0.938333/12)))/((8/12)/2)))-SIN(2*ACOS((((8/12)/2)-((8/12)-(8*0.938333/12)))/((8/12)/2))))/2))</f>
        <v>0</v>
      </c>
      <c r="O101" s="141">
        <f>((1.486/Defaults!$M$5)*((((PI()*(10/12)^2)/4)-(((10/12)/2)^2*((2*ACOS((((10/12)/2)-((10/12)-(10*0.938333/12)))/((10/12)/2)))-SIN(2*ACOS((((10/12)/2)-((10/12)-(10*0.938333/12)))/((10/12)/2))))/2))/((PI()*(10/12))-((2*ACOS((((10/12)/2)-((10/12)-(10*0.938333/12)))/((10/12)/2)))*((10/12)/2))))^(2/3)*$H$25^0.5)*(((PI()*(10/12)^2)/4)-(((10/12)/2)^2*((2*ACOS((((10/12)/2)-((10/12)-(10*0.938333/12)))/((10/12)/2)))-SIN(2*ACOS((((10/12)/2)-((10/12)-(10*0.938333/12)))/((10/12)/2))))/2))</f>
        <v>0</v>
      </c>
      <c r="P101" s="141">
        <f>((1.486/Defaults!$M$5)*((((PI()*(12/12)^2)/4)-(((12/12)/2)^2*((2*ACOS((((12/12)/2)-((12/12)-(12*0.938333/12)))/((12/12)/2)))-SIN(2*ACOS((((12/12)/2)-((12/12)-(12*0.938333/12)))/((12/12)/2))))/2))/((PI()*(12/12))-((2*ACOS((((12/12)/2)-((12/12)-(12*0.938333/12)))/((12/12)/2)))*((12/12)/2))))^(2/3)*$H$25^0.5)*(((PI()*(12/12)^2)/4)-(((12/12)/2)^2*((2*ACOS((((12/12)/2)-((12/12)-(12*0.938333/12)))/((12/12)/2)))-SIN(2*ACOS((((12/12)/2)-((12/12)-(12*0.938333/12)))/((12/12)/2))))/2))</f>
        <v>0</v>
      </c>
      <c r="Q101" s="141">
        <f>((1.486/Defaults!$M$5)*((((PI()*(15/12)^2)/4)-(((15/12)/2)^2*((2*ACOS((((15/12)/2)-((15/12)-(15*0.938333/12)))/((15/12)/2)))-SIN(2*ACOS((((15/12)/2)-((15/12)-(15*0.938333/12)))/((15/12)/2))))/2))/((PI()*(15/12))-((2*ACOS((((15/12)/2)-((15/12)-(15*0.938333/12)))/((15/12)/2)))*((15/12)/2))))^(2/3)*$H$25^0.5)*(((PI()*(15/12)^2)/4)-(((15/12)/2)^2*((2*ACOS((((15/12)/2)-((15/12)-(15*0.938333/12)))/((15/12)/2)))-SIN(2*ACOS((((15/12)/2)-((15/12)-(15*0.938333/12)))/((15/12)/2))))/2))</f>
        <v>0</v>
      </c>
      <c r="R101" s="141"/>
      <c r="S101" s="141">
        <f>((1.486/Defaults!$M$5)*((((PI()*(18/12)^2)/4)-(((18/12)/2)^2*((2*ACOS((((18/12)/2)-((18/12)-(18*0.938333/12)))/((18/12)/2)))-SIN(2*ACOS((((18/12)/2)-((18/12)-(18*0.938333/12)))/((18/12)/2))))/2))/((PI()*(18/12))-((2*ACOS((((18/12)/2)-((18/12)-(18*0.938333/12)))/((18/12)/2)))*((18/12)/2))))^(2/3)*$H$25^0.5)*(((PI()*(18/12)^2)/4)-(((18/12)/2)^2*((2*ACOS((((18/12)/2)-((18/12)-(18*0.938333/12)))/((18/12)/2)))-SIN(2*ACOS((((18/12)/2)-((18/12)-(18*0.938333/12)))/((18/12)/2))))/2))</f>
        <v>0</v>
      </c>
      <c r="T101" t="e">
        <f>IF(($F$25+$G$25)&lt;=$M101,6,IF(($F$25+$G$25)&lt;=$N101,8,IF(($F$25+$G$25)&lt;=$O101,10,IF(($F$25+$G$25)&lt;=$P101,12,IF(($F$25+$G$25)&lt;=$Q101,15,IF(($F$25+$G$25)&lt;=$S101,18,"Too Large"))))))</f>
        <v>#VALUE!</v>
      </c>
    </row>
    <row r="102" spans="12:20" x14ac:dyDescent="0.2">
      <c r="L102" s="93" t="str">
        <f>Defaults!$L$6</f>
        <v>PVC</v>
      </c>
      <c r="M102" s="141">
        <f>((1.486/Defaults!$M$6)*((((PI()*(6/12)^2)/4)-(((6/12)/2)^2*((2*ACOS((((6/12)/2)-((6/12)-(6*0.938333/12)))/((6/12)/2)))-SIN(2*ACOS((((6/12)/2)-((6/12)-(6*0.938333/12)))/((6/12)/2))))/2))/((PI()*(6/12))-((2*ACOS((((6/12)/2)-((6/12)-(6*0.938333/12)))/((6/12)/2)))*((6/12)/2))))^(2/3)*$H$25^0.5)*(((PI()*(6/12)^2)/4)-(((6/12)/2)^2*((2*ACOS((((6/12)/2)-((6/12)-(6*0.938333/12)))/((6/12)/2)))-SIN(2*ACOS((((6/12)/2)-((6/12)-(6*0.938333/12)))/((6/12)/2))))/2))</f>
        <v>0</v>
      </c>
      <c r="N102" s="141">
        <f>((1.486/Defaults!$M$6)*((((PI()*(8/12)^2)/4)-(((8/12)/2)^2*((2*ACOS((((8/12)/2)-((8/12)-(8*0.938333/12)))/((8/12)/2)))-SIN(2*ACOS((((8/12)/2)-((8/12)-(8*0.938333/12)))/((8/12)/2))))/2))/((PI()*(8/12))-((2*ACOS((((8/12)/2)-((8/12)-(8*0.938333/12)))/((8/12)/2)))*((8/12)/2))))^(2/3)*$H$25^0.5)*(((PI()*(8/12)^2)/4)-(((8/12)/2)^2*((2*ACOS((((8/12)/2)-((8/12)-(8*0.938333/12)))/((8/12)/2)))-SIN(2*ACOS((((8/12)/2)-((8/12)-(8*0.938333/12)))/((8/12)/2))))/2))</f>
        <v>0</v>
      </c>
      <c r="O102" s="141">
        <f>((1.486/Defaults!$M$6)*((((PI()*(10/12)^2)/4)-(((10/12)/2)^2*((2*ACOS((((10/12)/2)-((10/12)-(10*0.938333/12)))/((10/12)/2)))-SIN(2*ACOS((((10/12)/2)-((10/12)-(10*0.938333/12)))/((10/12)/2))))/2))/((PI()*(10/12))-((2*ACOS((((10/12)/2)-((10/12)-(10*0.938333/12)))/((10/12)/2)))*((10/12)/2))))^(2/3)*$H$25^0.5)*(((PI()*(10/12)^2)/4)-(((10/12)/2)^2*((2*ACOS((((10/12)/2)-((10/12)-(10*0.938333/12)))/((10/12)/2)))-SIN(2*ACOS((((10/12)/2)-((10/12)-(10*0.938333/12)))/((10/12)/2))))/2))</f>
        <v>0</v>
      </c>
      <c r="P102" s="141">
        <f>((1.486/Defaults!$M$6)*((((PI()*(12/12)^2)/4)-(((12/12)/2)^2*((2*ACOS((((12/12)/2)-((12/12)-(12*0.938333/12)))/((12/12)/2)))-SIN(2*ACOS((((12/12)/2)-((12/12)-(12*0.938333/12)))/((12/12)/2))))/2))/((PI()*(12/12))-((2*ACOS((((12/12)/2)-((12/12)-(12*0.938333/12)))/((12/12)/2)))*((12/12)/2))))^(2/3)*$H$25^0.5)*(((PI()*(12/12)^2)/4)-(((12/12)/2)^2*((2*ACOS((((12/12)/2)-((12/12)-(12*0.938333/12)))/((12/12)/2)))-SIN(2*ACOS((((12/12)/2)-((12/12)-(12*0.938333/12)))/((12/12)/2))))/2))</f>
        <v>0</v>
      </c>
      <c r="Q102" s="141">
        <f>((1.486/Defaults!$M$6)*((((PI()*(15/12)^2)/4)-(((15/12)/2)^2*((2*ACOS((((15/12)/2)-((15/12)-(15*0.938333/12)))/((15/12)/2)))-SIN(2*ACOS((((15/12)/2)-((15/12)-(15*0.938333/12)))/((15/12)/2))))/2))/((PI()*(15/12))-((2*ACOS((((15/12)/2)-((15/12)-(15*0.938333/12)))/((15/12)/2)))*((15/12)/2))))^(2/3)*$H$25^0.5)*(((PI()*(15/12)^2)/4)-(((15/12)/2)^2*((2*ACOS((((15/12)/2)-((15/12)-(15*0.938333/12)))/((15/12)/2)))-SIN(2*ACOS((((15/12)/2)-((15/12)-(15*0.938333/12)))/((15/12)/2))))/2))</f>
        <v>0</v>
      </c>
      <c r="R102" s="141"/>
      <c r="S102" s="141">
        <f>((1.486/Defaults!$M$6)*((((PI()*(18/12)^2)/4)-(((18/12)/2)^2*((2*ACOS((((18/12)/2)-((18/12)-(18*0.938333/12)))/((18/12)/2)))-SIN(2*ACOS((((18/12)/2)-((18/12)-(18*0.938333/12)))/((18/12)/2))))/2))/((PI()*(18/12))-((2*ACOS((((18/12)/2)-((18/12)-(18*0.938333/12)))/((18/12)/2)))*((18/12)/2))))^(2/3)*$H$25^0.5)*(((PI()*(18/12)^2)/4)-(((18/12)/2)^2*((2*ACOS((((18/12)/2)-((18/12)-(18*0.938333/12)))/((18/12)/2)))-SIN(2*ACOS((((18/12)/2)-((18/12)-(18*0.938333/12)))/((18/12)/2))))/2))</f>
        <v>0</v>
      </c>
      <c r="T102" t="e">
        <f>IF(($F$25+$G$25)&lt;=$M102,6,IF(($F$25+$G$25)&lt;=$N102,8,IF(($F$25+$G$25)&lt;=$O102,10,IF(($F$25+$G$25)&lt;=$P102,12,IF(($F$25+$G$25)&lt;=$Q102,15,IF(($F$25+$G$25)&lt;=$S102,18,"Too Large"))))))</f>
        <v>#VALUE!</v>
      </c>
    </row>
    <row r="103" spans="12:20" x14ac:dyDescent="0.2">
      <c r="L103" t="str">
        <f>Defaults!$L$7</f>
        <v>Concrete</v>
      </c>
      <c r="M103" s="141">
        <f>((1.486/Defaults!$M$7)*((((PI()*(6/12)^2)/4)-(((6/12)/2)^2*((2*ACOS((((6/12)/2)-((6/12)-(6*0.938333/12)))/((6/12)/2)))-SIN(2*ACOS((((6/12)/2)-((6/12)-(6*0.938333/12)))/((6/12)/2))))/2))/((PI()*(6/12))-((2*ACOS((((6/12)/2)-((6/12)-(6*0.938333/12)))/((6/12)/2)))*((6/12)/2))))^(2/3)*$H$25^0.5)*(((PI()*(6/12)^2)/4)-(((6/12)/2)^2*((2*ACOS((((6/12)/2)-((6/12)-(6*0.938333/12)))/((6/12)/2)))-SIN(2*ACOS((((6/12)/2)-((6/12)-(6*0.938333/12)))/((6/12)/2))))/2))</f>
        <v>0</v>
      </c>
      <c r="N103" s="141">
        <f>((1.486/Defaults!$M$7)*((((PI()*(8/12)^2)/4)-(((8/12)/2)^2*((2*ACOS((((8/12)/2)-((8/12)-(8*0.938333/12)))/((8/12)/2)))-SIN(2*ACOS((((8/12)/2)-((8/12)-(8*0.938333/12)))/((8/12)/2))))/2))/((PI()*(8/12))-((2*ACOS((((8/12)/2)-((8/12)-(8*0.938333/12)))/((8/12)/2)))*((8/12)/2))))^(2/3)*$H$25^0.5)*(((PI()*(8/12)^2)/4)-(((8/12)/2)^2*((2*ACOS((((8/12)/2)-((8/12)-(8*0.938333/12)))/((8/12)/2)))-SIN(2*ACOS((((8/12)/2)-((8/12)-(8*0.938333/12)))/((8/12)/2))))/2))</f>
        <v>0</v>
      </c>
      <c r="O103" s="141">
        <f>((1.486/Defaults!$M$7)*((((PI()*(10/12)^2)/4)-(((10/12)/2)^2*((2*ACOS((((10/12)/2)-((10/12)-(10*0.938333/12)))/((10/12)/2)))-SIN(2*ACOS((((10/12)/2)-((10/12)-(10*0.938333/12)))/((10/12)/2))))/2))/((PI()*(10/12))-((2*ACOS((((10/12)/2)-((10/12)-(10*0.938333/12)))/((10/12)/2)))*((10/12)/2))))^(2/3)*$H$25^0.5)*(((PI()*(10/12)^2)/4)-(((10/12)/2)^2*((2*ACOS((((10/12)/2)-((10/12)-(10*0.938333/12)))/((10/12)/2)))-SIN(2*ACOS((((10/12)/2)-((10/12)-(10*0.938333/12)))/((10/12)/2))))/2))</f>
        <v>0</v>
      </c>
      <c r="P103" s="141">
        <f>((1.486/Defaults!$M$7)*((((PI()*(12/12)^2)/4)-(((12/12)/2)^2*((2*ACOS((((12/12)/2)-((12/12)-(12*0.938333/12)))/((12/12)/2)))-SIN(2*ACOS((((12/12)/2)-((12/12)-(12*0.938333/12)))/((12/12)/2))))/2))/((PI()*(12/12))-((2*ACOS((((12/12)/2)-((12/12)-(12*0.938333/12)))/((12/12)/2)))*((12/12)/2))))^(2/3)*$H$25^0.5)*(((PI()*(12/12)^2)/4)-(((12/12)/2)^2*((2*ACOS((((12/12)/2)-((12/12)-(12*0.938333/12)))/((12/12)/2)))-SIN(2*ACOS((((12/12)/2)-((12/12)-(12*0.938333/12)))/((12/12)/2))))/2))</f>
        <v>0</v>
      </c>
      <c r="Q103" s="141">
        <f>((1.486/Defaults!$M$7)*((((PI()*(15/12)^2)/4)-(((15/12)/2)^2*((2*ACOS((((15/12)/2)-((15/12)-(15*0.938333/12)))/((15/12)/2)))-SIN(2*ACOS((((15/12)/2)-((15/12)-(15*0.938333/12)))/((15/12)/2))))/2))/((PI()*(15/12))-((2*ACOS((((15/12)/2)-((15/12)-(15*0.938333/12)))/((15/12)/2)))*((15/12)/2))))^(2/3)*$H$25^0.5)*(((PI()*(15/12)^2)/4)-(((15/12)/2)^2*((2*ACOS((((15/12)/2)-((15/12)-(15*0.938333/12)))/((15/12)/2)))-SIN(2*ACOS((((15/12)/2)-((15/12)-(15*0.938333/12)))/((15/12)/2))))/2))</f>
        <v>0</v>
      </c>
      <c r="R103" s="141">
        <f>((1.486/Defaults!$M$7)*((((PI()*(16/12)^2)/4)-(((16/12)/2)^2*((2*ACOS((((16/12)/2)-((16/12)-(16*0.938333/12)))/((16/12)/2)))-SIN(2*ACOS((((16/12)/2)-((16/12)-(16*0.938333/12)))/((16/12)/2))))/2))/((PI()*(16/12))-((2*ACOS((((16/12)/2)-((16/12)-(16*0.938333/12)))/((16/12)/2)))*((16/12)/2))))^(2/3)*$H$25^0.5)*(((PI()*(16/12)^2)/4)-(((16/12)/2)^2*((2*ACOS((((16/12)/2)-((16/12)-(16*0.938333/12)))/((16/12)/2)))-SIN(2*ACOS((((16/12)/2)-((16/12)-(16*0.938333/12)))/((16/12)/2))))/2))</f>
        <v>0</v>
      </c>
      <c r="S103" s="141">
        <f>((1.486/Defaults!$M$7)*((((PI()*(18/12)^2)/4)-(((18/12)/2)^2*((2*ACOS((((18/12)/2)-((18/12)-(18*0.938333/12)))/((18/12)/2)))-SIN(2*ACOS((((18/12)/2)-((18/12)-(18*0.938333/12)))/((18/12)/2))))/2))/((PI()*(18/12))-((2*ACOS((((18/12)/2)-((18/12)-(18*0.938333/12)))/((18/12)/2)))*((18/12)/2))))^(2/3)*$H$25^0.5)*(((PI()*(18/12)^2)/4)-(((18/12)/2)^2*((2*ACOS((((18/12)/2)-((18/12)-(18*0.938333/12)))/((18/12)/2)))-SIN(2*ACOS((((18/12)/2)-((18/12)-(18*0.938333/12)))/((18/12)/2))))/2))</f>
        <v>0</v>
      </c>
      <c r="T103" t="e">
        <f>IF(($F$25+$G$25)&lt;=$M103,6,IF(($F$25+$G$25)&lt;=$N103,8,IF(($F$25+$G$25)&lt;=$O103,10,IF(($F$25+$G$25)&lt;=$P103,12,IF(($F$25+$G$25)&lt;=$Q103,15,IF(($F$25+$G$25)&lt;=$R103,16,IF(($F$25+$G$25)&lt;=$S103,18,"Too Large")))))))</f>
        <v>#VALUE!</v>
      </c>
    </row>
    <row r="105" spans="12:20" x14ac:dyDescent="0.2">
      <c r="M105">
        <v>6</v>
      </c>
      <c r="N105">
        <v>8</v>
      </c>
      <c r="O105">
        <v>10</v>
      </c>
      <c r="P105">
        <v>12</v>
      </c>
      <c r="Q105">
        <v>15</v>
      </c>
      <c r="R105">
        <v>16</v>
      </c>
      <c r="S105">
        <v>18</v>
      </c>
      <c r="T105" s="140" t="s">
        <v>186</v>
      </c>
    </row>
    <row r="106" spans="12:20" x14ac:dyDescent="0.2">
      <c r="L106" t="str">
        <f>Defaults!$L$2</f>
        <v>CPT (Tile)</v>
      </c>
      <c r="M106" s="141">
        <f>((1.486/Defaults!$M$10)*((((PI()*(6/12)^2)/4)-(((6/12)/2)^2*((2*ACOS((((6/12)/2)-((6/12)-(6*0.938333/12)))/((6/12)/2)))-SIN(2*ACOS((((6/12)/2)-((6/12)-(6*0.938333/12)))/((6/12)/2))))/2))/((PI()*(6/12))-((2*ACOS((((6/12)/2)-((6/12)-(6*0.938333/12)))/((6/12)/2)))*((6/12)/2))))^(2/3)*$H$26^0.5)*(((PI()*(6/12)^2)/4)-(((6/12)/2)^2*((2*ACOS((((6/12)/2)-((6/12)-(6*0.938333/12)))/((6/12)/2)))-SIN(2*ACOS((((6/12)/2)-((6/12)-(6*0.938333/12)))/((6/12)/2))))/2))</f>
        <v>0</v>
      </c>
      <c r="N106" s="141">
        <f>((1.486/Defaults!$M$11)*((((PI()*(8/12)^2)/4)-(((8/12)/2)^2*((2*ACOS((((8/12)/2)-((8/12)-(8*0.938333/12)))/((8/12)/2)))-SIN(2*ACOS((((8/12)/2)-((8/12)-(8*0.938333/12)))/((8/12)/2))))/2))/((PI()*(8/12))-((2*ACOS((((8/12)/2)-((8/12)-(8*0.938333/12)))/((8/12)/2)))*((8/12)/2))))^(2/3)*$H$26^0.5)*(((PI()*(8/12)^2)/4)-(((8/12)/2)^2*((2*ACOS((((8/12)/2)-((8/12)-(8*0.938333/12)))/((8/12)/2)))-SIN(2*ACOS((((8/12)/2)-((8/12)-(8*0.938333/12)))/((8/12)/2))))/2))</f>
        <v>0</v>
      </c>
      <c r="O106" s="141">
        <f>((1.486/Defaults!$M$12)*((((PI()*(10/12)^2)/4)-(((10/12)/2)^2*((2*ACOS((((10/12)/2)-((10/12)-(10*0.938333/12)))/((10/12)/2)))-SIN(2*ACOS((((10/12)/2)-((10/12)-(10*0.938333/12)))/((10/12)/2))))/2))/((PI()*(10/12))-((2*ACOS((((10/12)/2)-((10/12)-(10*0.938333/12)))/((10/12)/2)))*((10/12)/2))))^(2/3)*$H$26^0.5)*(((PI()*(10/12)^2)/4)-(((10/12)/2)^2*((2*ACOS((((10/12)/2)-((10/12)-(10*0.938333/12)))/((10/12)/2)))-SIN(2*ACOS((((10/12)/2)-((10/12)-(10*0.938333/12)))/((10/12)/2))))/2))</f>
        <v>0</v>
      </c>
      <c r="P106" s="141">
        <f>((1.486/Defaults!$M$13)*((((PI()*(12/12)^2)/4)-(((12/12)/2)^2*((2*ACOS((((12/12)/2)-((12/12)-(12*0.938333/12)))/((12/12)/2)))-SIN(2*ACOS((((12/12)/2)-((12/12)-(12*0.938333/12)))/((12/12)/2))))/2))/((PI()*(12/12))-((2*ACOS((((12/12)/2)-((12/12)-(12*0.938333/12)))/((12/12)/2)))*((12/12)/2))))^(2/3)*$H$26^0.5)*(((PI()*(12/12)^2)/4)-(((12/12)/2)^2*((2*ACOS((((12/12)/2)-((12/12)-(12*0.938333/12)))/((12/12)/2)))-SIN(2*ACOS((((12/12)/2)-((12/12)-(12*0.938333/12)))/((12/12)/2))))/2))</f>
        <v>0</v>
      </c>
      <c r="Q106" s="141">
        <f>((1.486/Defaults!$M$14)*((((PI()*(15/12)^2)/4)-(((15/12)/2)^2*((2*ACOS((((15/12)/2)-((15/12)-(15*0.938333/12)))/((15/12)/2)))-SIN(2*ACOS((((15/12)/2)-((15/12)-(15*0.938333/12)))/((15/12)/2))))/2))/((PI()*(15/12))-((2*ACOS((((15/12)/2)-((15/12)-(15*0.938333/12)))/((15/12)/2)))*((15/12)/2))))^(2/3)*$H$26^0.5)*(((PI()*(15/12)^2)/4)-(((15/12)/2)^2*((2*ACOS((((15/12)/2)-((15/12)-(15*0.938333/12)))/((15/12)/2)))-SIN(2*ACOS((((15/12)/2)-((15/12)-(15*0.938333/12)))/((15/12)/2))))/2))</f>
        <v>0</v>
      </c>
      <c r="S106" s="141">
        <f>((1.486/Defaults!$M$15)*((((PI()*(18/12)^2)/4)-(((18/12)/2)^2*((2*ACOS((((18/12)/2)-((18/12)-(18*0.938333/12)))/((18/12)/2)))-SIN(2*ACOS((((18/12)/2)-((18/12)-(18*0.938333/12)))/((18/12)/2))))/2))/((PI()*(18/12))-((2*ACOS((((18/12)/2)-((18/12)-(18*0.938333/12)))/((18/12)/2)))*((18/12)/2))))^(2/3)*$H$26^0.5)*(((PI()*(18/12)^2)/4)-(((18/12)/2)^2*((2*ACOS((((18/12)/2)-((18/12)-(18*0.938333/12)))/((18/12)/2)))-SIN(2*ACOS((((18/12)/2)-((18/12)-(18*0.938333/12)))/((18/12)/2))))/2))</f>
        <v>0</v>
      </c>
      <c r="T106" t="e">
        <f>IF(($F$26+$G$26)&lt;=$M106,6,IF(($F$26+$G$26)&lt;=$N106,8,IF(($F$26+$G$26)&lt;=$O106,10,IF(($F$26+$G$26)&lt;=$P106,12,IF(($F$26+$G$26)&lt;=$Q106,15,IF(($F$26+$G$26)&lt;=$S106,18,"Too Large"))))))</f>
        <v>#VALUE!</v>
      </c>
    </row>
    <row r="107" spans="12:20" x14ac:dyDescent="0.2">
      <c r="L107" t="str">
        <f>Defaults!$L$3</f>
        <v>Dual-Wall CPT</v>
      </c>
      <c r="M107" s="141">
        <f>((1.486/Defaults!$M$3)*((((PI()*(6/12)^2)/4)-(((6/12)/2)^2*((2*ACOS((((6/12)/2)-((6/12)-(6*0.938333/12)))/((6/12)/2)))-SIN(2*ACOS((((6/12)/2)-((6/12)-(6*0.938333/12)))/((6/12)/2))))/2))/((PI()*(6/12))-((2*ACOS((((6/12)/2)-((6/12)-(6*0.938333/12)))/((6/12)/2)))*((6/12)/2))))^(2/3)*$H$26^0.5)*(((PI()*(6/12)^2)/4)-(((6/12)/2)^2*((2*ACOS((((6/12)/2)-((6/12)-(6*0.938333/12)))/((6/12)/2)))-SIN(2*ACOS((((6/12)/2)-((6/12)-(6*0.938333/12)))/((6/12)/2))))/2))</f>
        <v>0</v>
      </c>
      <c r="N107" s="141">
        <f>((1.486/Defaults!$M$3)*((((PI()*(8/12)^2)/4)-(((8/12)/2)^2*((2*ACOS((((8/12)/2)-((8/12)-(8*0.938333/12)))/((8/12)/2)))-SIN(2*ACOS((((8/12)/2)-((8/12)-(8*0.938333/12)))/((8/12)/2))))/2))/((PI()*(8/12))-((2*ACOS((((8/12)/2)-((8/12)-(8*0.938333/12)))/((8/12)/2)))*((8/12)/2))))^(2/3)*$H$26^0.5)*(((PI()*(8/12)^2)/4)-(((8/12)/2)^2*((2*ACOS((((8/12)/2)-((8/12)-(8*0.938333/12)))/((8/12)/2)))-SIN(2*ACOS((((8/12)/2)-((8/12)-(8*0.938333/12)))/((8/12)/2))))/2))</f>
        <v>0</v>
      </c>
      <c r="O107" s="141">
        <f>((1.486/Defaults!$M$3)*((((PI()*(10/12)^2)/4)-(((10/12)/2)^2*((2*ACOS((((10/12)/2)-((10/12)-(10*0.938333/12)))/((10/12)/2)))-SIN(2*ACOS((((10/12)/2)-((10/12)-(10*0.938333/12)))/((10/12)/2))))/2))/((PI()*(10/12))-((2*ACOS((((10/12)/2)-((10/12)-(10*0.938333/12)))/((10/12)/2)))*((10/12)/2))))^(2/3)*$H$26^0.5)*(((PI()*(10/12)^2)/4)-(((10/12)/2)^2*((2*ACOS((((10/12)/2)-((10/12)-(10*0.938333/12)))/((10/12)/2)))-SIN(2*ACOS((((10/12)/2)-((10/12)-(10*0.938333/12)))/((10/12)/2))))/2))</f>
        <v>0</v>
      </c>
      <c r="P107" s="141">
        <f>((1.486/Defaults!$M$3)*((((PI()*(12/12)^2)/4)-(((12/12)/2)^2*((2*ACOS((((12/12)/2)-((12/12)-(12*0.938333/12)))/((12/12)/2)))-SIN(2*ACOS((((12/12)/2)-((12/12)-(12*0.938333/12)))/((12/12)/2))))/2))/((PI()*(12/12))-((2*ACOS((((12/12)/2)-((12/12)-(12*0.938333/12)))/((12/12)/2)))*((12/12)/2))))^(2/3)*$H$26^0.5)*(((PI()*(12/12)^2)/4)-(((12/12)/2)^2*((2*ACOS((((12/12)/2)-((12/12)-(12*0.938333/12)))/((12/12)/2)))-SIN(2*ACOS((((12/12)/2)-((12/12)-(12*0.938333/12)))/((12/12)/2))))/2))</f>
        <v>0</v>
      </c>
      <c r="Q107" s="141">
        <f>((1.486/Defaults!$M$3)*((((PI()*(15/12)^2)/4)-(((15/12)/2)^2*((2*ACOS((((15/12)/2)-((15/12)-(15*0.938333/12)))/((15/12)/2)))-SIN(2*ACOS((((15/12)/2)-((15/12)-(15*0.938333/12)))/((15/12)/2))))/2))/((PI()*(15/12))-((2*ACOS((((15/12)/2)-((15/12)-(15*0.938333/12)))/((15/12)/2)))*((15/12)/2))))^(2/3)*$H$26^0.5)*(((PI()*(15/12)^2)/4)-(((15/12)/2)^2*((2*ACOS((((15/12)/2)-((15/12)-(15*0.938333/12)))/((15/12)/2)))-SIN(2*ACOS((((15/12)/2)-((15/12)-(15*0.938333/12)))/((15/12)/2))))/2))</f>
        <v>0</v>
      </c>
      <c r="R107" s="141"/>
      <c r="S107" s="141">
        <f>((1.486/Defaults!$M$3)*((((PI()*(18/12)^2)/4)-(((18/12)/2)^2*((2*ACOS((((18/12)/2)-((18/12)-(18*0.938333/12)))/((18/12)/2)))-SIN(2*ACOS((((18/12)/2)-((18/12)-(18*0.938333/12)))/((18/12)/2))))/2))/((PI()*(18/12))-((2*ACOS((((18/12)/2)-((18/12)-(18*0.938333/12)))/((18/12)/2)))*((18/12)/2))))^(2/3)*$H$26^0.5)*(((PI()*(18/12)^2)/4)-(((18/12)/2)^2*((2*ACOS((((18/12)/2)-((18/12)-(18*0.938333/12)))/((18/12)/2)))-SIN(2*ACOS((((18/12)/2)-((18/12)-(18*0.938333/12)))/((18/12)/2))))/2))</f>
        <v>0</v>
      </c>
      <c r="T107" t="e">
        <f>IF(($F$26+$G$26)&lt;=$M107,6,IF(($F$26+$G$26)&lt;=$N107,8,IF(($F$26+$G$26)&lt;=$O107,10,IF(($F$26+$G$26)&lt;=$P107,12,IF(($F$26+$G$26)&lt;=$Q107,15,IF(($F$26+$G$26)&lt;=$S107,18,"Too Large"))))))</f>
        <v>#VALUE!</v>
      </c>
    </row>
    <row r="108" spans="12:20" x14ac:dyDescent="0.2">
      <c r="L108" t="str">
        <f>Defaults!$L$4</f>
        <v>CMP-Annular</v>
      </c>
      <c r="M108" s="141">
        <f>((1.486/Defaults!$M$4)*((((PI()*(6/12)^2)/4)-(((6/12)/2)^2*((2*ACOS((((6/12)/2)-((6/12)-(6*0.938333/12)))/((6/12)/2)))-SIN(2*ACOS((((6/12)/2)-((6/12)-(6*0.938333/12)))/((6/12)/2))))/2))/((PI()*(6/12))-((2*ACOS((((6/12)/2)-((6/12)-(6*0.938333/12)))/((6/12)/2)))*((6/12)/2))))^(2/3)*$H$26^0.5)*(((PI()*(6/12)^2)/4)-(((6/12)/2)^2*((2*ACOS((((6/12)/2)-((6/12)-(6*0.938333/12)))/((6/12)/2)))-SIN(2*ACOS((((6/12)/2)-((6/12)-(6*0.938333/12)))/((6/12)/2))))/2))</f>
        <v>0</v>
      </c>
      <c r="N108" s="141">
        <f>((1.486/Defaults!$M$4)*((((PI()*(8/12)^2)/4)-(((8/12)/2)^2*((2*ACOS((((8/12)/2)-((8/12)-(8*0.938333/12)))/((8/12)/2)))-SIN(2*ACOS((((8/12)/2)-((8/12)-(8*0.938333/12)))/((8/12)/2))))/2))/((PI()*(8/12))-((2*ACOS((((8/12)/2)-((8/12)-(8*0.938333/12)))/((8/12)/2)))*((8/12)/2))))^(2/3)*$H$26^0.5)*(((PI()*(8/12)^2)/4)-(((8/12)/2)^2*((2*ACOS((((8/12)/2)-((8/12)-(8*0.938333/12)))/((8/12)/2)))-SIN(2*ACOS((((8/12)/2)-((8/12)-(8*0.938333/12)))/((8/12)/2))))/2))</f>
        <v>0</v>
      </c>
      <c r="O108" s="141">
        <f>((1.486/Defaults!$M$4)*((((PI()*(10/12)^2)/4)-(((10/12)/2)^2*((2*ACOS((((10/12)/2)-((10/12)-(10*0.938333/12)))/((10/12)/2)))-SIN(2*ACOS((((10/12)/2)-((10/12)-(10*0.938333/12)))/((10/12)/2))))/2))/((PI()*(10/12))-((2*ACOS((((10/12)/2)-((10/12)-(10*0.938333/12)))/((10/12)/2)))*((10/12)/2))))^(2/3)*$H$26^0.5)*(((PI()*(10/12)^2)/4)-(((10/12)/2)^2*((2*ACOS((((10/12)/2)-((10/12)-(10*0.938333/12)))/((10/12)/2)))-SIN(2*ACOS((((10/12)/2)-((10/12)-(10*0.938333/12)))/((10/12)/2))))/2))</f>
        <v>0</v>
      </c>
      <c r="P108" s="141">
        <f>((1.486/Defaults!$M$4)*((((PI()*(12/12)^2)/4)-(((12/12)/2)^2*((2*ACOS((((12/12)/2)-((12/12)-(12*0.938333/12)))/((12/12)/2)))-SIN(2*ACOS((((12/12)/2)-((12/12)-(12*0.938333/12)))/((12/12)/2))))/2))/((PI()*(12/12))-((2*ACOS((((12/12)/2)-((12/12)-(12*0.938333/12)))/((12/12)/2)))*((12/12)/2))))^(2/3)*$H$26^0.5)*(((PI()*(12/12)^2)/4)-(((12/12)/2)^2*((2*ACOS((((12/12)/2)-((12/12)-(12*0.938333/12)))/((12/12)/2)))-SIN(2*ACOS((((12/12)/2)-((12/12)-(12*0.938333/12)))/((12/12)/2))))/2))</f>
        <v>0</v>
      </c>
      <c r="Q108" s="141">
        <f>((1.486/Defaults!$M$4)*((((PI()*(15/12)^2)/4)-(((15/12)/2)^2*((2*ACOS((((15/12)/2)-((15/12)-(15*0.938333/12)))/((15/12)/2)))-SIN(2*ACOS((((15/12)/2)-((15/12)-(15*0.938333/12)))/((15/12)/2))))/2))/((PI()*(15/12))-((2*ACOS((((15/12)/2)-((15/12)-(15*0.938333/12)))/((15/12)/2)))*((15/12)/2))))^(2/3)*$H$26^0.5)*(((PI()*(15/12)^2)/4)-(((15/12)/2)^2*((2*ACOS((((15/12)/2)-((15/12)-(15*0.938333/12)))/((15/12)/2)))-SIN(2*ACOS((((15/12)/2)-((15/12)-(15*0.938333/12)))/((15/12)/2))))/2))</f>
        <v>0</v>
      </c>
      <c r="R108" s="141"/>
      <c r="S108" s="141">
        <f>((1.486/Defaults!$M$4)*((((PI()*(18/12)^2)/4)-(((18/12)/2)^2*((2*ACOS((((18/12)/2)-((18/12)-(18*0.938333/12)))/((18/12)/2)))-SIN(2*ACOS((((18/12)/2)-((18/12)-(18*0.938333/12)))/((18/12)/2))))/2))/((PI()*(18/12))-((2*ACOS((((18/12)/2)-((18/12)-(18*0.938333/12)))/((18/12)/2)))*((18/12)/2))))^(2/3)*$H$26^0.5)*(((PI()*(18/12)^2)/4)-(((18/12)/2)^2*((2*ACOS((((18/12)/2)-((18/12)-(18*0.938333/12)))/((18/12)/2)))-SIN(2*ACOS((((18/12)/2)-((18/12)-(18*0.938333/12)))/((18/12)/2))))/2))</f>
        <v>0</v>
      </c>
      <c r="T108" t="e">
        <f>IF(($F$26+$G$26)&lt;=$M108,6,IF(($F$26+$G$26)&lt;=$N108,8,IF(($F$26+$G$26)&lt;=$O108,10,IF(($F$26+$G$26)&lt;=$P108,12,IF(($F$26+$G$26)&lt;=$Q108,15,IF(($F$26+$G$26)&lt;=$S108,18,"Too Large"))))))</f>
        <v>#VALUE!</v>
      </c>
    </row>
    <row r="109" spans="12:20" x14ac:dyDescent="0.2">
      <c r="L109" t="str">
        <f>Defaults!$L$5</f>
        <v>CMP-Helical</v>
      </c>
      <c r="M109" s="141">
        <f>((1.486/Defaults!$M$5)*((((PI()*(6/12)^2)/4)-(((6/12)/2)^2*((2*ACOS((((6/12)/2)-((6/12)-(6*0.938333/12)))/((6/12)/2)))-SIN(2*ACOS((((6/12)/2)-((6/12)-(6*0.938333/12)))/((6/12)/2))))/2))/((PI()*(6/12))-((2*ACOS((((6/12)/2)-((6/12)-(6*0.938333/12)))/((6/12)/2)))*((6/12)/2))))^(2/3)*$H$26^0.5)*(((PI()*(6/12)^2)/4)-(((6/12)/2)^2*((2*ACOS((((6/12)/2)-((6/12)-(6*0.938333/12)))/((6/12)/2)))-SIN(2*ACOS((((6/12)/2)-((6/12)-(6*0.938333/12)))/((6/12)/2))))/2))</f>
        <v>0</v>
      </c>
      <c r="N109" s="141">
        <f>((1.486/Defaults!$M$5)*((((PI()*(8/12)^2)/4)-(((8/12)/2)^2*((2*ACOS((((8/12)/2)-((8/12)-(8*0.938333/12)))/((8/12)/2)))-SIN(2*ACOS((((8/12)/2)-((8/12)-(8*0.938333/12)))/((8/12)/2))))/2))/((PI()*(8/12))-((2*ACOS((((8/12)/2)-((8/12)-(8*0.938333/12)))/((8/12)/2)))*((8/12)/2))))^(2/3)*$H$26^0.5)*(((PI()*(8/12)^2)/4)-(((8/12)/2)^2*((2*ACOS((((8/12)/2)-((8/12)-(8*0.938333/12)))/((8/12)/2)))-SIN(2*ACOS((((8/12)/2)-((8/12)-(8*0.938333/12)))/((8/12)/2))))/2))</f>
        <v>0</v>
      </c>
      <c r="O109" s="141">
        <f>((1.486/Defaults!$M$5)*((((PI()*(10/12)^2)/4)-(((10/12)/2)^2*((2*ACOS((((10/12)/2)-((10/12)-(10*0.938333/12)))/((10/12)/2)))-SIN(2*ACOS((((10/12)/2)-((10/12)-(10*0.938333/12)))/((10/12)/2))))/2))/((PI()*(10/12))-((2*ACOS((((10/12)/2)-((10/12)-(10*0.938333/12)))/((10/12)/2)))*((10/12)/2))))^(2/3)*$H$26^0.5)*(((PI()*(10/12)^2)/4)-(((10/12)/2)^2*((2*ACOS((((10/12)/2)-((10/12)-(10*0.938333/12)))/((10/12)/2)))-SIN(2*ACOS((((10/12)/2)-((10/12)-(10*0.938333/12)))/((10/12)/2))))/2))</f>
        <v>0</v>
      </c>
      <c r="P109" s="141">
        <f>((1.486/Defaults!$M$5)*((((PI()*(12/12)^2)/4)-(((12/12)/2)^2*((2*ACOS((((12/12)/2)-((12/12)-(12*0.938333/12)))/((12/12)/2)))-SIN(2*ACOS((((12/12)/2)-((12/12)-(12*0.938333/12)))/((12/12)/2))))/2))/((PI()*(12/12))-((2*ACOS((((12/12)/2)-((12/12)-(12*0.938333/12)))/((12/12)/2)))*((12/12)/2))))^(2/3)*$H$26^0.5)*(((PI()*(12/12)^2)/4)-(((12/12)/2)^2*((2*ACOS((((12/12)/2)-((12/12)-(12*0.938333/12)))/((12/12)/2)))-SIN(2*ACOS((((12/12)/2)-((12/12)-(12*0.938333/12)))/((12/12)/2))))/2))</f>
        <v>0</v>
      </c>
      <c r="Q109" s="141">
        <f>((1.486/Defaults!$M$5)*((((PI()*(15/12)^2)/4)-(((15/12)/2)^2*((2*ACOS((((15/12)/2)-((15/12)-(15*0.938333/12)))/((15/12)/2)))-SIN(2*ACOS((((15/12)/2)-((15/12)-(15*0.938333/12)))/((15/12)/2))))/2))/((PI()*(15/12))-((2*ACOS((((15/12)/2)-((15/12)-(15*0.938333/12)))/((15/12)/2)))*((15/12)/2))))^(2/3)*$H$26^0.5)*(((PI()*(15/12)^2)/4)-(((15/12)/2)^2*((2*ACOS((((15/12)/2)-((15/12)-(15*0.938333/12)))/((15/12)/2)))-SIN(2*ACOS((((15/12)/2)-((15/12)-(15*0.938333/12)))/((15/12)/2))))/2))</f>
        <v>0</v>
      </c>
      <c r="R109" s="141"/>
      <c r="S109" s="141">
        <f>((1.486/Defaults!$M$5)*((((PI()*(18/12)^2)/4)-(((18/12)/2)^2*((2*ACOS((((18/12)/2)-((18/12)-(18*0.938333/12)))/((18/12)/2)))-SIN(2*ACOS((((18/12)/2)-((18/12)-(18*0.938333/12)))/((18/12)/2))))/2))/((PI()*(18/12))-((2*ACOS((((18/12)/2)-((18/12)-(18*0.938333/12)))/((18/12)/2)))*((18/12)/2))))^(2/3)*$H$26^0.5)*(((PI()*(18/12)^2)/4)-(((18/12)/2)^2*((2*ACOS((((18/12)/2)-((18/12)-(18*0.938333/12)))/((18/12)/2)))-SIN(2*ACOS((((18/12)/2)-((18/12)-(18*0.938333/12)))/((18/12)/2))))/2))</f>
        <v>0</v>
      </c>
      <c r="T109" t="e">
        <f>IF(($F$26+$G$26)&lt;=$M109,6,IF(($F$26+$G$26)&lt;=$N109,8,IF(($F$26+$G$26)&lt;=$O109,10,IF(($F$26+$G$26)&lt;=$P109,12,IF(($F$26+$G$26)&lt;=$Q109,15,IF(($F$26+$G$26)&lt;=$S109,18,"Too Large"))))))</f>
        <v>#VALUE!</v>
      </c>
    </row>
    <row r="110" spans="12:20" x14ac:dyDescent="0.2">
      <c r="L110" s="93" t="str">
        <f>Defaults!$L$6</f>
        <v>PVC</v>
      </c>
      <c r="M110" s="141">
        <f>((1.486/Defaults!$M$6)*((((PI()*(6/12)^2)/4)-(((6/12)/2)^2*((2*ACOS((((6/12)/2)-((6/12)-(6*0.938333/12)))/((6/12)/2)))-SIN(2*ACOS((((6/12)/2)-((6/12)-(6*0.938333/12)))/((6/12)/2))))/2))/((PI()*(6/12))-((2*ACOS((((6/12)/2)-((6/12)-(6*0.938333/12)))/((6/12)/2)))*((6/12)/2))))^(2/3)*$H$26^0.5)*(((PI()*(6/12)^2)/4)-(((6/12)/2)^2*((2*ACOS((((6/12)/2)-((6/12)-(6*0.938333/12)))/((6/12)/2)))-SIN(2*ACOS((((6/12)/2)-((6/12)-(6*0.938333/12)))/((6/12)/2))))/2))</f>
        <v>0</v>
      </c>
      <c r="N110" s="141">
        <f>((1.486/Defaults!$M$6)*((((PI()*(8/12)^2)/4)-(((8/12)/2)^2*((2*ACOS((((8/12)/2)-((8/12)-(8*0.938333/12)))/((8/12)/2)))-SIN(2*ACOS((((8/12)/2)-((8/12)-(8*0.938333/12)))/((8/12)/2))))/2))/((PI()*(8/12))-((2*ACOS((((8/12)/2)-((8/12)-(8*0.938333/12)))/((8/12)/2)))*((8/12)/2))))^(2/3)*$H$26^0.5)*(((PI()*(8/12)^2)/4)-(((8/12)/2)^2*((2*ACOS((((8/12)/2)-((8/12)-(8*0.938333/12)))/((8/12)/2)))-SIN(2*ACOS((((8/12)/2)-((8/12)-(8*0.938333/12)))/((8/12)/2))))/2))</f>
        <v>0</v>
      </c>
      <c r="O110" s="141">
        <f>((1.486/Defaults!$M$6)*((((PI()*(10/12)^2)/4)-(((10/12)/2)^2*((2*ACOS((((10/12)/2)-((10/12)-(10*0.938333/12)))/((10/12)/2)))-SIN(2*ACOS((((10/12)/2)-((10/12)-(10*0.938333/12)))/((10/12)/2))))/2))/((PI()*(10/12))-((2*ACOS((((10/12)/2)-((10/12)-(10*0.938333/12)))/((10/12)/2)))*((10/12)/2))))^(2/3)*$H$26^0.5)*(((PI()*(10/12)^2)/4)-(((10/12)/2)^2*((2*ACOS((((10/12)/2)-((10/12)-(10*0.938333/12)))/((10/12)/2)))-SIN(2*ACOS((((10/12)/2)-((10/12)-(10*0.938333/12)))/((10/12)/2))))/2))</f>
        <v>0</v>
      </c>
      <c r="P110" s="141">
        <f>((1.486/Defaults!$M$6)*((((PI()*(12/12)^2)/4)-(((12/12)/2)^2*((2*ACOS((((12/12)/2)-((12/12)-(12*0.938333/12)))/((12/12)/2)))-SIN(2*ACOS((((12/12)/2)-((12/12)-(12*0.938333/12)))/((12/12)/2))))/2))/((PI()*(12/12))-((2*ACOS((((12/12)/2)-((12/12)-(12*0.938333/12)))/((12/12)/2)))*((12/12)/2))))^(2/3)*$H$26^0.5)*(((PI()*(12/12)^2)/4)-(((12/12)/2)^2*((2*ACOS((((12/12)/2)-((12/12)-(12*0.938333/12)))/((12/12)/2)))-SIN(2*ACOS((((12/12)/2)-((12/12)-(12*0.938333/12)))/((12/12)/2))))/2))</f>
        <v>0</v>
      </c>
      <c r="Q110" s="141">
        <f>((1.486/Defaults!$M$6)*((((PI()*(15/12)^2)/4)-(((15/12)/2)^2*((2*ACOS((((15/12)/2)-((15/12)-(15*0.938333/12)))/((15/12)/2)))-SIN(2*ACOS((((15/12)/2)-((15/12)-(15*0.938333/12)))/((15/12)/2))))/2))/((PI()*(15/12))-((2*ACOS((((15/12)/2)-((15/12)-(15*0.938333/12)))/((15/12)/2)))*((15/12)/2))))^(2/3)*$H$26^0.5)*(((PI()*(15/12)^2)/4)-(((15/12)/2)^2*((2*ACOS((((15/12)/2)-((15/12)-(15*0.938333/12)))/((15/12)/2)))-SIN(2*ACOS((((15/12)/2)-((15/12)-(15*0.938333/12)))/((15/12)/2))))/2))</f>
        <v>0</v>
      </c>
      <c r="R110" s="141"/>
      <c r="S110" s="141">
        <f>((1.486/Defaults!$M$6)*((((PI()*(18/12)^2)/4)-(((18/12)/2)^2*((2*ACOS((((18/12)/2)-((18/12)-(18*0.938333/12)))/((18/12)/2)))-SIN(2*ACOS((((18/12)/2)-((18/12)-(18*0.938333/12)))/((18/12)/2))))/2))/((PI()*(18/12))-((2*ACOS((((18/12)/2)-((18/12)-(18*0.938333/12)))/((18/12)/2)))*((18/12)/2))))^(2/3)*$H$26^0.5)*(((PI()*(18/12)^2)/4)-(((18/12)/2)^2*((2*ACOS((((18/12)/2)-((18/12)-(18*0.938333/12)))/((18/12)/2)))-SIN(2*ACOS((((18/12)/2)-((18/12)-(18*0.938333/12)))/((18/12)/2))))/2))</f>
        <v>0</v>
      </c>
      <c r="T110" t="e">
        <f>IF(($F$26+$G$26)&lt;=$M110,6,IF(($F$26+$G$26)&lt;=$N110,8,IF(($F$26+$G$26)&lt;=$O110,10,IF(($F$26+$G$26)&lt;=$P110,12,IF(($F$26+$G$26)&lt;=$Q110,15,IF(($F$26+$G$26)&lt;=$S110,18,"Too Large"))))))</f>
        <v>#VALUE!</v>
      </c>
    </row>
    <row r="111" spans="12:20" x14ac:dyDescent="0.2">
      <c r="L111" t="str">
        <f>Defaults!$L$7</f>
        <v>Concrete</v>
      </c>
      <c r="M111" s="141">
        <f>((1.486/Defaults!$M$7)*((((PI()*(6/12)^2)/4)-(((6/12)/2)^2*((2*ACOS((((6/12)/2)-((6/12)-(6*0.938333/12)))/((6/12)/2)))-SIN(2*ACOS((((6/12)/2)-((6/12)-(6*0.938333/12)))/((6/12)/2))))/2))/((PI()*(6/12))-((2*ACOS((((6/12)/2)-((6/12)-(6*0.938333/12)))/((6/12)/2)))*((6/12)/2))))^(2/3)*$H$26^0.5)*(((PI()*(6/12)^2)/4)-(((6/12)/2)^2*((2*ACOS((((6/12)/2)-((6/12)-(6*0.938333/12)))/((6/12)/2)))-SIN(2*ACOS((((6/12)/2)-((6/12)-(6*0.938333/12)))/((6/12)/2))))/2))</f>
        <v>0</v>
      </c>
      <c r="N111" s="141">
        <f>((1.486/Defaults!$M$7)*((((PI()*(8/12)^2)/4)-(((8/12)/2)^2*((2*ACOS((((8/12)/2)-((8/12)-(8*0.938333/12)))/((8/12)/2)))-SIN(2*ACOS((((8/12)/2)-((8/12)-(8*0.938333/12)))/((8/12)/2))))/2))/((PI()*(8/12))-((2*ACOS((((8/12)/2)-((8/12)-(8*0.938333/12)))/((8/12)/2)))*((8/12)/2))))^(2/3)*$H$26^0.5)*(((PI()*(8/12)^2)/4)-(((8/12)/2)^2*((2*ACOS((((8/12)/2)-((8/12)-(8*0.938333/12)))/((8/12)/2)))-SIN(2*ACOS((((8/12)/2)-((8/12)-(8*0.938333/12)))/((8/12)/2))))/2))</f>
        <v>0</v>
      </c>
      <c r="O111" s="141">
        <f>((1.486/Defaults!$M$7)*((((PI()*(10/12)^2)/4)-(((10/12)/2)^2*((2*ACOS((((10/12)/2)-((10/12)-(10*0.938333/12)))/((10/12)/2)))-SIN(2*ACOS((((10/12)/2)-((10/12)-(10*0.938333/12)))/((10/12)/2))))/2))/((PI()*(10/12))-((2*ACOS((((10/12)/2)-((10/12)-(10*0.938333/12)))/((10/12)/2)))*((10/12)/2))))^(2/3)*$H$26^0.5)*(((PI()*(10/12)^2)/4)-(((10/12)/2)^2*((2*ACOS((((10/12)/2)-((10/12)-(10*0.938333/12)))/((10/12)/2)))-SIN(2*ACOS((((10/12)/2)-((10/12)-(10*0.938333/12)))/((10/12)/2))))/2))</f>
        <v>0</v>
      </c>
      <c r="P111" s="141">
        <f>((1.486/Defaults!$M$7)*((((PI()*(12/12)^2)/4)-(((12/12)/2)^2*((2*ACOS((((12/12)/2)-((12/12)-(12*0.938333/12)))/((12/12)/2)))-SIN(2*ACOS((((12/12)/2)-((12/12)-(12*0.938333/12)))/((12/12)/2))))/2))/((PI()*(12/12))-((2*ACOS((((12/12)/2)-((12/12)-(12*0.938333/12)))/((12/12)/2)))*((12/12)/2))))^(2/3)*$H$26^0.5)*(((PI()*(12/12)^2)/4)-(((12/12)/2)^2*((2*ACOS((((12/12)/2)-((12/12)-(12*0.938333/12)))/((12/12)/2)))-SIN(2*ACOS((((12/12)/2)-((12/12)-(12*0.938333/12)))/((12/12)/2))))/2))</f>
        <v>0</v>
      </c>
      <c r="Q111" s="141">
        <f>((1.486/Defaults!$M$7)*((((PI()*(15/12)^2)/4)-(((15/12)/2)^2*((2*ACOS((((15/12)/2)-((15/12)-(15*0.938333/12)))/((15/12)/2)))-SIN(2*ACOS((((15/12)/2)-((15/12)-(15*0.938333/12)))/((15/12)/2))))/2))/((PI()*(15/12))-((2*ACOS((((15/12)/2)-((15/12)-(15*0.938333/12)))/((15/12)/2)))*((15/12)/2))))^(2/3)*$H$26^0.5)*(((PI()*(15/12)^2)/4)-(((15/12)/2)^2*((2*ACOS((((15/12)/2)-((15/12)-(15*0.938333/12)))/((15/12)/2)))-SIN(2*ACOS((((15/12)/2)-((15/12)-(15*0.938333/12)))/((15/12)/2))))/2))</f>
        <v>0</v>
      </c>
      <c r="R111" s="141">
        <f>((1.486/Defaults!$M$7)*((((PI()*(16/12)^2)/4)-(((16/12)/2)^2*((2*ACOS((((16/12)/2)-((16/12)-(16*0.938333/12)))/((16/12)/2)))-SIN(2*ACOS((((16/12)/2)-((16/12)-(16*0.938333/12)))/((16/12)/2))))/2))/((PI()*(16/12))-((2*ACOS((((16/12)/2)-((16/12)-(16*0.938333/12)))/((16/12)/2)))*((16/12)/2))))^(2/3)*$H$26^0.5)*(((PI()*(16/12)^2)/4)-(((16/12)/2)^2*((2*ACOS((((16/12)/2)-((16/12)-(16*0.938333/12)))/((16/12)/2)))-SIN(2*ACOS((((16/12)/2)-((16/12)-(16*0.938333/12)))/((16/12)/2))))/2))</f>
        <v>0</v>
      </c>
      <c r="S111" s="141">
        <f>((1.486/Defaults!$M$7)*((((PI()*(18/12)^2)/4)-(((18/12)/2)^2*((2*ACOS((((18/12)/2)-((18/12)-(18*0.938333/12)))/((18/12)/2)))-SIN(2*ACOS((((18/12)/2)-((18/12)-(18*0.938333/12)))/((18/12)/2))))/2))/((PI()*(18/12))-((2*ACOS((((18/12)/2)-((18/12)-(18*0.938333/12)))/((18/12)/2)))*((18/12)/2))))^(2/3)*$H$26^0.5)*(((PI()*(18/12)^2)/4)-(((18/12)/2)^2*((2*ACOS((((18/12)/2)-((18/12)-(18*0.938333/12)))/((18/12)/2)))-SIN(2*ACOS((((18/12)/2)-((18/12)-(18*0.938333/12)))/((18/12)/2))))/2))</f>
        <v>0</v>
      </c>
      <c r="T111" t="e">
        <f>IF(($F$26+$G$26)&lt;=$M111,6,IF(($F$26+$G$26)&lt;=$N111,8,IF(($F$26+$G$26)&lt;=$O111,10,IF(($F$26+$G$26)&lt;=$P111,12,IF(($F$26+$G$26)&lt;=$Q111,15,IF(($F$26+$G$26)&lt;=$R111,16,IF(($F$26+$G$26)&lt;=$S111,18,"Too Large")))))))</f>
        <v>#VALUE!</v>
      </c>
    </row>
    <row r="113" spans="12:31" ht="15" x14ac:dyDescent="0.2">
      <c r="L113" s="154" t="e">
        <f t="shared" ref="L113:L176" si="7">((1.486/$D$33)*((((PI()*($D$46/12)^2)/4)-((($D$46/12)/2)^2*((2*ACOS(((($D$46/12)/2)-(($D$46/12)-(M113/12)))/(($D$46/12)/2)))-SIN(2*ACOS(((($D$46/12)/2)-(($D$46/12)-(M113/12)))/(($D$46/12)/2))))/2))/((PI()*($D$46/12))-((2*ACOS(((($D$46/12)/2)-(($D$46/12)-(M113/12)))/(($D$46/12)/2)))*(($D$46/12)/2))))^(2/3)*$H$17^0.5)*(((PI()*($D$46/12)^2)/4)-((($D$46/12)/2)^2*((2*ACOS(((($D$46/12)/2)-(($D$46/12)-(M113/12)))/(($D$46/12)/2)))-SIN(2*ACOS(((($D$46/12)/2)-(($D$46/12)-(M113/12)))/(($D$46/12)/2))))/2))</f>
        <v>#VALUE!</v>
      </c>
      <c r="M113">
        <v>0.01</v>
      </c>
      <c r="N113" s="154" t="e">
        <f t="shared" ref="N113:N176" si="8">((1.486/$D$34)*((((PI()*($D$47/12)^2)/4)-((($D$47/12)/2)^2*((2*ACOS(((($D$47/12)/2)-(($D$47/12)-(O113/12)))/(($D$47/12)/2)))-SIN(2*ACOS(((($D$47/12)/2)-(($D$47/12)-(O113/12)))/(($D$47/12)/2))))/2))/((PI()*($D$47/12))-((2*ACOS(((($D$47/12)/2)-(($D$47/12)-(O113/12)))/(($D$47/12)/2)))*(($D$47/12)/2))))^(2/3)*$H$18^0.5)*(((PI()*($D$47/12)^2)/4)-((($D$47/12)/2)^2*((2*ACOS(((($D$47/12)/2)-(($D$47/12)-(O113/12)))/(($D$47/12)/2)))-SIN(2*ACOS(((($D$47/12)/2)-(($D$47/12)-(O113/12)))/(($D$47/12)/2))))/2))</f>
        <v>#VALUE!</v>
      </c>
      <c r="O113">
        <v>0.01</v>
      </c>
      <c r="P113" s="154" t="e">
        <f t="shared" ref="P113:P176" si="9">((1.486/$D$35)*((((PI()*($D$48/12)^2)/4)-((($D$48/12)/2)^2*((2*ACOS(((($D$48/12)/2)-(($D$48/12)-(Q113/12)))/(($D$48/12)/2)))-SIN(2*ACOS(((($D$48/12)/2)-(($D$48/12)-(Q113/12)))/(($D$48/12)/2))))/2))/((PI()*($D$48/12))-((2*ACOS(((($D$48/12)/2)-(($D$48/12)-(Q113/12)))/(($D$48/12)/2)))*(($D$48/12)/2))))^(2/3)*$H$19^0.5)*(((PI()*($D$48/12)^2)/4)-((($D$48/12)/2)^2*((2*ACOS(((($D$48/12)/2)-(($D$48/12)-(Q113/12)))/(($D$48/12)/2)))-SIN(2*ACOS(((($D$48/12)/2)-(($D$48/12)-(Q113/12)))/(($D$48/12)/2))))/2))</f>
        <v>#VALUE!</v>
      </c>
      <c r="Q113">
        <v>0.01</v>
      </c>
      <c r="R113" s="154" t="e">
        <f t="shared" ref="R113:R176" si="10">((1.486/$D$36)*((((PI()*($D$49/12)^2)/4)-((($D$49/12)/2)^2*((2*ACOS(((($D$49/12)/2)-(($D$49/12)-(S113/12)))/(($D$49/12)/2)))-SIN(2*ACOS(((($D$49/12)/2)-(($D$49/12)-(S113/12)))/(($D$49/12)/2))))/2))/((PI()*($D$49/12))-((2*ACOS(((($D$49/12)/2)-(($D$49/12)-(S113/12)))/(($D$49/12)/2)))*(($D$49/12)/2))))^(2/3)*$H$20^0.5)*(((PI()*($D$49/12)^2)/4)-((($D$49/12)/2)^2*((2*ACOS(((($D$49/12)/2)-(($D$49/12)-(S113/12)))/(($D$49/12)/2)))-SIN(2*ACOS(((($D$49/12)/2)-(($D$49/12)-(S113/12)))/(($D$49/12)/2))))/2))</f>
        <v>#VALUE!</v>
      </c>
      <c r="S113">
        <v>0.01</v>
      </c>
      <c r="T113" s="154" t="e">
        <f t="shared" ref="T113:T176" si="11">((1.486/$D$37)*((((PI()*($D$50/12)^2)/4)-((($D$50/12)/2)^2*((2*ACOS(((($D$50/12)/2)-(($D$50/12)-(U113/12)))/(($D$50/12)/2)))-SIN(2*ACOS(((($D$50/12)/2)-(($D$50/12)-(U113/12)))/(($D$50/12)/2))))/2))/((PI()*($D$50/12))-((2*ACOS(((($D$50/12)/2)-(($D$50/12)-(U113/12)))/(($D$50/12)/2)))*(($D$50/12)/2))))^(2/3)*$H$21^0.5)*(((PI()*($D$50/12)^2)/4)-((($D$50/12)/2)^2*((2*ACOS(((($D$50/12)/2)-(($D$50/12)-(U113/12)))/(($D$50/12)/2)))-SIN(2*ACOS(((($D$50/12)/2)-(($D$50/12)-(U113/12)))/(($D$50/12)/2))))/2))</f>
        <v>#VALUE!</v>
      </c>
      <c r="U113">
        <v>0.01</v>
      </c>
      <c r="V113" s="154" t="e">
        <f t="shared" ref="V113:V176" si="12">((1.486/$D$38)*((((PI()*($D$51/12)^2)/4)-((($D$51/12)/2)^2*((2*ACOS(((($D$51/12)/2)-(($D$51/12)-(W113/12)))/(($D$51/12)/2)))-SIN(2*ACOS(((($D$51/12)/2)-(($D$51/12)-(W113/12)))/(($D$51/12)/2))))/2))/((PI()*($D$51/12))-((2*ACOS(((($D$51/12)/2)-(($D$51/12)-(W113/12)))/(($D$51/12)/2)))*(($D$51/12)/2))))^(2/3)*$H$22^0.5)*(((PI()*($D$51/12)^2)/4)-((($D$51/12)/2)^2*((2*ACOS(((($D$51/12)/2)-(($D$51/12)-(W113/12)))/(($D$51/12)/2)))-SIN(2*ACOS(((($D$51/12)/2)-(($D$51/12)-(W113/12)))/(($D$51/12)/2))))/2))</f>
        <v>#VALUE!</v>
      </c>
      <c r="W113">
        <v>0.01</v>
      </c>
      <c r="X113" s="157" t="e">
        <f t="shared" ref="X113:X176" si="13">((1.486/$D$39)*((((PI()*($D$52/12)^2)/4)-((($D$52/12)/2)^2*((2*ACOS(((($D$52/12)/2)-(($D$52/12)-(Y113/12)))/(($D$52/12)/2)))-SIN(2*ACOS(((($D$52/12)/2)-(($D$52/12)-(Y113/12)))/(($D$52/12)/2))))/2))/((PI()*($D$52/12))-((2*ACOS(((($D$52/12)/2)-(($D$52/12)-(Y113/12)))/(($D$52/12)/2)))*(($D$52/12)/2))))^(2/3)*$H$23^0.5)*(((PI()*($D$52/12)^2)/4)-((($D$52/12)/2)^2*((2*ACOS(((($D$52/12)/2)-(($D$52/12)-(Y113/12)))/(($D$52/12)/2)))-SIN(2*ACOS(((($D$52/12)/2)-(($D$52/12)-(Y113/12)))/(($D$52/12)/2))))/2))</f>
        <v>#VALUE!</v>
      </c>
      <c r="Y113">
        <v>0.01</v>
      </c>
      <c r="Z113" s="154" t="e">
        <f t="shared" ref="Z113:Z176" si="14">((1.486/$D$40)*((((PI()*($D$53/12)^2)/4)-((($D$53/12)/2)^2*((2*ACOS(((($D$53/12)/2)-(($D$53/12)-(AA113/12)))/(($D$53/12)/2)))-SIN(2*ACOS(((($D$53/12)/2)-(($D$53/12)-(AA113/12)))/(($D$53/12)/2))))/2))/((PI()*($D$53/12))-((2*ACOS(((($D$53/12)/2)-(($D$53/12)-(AA113/12)))/(($D$53/12)/2)))*(($D$53/12)/2))))^(2/3)*$H$24^0.5)*(((PI()*($D$53/12)^2)/4)-((($D$53/12)/2)^2*((2*ACOS(((($D$53/12)/2)-(($D$53/12)-(AA113/12)))/(($D$53/12)/2)))-SIN(2*ACOS(((($D$53/12)/2)-(($D$53/12)-(AA113/12)))/(($D$53/12)/2))))/2))</f>
        <v>#VALUE!</v>
      </c>
      <c r="AA113">
        <v>0.01</v>
      </c>
      <c r="AB113" s="154" t="e">
        <f t="shared" ref="AB113:AB176" si="15">((1.486/$D$41)*((((PI()*($D$54/12)^2)/4)-((($D$54/12)/2)^2*((2*ACOS(((($D$54/12)/2)-(($D$54/12)-(AC113/12)))/(($D$54/12)/2)))-SIN(2*ACOS(((($D$54/12)/2)-(($D$54/12)-(AC113/12)))/(($D$54/12)/2))))/2))/((PI()*($D$54/12))-((2*ACOS(((($D$54/12)/2)-(($D$54/12)-(AC113/12)))/(($D$54/12)/2)))*(($D$54/12)/2))))^(2/3)*$H$25^0.5)*(((PI()*($D$54/12)^2)/4)-((($D$54/12)/2)^2*((2*ACOS(((($D$54/12)/2)-(($D$54/12)-(AC113/12)))/(($D$54/12)/2)))-SIN(2*ACOS(((($D$54/12)/2)-(($D$54/12)-(AC113/12)))/(($D$54/12)/2))))/2))</f>
        <v>#VALUE!</v>
      </c>
      <c r="AC113">
        <v>0.01</v>
      </c>
      <c r="AD113" s="154" t="e">
        <f t="shared" ref="AD113:AD176" si="16">((1.486/$D$42)*((((PI()*($D$55/12)^2)/4)-((($D$55/12)/2)^2*((2*ACOS(((($D$55/12)/2)-(($D$55/12)-(AE113/12)))/(($D$55/12)/2)))-SIN(2*ACOS(((($D$55/12)/2)-(($D$55/12)-(AE113/12)))/(($D$55/12)/2))))/2))/((PI()*($D$55/12))-((2*ACOS(((($D$55/12)/2)-(($D$55/12)-(AE113/12)))/(($D$55/12)/2)))*(($D$55/12)/2))))^(2/3)*$H$26^0.5)*(((PI()*($D$55/12)^2)/4)-((($D$55/12)/2)^2*((2*ACOS(((($D$55/12)/2)-(($D$55/12)-(AE113/12)))/(($D$55/12)/2)))-SIN(2*ACOS(((($D$55/12)/2)-(($D$55/12)-(AE113/12)))/(($D$55/12)/2))))/2))</f>
        <v>#VALUE!</v>
      </c>
      <c r="AE113">
        <v>0.01</v>
      </c>
    </row>
    <row r="114" spans="12:31" ht="15" x14ac:dyDescent="0.2">
      <c r="L114" s="154" t="e">
        <f t="shared" si="7"/>
        <v>#VALUE!</v>
      </c>
      <c r="M114">
        <v>0.02</v>
      </c>
      <c r="N114" s="154" t="e">
        <f t="shared" si="8"/>
        <v>#VALUE!</v>
      </c>
      <c r="O114">
        <v>0.02</v>
      </c>
      <c r="P114" s="154" t="e">
        <f t="shared" si="9"/>
        <v>#VALUE!</v>
      </c>
      <c r="Q114">
        <v>0.02</v>
      </c>
      <c r="R114" s="154" t="e">
        <f t="shared" si="10"/>
        <v>#VALUE!</v>
      </c>
      <c r="S114">
        <v>0.02</v>
      </c>
      <c r="T114" s="154" t="e">
        <f t="shared" si="11"/>
        <v>#VALUE!</v>
      </c>
      <c r="U114">
        <v>0.02</v>
      </c>
      <c r="V114" s="154" t="e">
        <f t="shared" si="12"/>
        <v>#VALUE!</v>
      </c>
      <c r="W114">
        <v>0.02</v>
      </c>
      <c r="X114" s="157" t="e">
        <f t="shared" si="13"/>
        <v>#VALUE!</v>
      </c>
      <c r="Y114">
        <v>0.02</v>
      </c>
      <c r="Z114" s="154" t="e">
        <f t="shared" si="14"/>
        <v>#VALUE!</v>
      </c>
      <c r="AA114">
        <v>0.02</v>
      </c>
      <c r="AB114" s="154" t="e">
        <f t="shared" si="15"/>
        <v>#VALUE!</v>
      </c>
      <c r="AC114">
        <v>0.02</v>
      </c>
      <c r="AD114" s="154" t="e">
        <f t="shared" si="16"/>
        <v>#VALUE!</v>
      </c>
      <c r="AE114">
        <v>0.02</v>
      </c>
    </row>
    <row r="115" spans="12:31" ht="15" x14ac:dyDescent="0.2">
      <c r="L115" s="154" t="e">
        <f t="shared" si="7"/>
        <v>#VALUE!</v>
      </c>
      <c r="M115">
        <v>0.03</v>
      </c>
      <c r="N115" s="154" t="e">
        <f t="shared" si="8"/>
        <v>#VALUE!</v>
      </c>
      <c r="O115">
        <v>0.03</v>
      </c>
      <c r="P115" s="154" t="e">
        <f t="shared" si="9"/>
        <v>#VALUE!</v>
      </c>
      <c r="Q115">
        <v>0.03</v>
      </c>
      <c r="R115" s="154" t="e">
        <f t="shared" si="10"/>
        <v>#VALUE!</v>
      </c>
      <c r="S115">
        <v>0.03</v>
      </c>
      <c r="T115" s="154" t="e">
        <f t="shared" si="11"/>
        <v>#VALUE!</v>
      </c>
      <c r="U115">
        <v>0.03</v>
      </c>
      <c r="V115" s="154" t="e">
        <f t="shared" si="12"/>
        <v>#VALUE!</v>
      </c>
      <c r="W115">
        <v>0.03</v>
      </c>
      <c r="X115" s="157" t="e">
        <f t="shared" si="13"/>
        <v>#VALUE!</v>
      </c>
      <c r="Y115">
        <v>0.03</v>
      </c>
      <c r="Z115" s="154" t="e">
        <f t="shared" si="14"/>
        <v>#VALUE!</v>
      </c>
      <c r="AA115">
        <v>0.03</v>
      </c>
      <c r="AB115" s="154" t="e">
        <f t="shared" si="15"/>
        <v>#VALUE!</v>
      </c>
      <c r="AC115">
        <v>0.03</v>
      </c>
      <c r="AD115" s="154" t="e">
        <f t="shared" si="16"/>
        <v>#VALUE!</v>
      </c>
      <c r="AE115">
        <v>0.03</v>
      </c>
    </row>
    <row r="116" spans="12:31" ht="15" x14ac:dyDescent="0.2">
      <c r="L116" s="154" t="e">
        <f t="shared" si="7"/>
        <v>#VALUE!</v>
      </c>
      <c r="M116">
        <v>0.04</v>
      </c>
      <c r="N116" s="154" t="e">
        <f t="shared" si="8"/>
        <v>#VALUE!</v>
      </c>
      <c r="O116">
        <v>0.04</v>
      </c>
      <c r="P116" s="154" t="e">
        <f t="shared" si="9"/>
        <v>#VALUE!</v>
      </c>
      <c r="Q116">
        <v>0.04</v>
      </c>
      <c r="R116" s="154" t="e">
        <f t="shared" si="10"/>
        <v>#VALUE!</v>
      </c>
      <c r="S116">
        <v>0.04</v>
      </c>
      <c r="T116" s="154" t="e">
        <f t="shared" si="11"/>
        <v>#VALUE!</v>
      </c>
      <c r="U116">
        <v>0.04</v>
      </c>
      <c r="V116" s="154" t="e">
        <f t="shared" si="12"/>
        <v>#VALUE!</v>
      </c>
      <c r="W116">
        <v>0.04</v>
      </c>
      <c r="X116" s="157" t="e">
        <f t="shared" si="13"/>
        <v>#VALUE!</v>
      </c>
      <c r="Y116">
        <v>0.04</v>
      </c>
      <c r="Z116" s="154" t="e">
        <f t="shared" si="14"/>
        <v>#VALUE!</v>
      </c>
      <c r="AA116">
        <v>0.04</v>
      </c>
      <c r="AB116" s="154" t="e">
        <f t="shared" si="15"/>
        <v>#VALUE!</v>
      </c>
      <c r="AC116">
        <v>0.04</v>
      </c>
      <c r="AD116" s="154" t="e">
        <f t="shared" si="16"/>
        <v>#VALUE!</v>
      </c>
      <c r="AE116">
        <v>0.04</v>
      </c>
    </row>
    <row r="117" spans="12:31" ht="15" x14ac:dyDescent="0.2">
      <c r="L117" s="154" t="e">
        <f t="shared" si="7"/>
        <v>#VALUE!</v>
      </c>
      <c r="M117">
        <v>0.05</v>
      </c>
      <c r="N117" s="154" t="e">
        <f t="shared" si="8"/>
        <v>#VALUE!</v>
      </c>
      <c r="O117">
        <v>0.05</v>
      </c>
      <c r="P117" s="154" t="e">
        <f t="shared" si="9"/>
        <v>#VALUE!</v>
      </c>
      <c r="Q117">
        <v>0.05</v>
      </c>
      <c r="R117" s="154" t="e">
        <f t="shared" si="10"/>
        <v>#VALUE!</v>
      </c>
      <c r="S117">
        <v>0.05</v>
      </c>
      <c r="T117" s="154" t="e">
        <f t="shared" si="11"/>
        <v>#VALUE!</v>
      </c>
      <c r="U117">
        <v>0.05</v>
      </c>
      <c r="V117" s="154" t="e">
        <f t="shared" si="12"/>
        <v>#VALUE!</v>
      </c>
      <c r="W117">
        <v>0.05</v>
      </c>
      <c r="X117" s="157" t="e">
        <f t="shared" si="13"/>
        <v>#VALUE!</v>
      </c>
      <c r="Y117">
        <v>0.05</v>
      </c>
      <c r="Z117" s="154" t="e">
        <f t="shared" si="14"/>
        <v>#VALUE!</v>
      </c>
      <c r="AA117">
        <v>0.05</v>
      </c>
      <c r="AB117" s="154" t="e">
        <f t="shared" si="15"/>
        <v>#VALUE!</v>
      </c>
      <c r="AC117">
        <v>0.05</v>
      </c>
      <c r="AD117" s="154" t="e">
        <f t="shared" si="16"/>
        <v>#VALUE!</v>
      </c>
      <c r="AE117">
        <v>0.05</v>
      </c>
    </row>
    <row r="118" spans="12:31" ht="15" x14ac:dyDescent="0.2">
      <c r="L118" s="154" t="e">
        <f t="shared" si="7"/>
        <v>#VALUE!</v>
      </c>
      <c r="M118">
        <v>0.06</v>
      </c>
      <c r="N118" s="154" t="e">
        <f t="shared" si="8"/>
        <v>#VALUE!</v>
      </c>
      <c r="O118">
        <v>0.06</v>
      </c>
      <c r="P118" s="154" t="e">
        <f t="shared" si="9"/>
        <v>#VALUE!</v>
      </c>
      <c r="Q118">
        <v>0.06</v>
      </c>
      <c r="R118" s="154" t="e">
        <f t="shared" si="10"/>
        <v>#VALUE!</v>
      </c>
      <c r="S118">
        <v>0.06</v>
      </c>
      <c r="T118" s="154" t="e">
        <f t="shared" si="11"/>
        <v>#VALUE!</v>
      </c>
      <c r="U118">
        <v>0.06</v>
      </c>
      <c r="V118" s="154" t="e">
        <f t="shared" si="12"/>
        <v>#VALUE!</v>
      </c>
      <c r="W118">
        <v>0.06</v>
      </c>
      <c r="X118" s="157" t="e">
        <f t="shared" si="13"/>
        <v>#VALUE!</v>
      </c>
      <c r="Y118">
        <v>0.06</v>
      </c>
      <c r="Z118" s="154" t="e">
        <f t="shared" si="14"/>
        <v>#VALUE!</v>
      </c>
      <c r="AA118">
        <v>0.06</v>
      </c>
      <c r="AB118" s="154" t="e">
        <f t="shared" si="15"/>
        <v>#VALUE!</v>
      </c>
      <c r="AC118">
        <v>0.06</v>
      </c>
      <c r="AD118" s="154" t="e">
        <f t="shared" si="16"/>
        <v>#VALUE!</v>
      </c>
      <c r="AE118">
        <v>0.06</v>
      </c>
    </row>
    <row r="119" spans="12:31" ht="15" x14ac:dyDescent="0.2">
      <c r="L119" s="154" t="e">
        <f t="shared" si="7"/>
        <v>#VALUE!</v>
      </c>
      <c r="M119">
        <v>7.0000000000000007E-2</v>
      </c>
      <c r="N119" s="154" t="e">
        <f t="shared" si="8"/>
        <v>#VALUE!</v>
      </c>
      <c r="O119">
        <v>7.0000000000000007E-2</v>
      </c>
      <c r="P119" s="154" t="e">
        <f t="shared" si="9"/>
        <v>#VALUE!</v>
      </c>
      <c r="Q119">
        <v>7.0000000000000007E-2</v>
      </c>
      <c r="R119" s="154" t="e">
        <f t="shared" si="10"/>
        <v>#VALUE!</v>
      </c>
      <c r="S119">
        <v>7.0000000000000007E-2</v>
      </c>
      <c r="T119" s="154" t="e">
        <f t="shared" si="11"/>
        <v>#VALUE!</v>
      </c>
      <c r="U119">
        <v>7.0000000000000007E-2</v>
      </c>
      <c r="V119" s="154" t="e">
        <f t="shared" si="12"/>
        <v>#VALUE!</v>
      </c>
      <c r="W119">
        <v>7.0000000000000007E-2</v>
      </c>
      <c r="X119" s="157" t="e">
        <f t="shared" si="13"/>
        <v>#VALUE!</v>
      </c>
      <c r="Y119">
        <v>7.0000000000000007E-2</v>
      </c>
      <c r="Z119" s="154" t="e">
        <f t="shared" si="14"/>
        <v>#VALUE!</v>
      </c>
      <c r="AA119">
        <v>7.0000000000000007E-2</v>
      </c>
      <c r="AB119" s="154" t="e">
        <f t="shared" si="15"/>
        <v>#VALUE!</v>
      </c>
      <c r="AC119">
        <v>7.0000000000000007E-2</v>
      </c>
      <c r="AD119" s="154" t="e">
        <f t="shared" si="16"/>
        <v>#VALUE!</v>
      </c>
      <c r="AE119">
        <v>7.0000000000000007E-2</v>
      </c>
    </row>
    <row r="120" spans="12:31" ht="15" x14ac:dyDescent="0.2">
      <c r="L120" s="154" t="e">
        <f t="shared" si="7"/>
        <v>#VALUE!</v>
      </c>
      <c r="M120">
        <v>0.08</v>
      </c>
      <c r="N120" s="154" t="e">
        <f t="shared" si="8"/>
        <v>#VALUE!</v>
      </c>
      <c r="O120">
        <v>0.08</v>
      </c>
      <c r="P120" s="154" t="e">
        <f t="shared" si="9"/>
        <v>#VALUE!</v>
      </c>
      <c r="Q120">
        <v>0.08</v>
      </c>
      <c r="R120" s="154" t="e">
        <f t="shared" si="10"/>
        <v>#VALUE!</v>
      </c>
      <c r="S120">
        <v>0.08</v>
      </c>
      <c r="T120" s="154" t="e">
        <f t="shared" si="11"/>
        <v>#VALUE!</v>
      </c>
      <c r="U120">
        <v>0.08</v>
      </c>
      <c r="V120" s="154" t="e">
        <f t="shared" si="12"/>
        <v>#VALUE!</v>
      </c>
      <c r="W120">
        <v>0.08</v>
      </c>
      <c r="X120" s="157" t="e">
        <f t="shared" si="13"/>
        <v>#VALUE!</v>
      </c>
      <c r="Y120">
        <v>0.08</v>
      </c>
      <c r="Z120" s="154" t="e">
        <f t="shared" si="14"/>
        <v>#VALUE!</v>
      </c>
      <c r="AA120">
        <v>0.08</v>
      </c>
      <c r="AB120" s="154" t="e">
        <f t="shared" si="15"/>
        <v>#VALUE!</v>
      </c>
      <c r="AC120">
        <v>0.08</v>
      </c>
      <c r="AD120" s="154" t="e">
        <f t="shared" si="16"/>
        <v>#VALUE!</v>
      </c>
      <c r="AE120">
        <v>0.08</v>
      </c>
    </row>
    <row r="121" spans="12:31" ht="15" x14ac:dyDescent="0.2">
      <c r="L121" s="154" t="e">
        <f t="shared" si="7"/>
        <v>#VALUE!</v>
      </c>
      <c r="M121">
        <v>0.09</v>
      </c>
      <c r="N121" s="154" t="e">
        <f t="shared" si="8"/>
        <v>#VALUE!</v>
      </c>
      <c r="O121">
        <v>0.09</v>
      </c>
      <c r="P121" s="154" t="e">
        <f t="shared" si="9"/>
        <v>#VALUE!</v>
      </c>
      <c r="Q121">
        <v>0.09</v>
      </c>
      <c r="R121" s="154" t="e">
        <f t="shared" si="10"/>
        <v>#VALUE!</v>
      </c>
      <c r="S121">
        <v>0.09</v>
      </c>
      <c r="T121" s="154" t="e">
        <f t="shared" si="11"/>
        <v>#VALUE!</v>
      </c>
      <c r="U121">
        <v>0.09</v>
      </c>
      <c r="V121" s="154" t="e">
        <f t="shared" si="12"/>
        <v>#VALUE!</v>
      </c>
      <c r="W121">
        <v>0.09</v>
      </c>
      <c r="X121" s="157" t="e">
        <f t="shared" si="13"/>
        <v>#VALUE!</v>
      </c>
      <c r="Y121">
        <v>0.09</v>
      </c>
      <c r="Z121" s="154" t="e">
        <f t="shared" si="14"/>
        <v>#VALUE!</v>
      </c>
      <c r="AA121">
        <v>0.09</v>
      </c>
      <c r="AB121" s="154" t="e">
        <f t="shared" si="15"/>
        <v>#VALUE!</v>
      </c>
      <c r="AC121">
        <v>0.09</v>
      </c>
      <c r="AD121" s="154" t="e">
        <f t="shared" si="16"/>
        <v>#VALUE!</v>
      </c>
      <c r="AE121">
        <v>0.09</v>
      </c>
    </row>
    <row r="122" spans="12:31" ht="15" x14ac:dyDescent="0.2">
      <c r="L122" s="154" t="e">
        <f t="shared" si="7"/>
        <v>#VALUE!</v>
      </c>
      <c r="M122">
        <v>0.1</v>
      </c>
      <c r="N122" s="154" t="e">
        <f t="shared" si="8"/>
        <v>#VALUE!</v>
      </c>
      <c r="O122">
        <v>0.1</v>
      </c>
      <c r="P122" s="154" t="e">
        <f t="shared" si="9"/>
        <v>#VALUE!</v>
      </c>
      <c r="Q122">
        <v>0.1</v>
      </c>
      <c r="R122" s="154" t="e">
        <f t="shared" si="10"/>
        <v>#VALUE!</v>
      </c>
      <c r="S122">
        <v>0.1</v>
      </c>
      <c r="T122" s="154" t="e">
        <f t="shared" si="11"/>
        <v>#VALUE!</v>
      </c>
      <c r="U122">
        <v>0.1</v>
      </c>
      <c r="V122" s="154" t="e">
        <f t="shared" si="12"/>
        <v>#VALUE!</v>
      </c>
      <c r="W122">
        <v>0.1</v>
      </c>
      <c r="X122" s="157" t="e">
        <f t="shared" si="13"/>
        <v>#VALUE!</v>
      </c>
      <c r="Y122">
        <v>0.1</v>
      </c>
      <c r="Z122" s="154" t="e">
        <f t="shared" si="14"/>
        <v>#VALUE!</v>
      </c>
      <c r="AA122">
        <v>0.1</v>
      </c>
      <c r="AB122" s="154" t="e">
        <f t="shared" si="15"/>
        <v>#VALUE!</v>
      </c>
      <c r="AC122">
        <v>0.1</v>
      </c>
      <c r="AD122" s="154" t="e">
        <f t="shared" si="16"/>
        <v>#VALUE!</v>
      </c>
      <c r="AE122">
        <v>0.1</v>
      </c>
    </row>
    <row r="123" spans="12:31" ht="15" x14ac:dyDescent="0.2">
      <c r="L123" s="154" t="e">
        <f t="shared" si="7"/>
        <v>#VALUE!</v>
      </c>
      <c r="M123">
        <v>0.11</v>
      </c>
      <c r="N123" s="154" t="e">
        <f t="shared" si="8"/>
        <v>#VALUE!</v>
      </c>
      <c r="O123">
        <v>0.11</v>
      </c>
      <c r="P123" s="154" t="e">
        <f t="shared" si="9"/>
        <v>#VALUE!</v>
      </c>
      <c r="Q123">
        <v>0.11</v>
      </c>
      <c r="R123" s="154" t="e">
        <f t="shared" si="10"/>
        <v>#VALUE!</v>
      </c>
      <c r="S123">
        <v>0.11</v>
      </c>
      <c r="T123" s="154" t="e">
        <f t="shared" si="11"/>
        <v>#VALUE!</v>
      </c>
      <c r="U123">
        <v>0.11</v>
      </c>
      <c r="V123" s="154" t="e">
        <f t="shared" si="12"/>
        <v>#VALUE!</v>
      </c>
      <c r="W123">
        <v>0.11</v>
      </c>
      <c r="X123" s="157" t="e">
        <f t="shared" si="13"/>
        <v>#VALUE!</v>
      </c>
      <c r="Y123">
        <v>0.11</v>
      </c>
      <c r="Z123" s="154" t="e">
        <f t="shared" si="14"/>
        <v>#VALUE!</v>
      </c>
      <c r="AA123">
        <v>0.11</v>
      </c>
      <c r="AB123" s="154" t="e">
        <f t="shared" si="15"/>
        <v>#VALUE!</v>
      </c>
      <c r="AC123">
        <v>0.11</v>
      </c>
      <c r="AD123" s="154" t="e">
        <f t="shared" si="16"/>
        <v>#VALUE!</v>
      </c>
      <c r="AE123">
        <v>0.11</v>
      </c>
    </row>
    <row r="124" spans="12:31" ht="15" x14ac:dyDescent="0.2">
      <c r="L124" s="154" t="e">
        <f t="shared" si="7"/>
        <v>#VALUE!</v>
      </c>
      <c r="M124">
        <v>0.12</v>
      </c>
      <c r="N124" s="154" t="e">
        <f t="shared" si="8"/>
        <v>#VALUE!</v>
      </c>
      <c r="O124">
        <v>0.12</v>
      </c>
      <c r="P124" s="154" t="e">
        <f t="shared" si="9"/>
        <v>#VALUE!</v>
      </c>
      <c r="Q124">
        <v>0.12</v>
      </c>
      <c r="R124" s="154" t="e">
        <f t="shared" si="10"/>
        <v>#VALUE!</v>
      </c>
      <c r="S124">
        <v>0.12</v>
      </c>
      <c r="T124" s="154" t="e">
        <f t="shared" si="11"/>
        <v>#VALUE!</v>
      </c>
      <c r="U124">
        <v>0.12</v>
      </c>
      <c r="V124" s="154" t="e">
        <f t="shared" si="12"/>
        <v>#VALUE!</v>
      </c>
      <c r="W124">
        <v>0.12</v>
      </c>
      <c r="X124" s="157" t="e">
        <f t="shared" si="13"/>
        <v>#VALUE!</v>
      </c>
      <c r="Y124">
        <v>0.12</v>
      </c>
      <c r="Z124" s="154" t="e">
        <f t="shared" si="14"/>
        <v>#VALUE!</v>
      </c>
      <c r="AA124">
        <v>0.12</v>
      </c>
      <c r="AB124" s="154" t="e">
        <f t="shared" si="15"/>
        <v>#VALUE!</v>
      </c>
      <c r="AC124">
        <v>0.12</v>
      </c>
      <c r="AD124" s="154" t="e">
        <f t="shared" si="16"/>
        <v>#VALUE!</v>
      </c>
      <c r="AE124">
        <v>0.12</v>
      </c>
    </row>
    <row r="125" spans="12:31" ht="15" x14ac:dyDescent="0.2">
      <c r="L125" s="154" t="e">
        <f t="shared" si="7"/>
        <v>#VALUE!</v>
      </c>
      <c r="M125" s="64">
        <v>0.13</v>
      </c>
      <c r="N125" s="154" t="e">
        <f t="shared" si="8"/>
        <v>#VALUE!</v>
      </c>
      <c r="O125" s="64">
        <v>0.13</v>
      </c>
      <c r="P125" s="154" t="e">
        <f t="shared" si="9"/>
        <v>#VALUE!</v>
      </c>
      <c r="Q125" s="64">
        <v>0.13</v>
      </c>
      <c r="R125" s="154" t="e">
        <f t="shared" si="10"/>
        <v>#VALUE!</v>
      </c>
      <c r="S125" s="64">
        <v>0.13</v>
      </c>
      <c r="T125" s="154" t="e">
        <f t="shared" si="11"/>
        <v>#VALUE!</v>
      </c>
      <c r="U125" s="64">
        <v>0.13</v>
      </c>
      <c r="V125" s="154" t="e">
        <f t="shared" si="12"/>
        <v>#VALUE!</v>
      </c>
      <c r="W125" s="64">
        <v>0.13</v>
      </c>
      <c r="X125" s="157" t="e">
        <f t="shared" si="13"/>
        <v>#VALUE!</v>
      </c>
      <c r="Y125" s="64">
        <v>0.13</v>
      </c>
      <c r="Z125" s="154" t="e">
        <f t="shared" si="14"/>
        <v>#VALUE!</v>
      </c>
      <c r="AA125" s="64">
        <v>0.13</v>
      </c>
      <c r="AB125" s="154" t="e">
        <f t="shared" si="15"/>
        <v>#VALUE!</v>
      </c>
      <c r="AC125" s="64">
        <v>0.13</v>
      </c>
      <c r="AD125" s="154" t="e">
        <f t="shared" si="16"/>
        <v>#VALUE!</v>
      </c>
      <c r="AE125" s="64">
        <v>0.13</v>
      </c>
    </row>
    <row r="126" spans="12:31" ht="15" x14ac:dyDescent="0.2">
      <c r="L126" s="154" t="e">
        <f t="shared" si="7"/>
        <v>#VALUE!</v>
      </c>
      <c r="M126">
        <v>0.14000000000000001</v>
      </c>
      <c r="N126" s="154" t="e">
        <f t="shared" si="8"/>
        <v>#VALUE!</v>
      </c>
      <c r="O126">
        <v>0.14000000000000001</v>
      </c>
      <c r="P126" s="154" t="e">
        <f t="shared" si="9"/>
        <v>#VALUE!</v>
      </c>
      <c r="Q126">
        <v>0.14000000000000001</v>
      </c>
      <c r="R126" s="154" t="e">
        <f t="shared" si="10"/>
        <v>#VALUE!</v>
      </c>
      <c r="S126">
        <v>0.14000000000000001</v>
      </c>
      <c r="T126" s="154" t="e">
        <f t="shared" si="11"/>
        <v>#VALUE!</v>
      </c>
      <c r="U126">
        <v>0.14000000000000001</v>
      </c>
      <c r="V126" s="154" t="e">
        <f t="shared" si="12"/>
        <v>#VALUE!</v>
      </c>
      <c r="W126">
        <v>0.14000000000000001</v>
      </c>
      <c r="X126" s="157" t="e">
        <f t="shared" si="13"/>
        <v>#VALUE!</v>
      </c>
      <c r="Y126">
        <v>0.14000000000000001</v>
      </c>
      <c r="Z126" s="154" t="e">
        <f t="shared" si="14"/>
        <v>#VALUE!</v>
      </c>
      <c r="AA126">
        <v>0.14000000000000001</v>
      </c>
      <c r="AB126" s="154" t="e">
        <f t="shared" si="15"/>
        <v>#VALUE!</v>
      </c>
      <c r="AC126">
        <v>0.14000000000000001</v>
      </c>
      <c r="AD126" s="154" t="e">
        <f t="shared" si="16"/>
        <v>#VALUE!</v>
      </c>
      <c r="AE126">
        <v>0.14000000000000001</v>
      </c>
    </row>
    <row r="127" spans="12:31" ht="15" x14ac:dyDescent="0.2">
      <c r="L127" s="154" t="e">
        <f t="shared" si="7"/>
        <v>#VALUE!</v>
      </c>
      <c r="M127" s="64">
        <v>0.15</v>
      </c>
      <c r="N127" s="154" t="e">
        <f t="shared" si="8"/>
        <v>#VALUE!</v>
      </c>
      <c r="O127" s="64">
        <v>0.15</v>
      </c>
      <c r="P127" s="154" t="e">
        <f t="shared" si="9"/>
        <v>#VALUE!</v>
      </c>
      <c r="Q127" s="64">
        <v>0.15</v>
      </c>
      <c r="R127" s="154" t="e">
        <f t="shared" si="10"/>
        <v>#VALUE!</v>
      </c>
      <c r="S127" s="64">
        <v>0.15</v>
      </c>
      <c r="T127" s="154" t="e">
        <f t="shared" si="11"/>
        <v>#VALUE!</v>
      </c>
      <c r="U127" s="64">
        <v>0.15</v>
      </c>
      <c r="V127" s="154" t="e">
        <f t="shared" si="12"/>
        <v>#VALUE!</v>
      </c>
      <c r="W127" s="64">
        <v>0.15</v>
      </c>
      <c r="X127" s="157" t="e">
        <f t="shared" si="13"/>
        <v>#VALUE!</v>
      </c>
      <c r="Y127" s="64">
        <v>0.15</v>
      </c>
      <c r="Z127" s="154" t="e">
        <f t="shared" si="14"/>
        <v>#VALUE!</v>
      </c>
      <c r="AA127" s="64">
        <v>0.15</v>
      </c>
      <c r="AB127" s="154" t="e">
        <f t="shared" si="15"/>
        <v>#VALUE!</v>
      </c>
      <c r="AC127" s="64">
        <v>0.15</v>
      </c>
      <c r="AD127" s="154" t="e">
        <f t="shared" si="16"/>
        <v>#VALUE!</v>
      </c>
      <c r="AE127" s="64">
        <v>0.15</v>
      </c>
    </row>
    <row r="128" spans="12:31" ht="15" x14ac:dyDescent="0.2">
      <c r="L128" s="154" t="e">
        <f t="shared" si="7"/>
        <v>#VALUE!</v>
      </c>
      <c r="M128">
        <v>0.16</v>
      </c>
      <c r="N128" s="154" t="e">
        <f t="shared" si="8"/>
        <v>#VALUE!</v>
      </c>
      <c r="O128">
        <v>0.16</v>
      </c>
      <c r="P128" s="154" t="e">
        <f t="shared" si="9"/>
        <v>#VALUE!</v>
      </c>
      <c r="Q128">
        <v>0.16</v>
      </c>
      <c r="R128" s="154" t="e">
        <f t="shared" si="10"/>
        <v>#VALUE!</v>
      </c>
      <c r="S128">
        <v>0.16</v>
      </c>
      <c r="T128" s="154" t="e">
        <f t="shared" si="11"/>
        <v>#VALUE!</v>
      </c>
      <c r="U128">
        <v>0.16</v>
      </c>
      <c r="V128" s="154" t="e">
        <f t="shared" si="12"/>
        <v>#VALUE!</v>
      </c>
      <c r="W128">
        <v>0.16</v>
      </c>
      <c r="X128" s="157" t="e">
        <f t="shared" si="13"/>
        <v>#VALUE!</v>
      </c>
      <c r="Y128">
        <v>0.16</v>
      </c>
      <c r="Z128" s="154" t="e">
        <f t="shared" si="14"/>
        <v>#VALUE!</v>
      </c>
      <c r="AA128">
        <v>0.16</v>
      </c>
      <c r="AB128" s="154" t="e">
        <f t="shared" si="15"/>
        <v>#VALUE!</v>
      </c>
      <c r="AC128">
        <v>0.16</v>
      </c>
      <c r="AD128" s="154" t="e">
        <f t="shared" si="16"/>
        <v>#VALUE!</v>
      </c>
      <c r="AE128">
        <v>0.16</v>
      </c>
    </row>
    <row r="129" spans="12:31" ht="15" x14ac:dyDescent="0.2">
      <c r="L129" s="154" t="e">
        <f t="shared" si="7"/>
        <v>#VALUE!</v>
      </c>
      <c r="M129">
        <v>0.17</v>
      </c>
      <c r="N129" s="154" t="e">
        <f t="shared" si="8"/>
        <v>#VALUE!</v>
      </c>
      <c r="O129">
        <v>0.17</v>
      </c>
      <c r="P129" s="154" t="e">
        <f t="shared" si="9"/>
        <v>#VALUE!</v>
      </c>
      <c r="Q129">
        <v>0.17</v>
      </c>
      <c r="R129" s="154" t="e">
        <f t="shared" si="10"/>
        <v>#VALUE!</v>
      </c>
      <c r="S129">
        <v>0.17</v>
      </c>
      <c r="T129" s="154" t="e">
        <f t="shared" si="11"/>
        <v>#VALUE!</v>
      </c>
      <c r="U129">
        <v>0.17</v>
      </c>
      <c r="V129" s="154" t="e">
        <f t="shared" si="12"/>
        <v>#VALUE!</v>
      </c>
      <c r="W129">
        <v>0.17</v>
      </c>
      <c r="X129" s="157" t="e">
        <f t="shared" si="13"/>
        <v>#VALUE!</v>
      </c>
      <c r="Y129">
        <v>0.17</v>
      </c>
      <c r="Z129" s="154" t="e">
        <f t="shared" si="14"/>
        <v>#VALUE!</v>
      </c>
      <c r="AA129">
        <v>0.17</v>
      </c>
      <c r="AB129" s="154" t="e">
        <f t="shared" si="15"/>
        <v>#VALUE!</v>
      </c>
      <c r="AC129">
        <v>0.17</v>
      </c>
      <c r="AD129" s="154" t="e">
        <f t="shared" si="16"/>
        <v>#VALUE!</v>
      </c>
      <c r="AE129">
        <v>0.17</v>
      </c>
    </row>
    <row r="130" spans="12:31" ht="15" x14ac:dyDescent="0.2">
      <c r="L130" s="154" t="e">
        <f t="shared" si="7"/>
        <v>#VALUE!</v>
      </c>
      <c r="M130">
        <v>0.18</v>
      </c>
      <c r="N130" s="154" t="e">
        <f t="shared" si="8"/>
        <v>#VALUE!</v>
      </c>
      <c r="O130">
        <v>0.18</v>
      </c>
      <c r="P130" s="154" t="e">
        <f t="shared" si="9"/>
        <v>#VALUE!</v>
      </c>
      <c r="Q130">
        <v>0.18</v>
      </c>
      <c r="R130" s="154" t="e">
        <f t="shared" si="10"/>
        <v>#VALUE!</v>
      </c>
      <c r="S130">
        <v>0.18</v>
      </c>
      <c r="T130" s="154" t="e">
        <f t="shared" si="11"/>
        <v>#VALUE!</v>
      </c>
      <c r="U130">
        <v>0.18</v>
      </c>
      <c r="V130" s="154" t="e">
        <f t="shared" si="12"/>
        <v>#VALUE!</v>
      </c>
      <c r="W130">
        <v>0.18</v>
      </c>
      <c r="X130" s="157" t="e">
        <f t="shared" si="13"/>
        <v>#VALUE!</v>
      </c>
      <c r="Y130">
        <v>0.18</v>
      </c>
      <c r="Z130" s="154" t="e">
        <f t="shared" si="14"/>
        <v>#VALUE!</v>
      </c>
      <c r="AA130">
        <v>0.18</v>
      </c>
      <c r="AB130" s="154" t="e">
        <f t="shared" si="15"/>
        <v>#VALUE!</v>
      </c>
      <c r="AC130">
        <v>0.18</v>
      </c>
      <c r="AD130" s="154" t="e">
        <f t="shared" si="16"/>
        <v>#VALUE!</v>
      </c>
      <c r="AE130">
        <v>0.18</v>
      </c>
    </row>
    <row r="131" spans="12:31" ht="15" x14ac:dyDescent="0.2">
      <c r="L131" s="154" t="e">
        <f t="shared" si="7"/>
        <v>#VALUE!</v>
      </c>
      <c r="M131">
        <v>0.19</v>
      </c>
      <c r="N131" s="154" t="e">
        <f t="shared" si="8"/>
        <v>#VALUE!</v>
      </c>
      <c r="O131">
        <v>0.19</v>
      </c>
      <c r="P131" s="154" t="e">
        <f t="shared" si="9"/>
        <v>#VALUE!</v>
      </c>
      <c r="Q131">
        <v>0.19</v>
      </c>
      <c r="R131" s="154" t="e">
        <f t="shared" si="10"/>
        <v>#VALUE!</v>
      </c>
      <c r="S131">
        <v>0.19</v>
      </c>
      <c r="T131" s="154" t="e">
        <f t="shared" si="11"/>
        <v>#VALUE!</v>
      </c>
      <c r="U131">
        <v>0.19</v>
      </c>
      <c r="V131" s="154" t="e">
        <f t="shared" si="12"/>
        <v>#VALUE!</v>
      </c>
      <c r="W131">
        <v>0.19</v>
      </c>
      <c r="X131" s="157" t="e">
        <f t="shared" si="13"/>
        <v>#VALUE!</v>
      </c>
      <c r="Y131">
        <v>0.19</v>
      </c>
      <c r="Z131" s="154" t="e">
        <f t="shared" si="14"/>
        <v>#VALUE!</v>
      </c>
      <c r="AA131">
        <v>0.19</v>
      </c>
      <c r="AB131" s="154" t="e">
        <f t="shared" si="15"/>
        <v>#VALUE!</v>
      </c>
      <c r="AC131">
        <v>0.19</v>
      </c>
      <c r="AD131" s="154" t="e">
        <f t="shared" si="16"/>
        <v>#VALUE!</v>
      </c>
      <c r="AE131">
        <v>0.19</v>
      </c>
    </row>
    <row r="132" spans="12:31" ht="15" x14ac:dyDescent="0.2">
      <c r="L132" s="154" t="e">
        <f t="shared" si="7"/>
        <v>#VALUE!</v>
      </c>
      <c r="M132">
        <v>0.2</v>
      </c>
      <c r="N132" s="154" t="e">
        <f t="shared" si="8"/>
        <v>#VALUE!</v>
      </c>
      <c r="O132">
        <v>0.2</v>
      </c>
      <c r="P132" s="154" t="e">
        <f t="shared" si="9"/>
        <v>#VALUE!</v>
      </c>
      <c r="Q132">
        <v>0.2</v>
      </c>
      <c r="R132" s="154" t="e">
        <f t="shared" si="10"/>
        <v>#VALUE!</v>
      </c>
      <c r="S132">
        <v>0.2</v>
      </c>
      <c r="T132" s="154" t="e">
        <f t="shared" si="11"/>
        <v>#VALUE!</v>
      </c>
      <c r="U132">
        <v>0.2</v>
      </c>
      <c r="V132" s="154" t="e">
        <f t="shared" si="12"/>
        <v>#VALUE!</v>
      </c>
      <c r="W132">
        <v>0.2</v>
      </c>
      <c r="X132" s="157" t="e">
        <f t="shared" si="13"/>
        <v>#VALUE!</v>
      </c>
      <c r="Y132">
        <v>0.2</v>
      </c>
      <c r="Z132" s="154" t="e">
        <f t="shared" si="14"/>
        <v>#VALUE!</v>
      </c>
      <c r="AA132">
        <v>0.2</v>
      </c>
      <c r="AB132" s="154" t="e">
        <f t="shared" si="15"/>
        <v>#VALUE!</v>
      </c>
      <c r="AC132">
        <v>0.2</v>
      </c>
      <c r="AD132" s="154" t="e">
        <f t="shared" si="16"/>
        <v>#VALUE!</v>
      </c>
      <c r="AE132">
        <v>0.2</v>
      </c>
    </row>
    <row r="133" spans="12:31" ht="15" x14ac:dyDescent="0.2">
      <c r="L133" s="154" t="e">
        <f t="shared" si="7"/>
        <v>#VALUE!</v>
      </c>
      <c r="M133">
        <v>0.21</v>
      </c>
      <c r="N133" s="154" t="e">
        <f t="shared" si="8"/>
        <v>#VALUE!</v>
      </c>
      <c r="O133">
        <v>0.21</v>
      </c>
      <c r="P133" s="154" t="e">
        <f t="shared" si="9"/>
        <v>#VALUE!</v>
      </c>
      <c r="Q133">
        <v>0.21</v>
      </c>
      <c r="R133" s="154" t="e">
        <f t="shared" si="10"/>
        <v>#VALUE!</v>
      </c>
      <c r="S133">
        <v>0.21</v>
      </c>
      <c r="T133" s="154" t="e">
        <f t="shared" si="11"/>
        <v>#VALUE!</v>
      </c>
      <c r="U133">
        <v>0.21</v>
      </c>
      <c r="V133" s="154" t="e">
        <f t="shared" si="12"/>
        <v>#VALUE!</v>
      </c>
      <c r="W133">
        <v>0.21</v>
      </c>
      <c r="X133" s="157" t="e">
        <f t="shared" si="13"/>
        <v>#VALUE!</v>
      </c>
      <c r="Y133">
        <v>0.21</v>
      </c>
      <c r="Z133" s="154" t="e">
        <f t="shared" si="14"/>
        <v>#VALUE!</v>
      </c>
      <c r="AA133">
        <v>0.21</v>
      </c>
      <c r="AB133" s="154" t="e">
        <f t="shared" si="15"/>
        <v>#VALUE!</v>
      </c>
      <c r="AC133">
        <v>0.21</v>
      </c>
      <c r="AD133" s="154" t="e">
        <f t="shared" si="16"/>
        <v>#VALUE!</v>
      </c>
      <c r="AE133">
        <v>0.21</v>
      </c>
    </row>
    <row r="134" spans="12:31" ht="15" x14ac:dyDescent="0.2">
      <c r="L134" s="154" t="e">
        <f t="shared" si="7"/>
        <v>#VALUE!</v>
      </c>
      <c r="M134">
        <v>0.22</v>
      </c>
      <c r="N134" s="154" t="e">
        <f t="shared" si="8"/>
        <v>#VALUE!</v>
      </c>
      <c r="O134">
        <v>0.22</v>
      </c>
      <c r="P134" s="154" t="e">
        <f t="shared" si="9"/>
        <v>#VALUE!</v>
      </c>
      <c r="Q134">
        <v>0.22</v>
      </c>
      <c r="R134" s="154" t="e">
        <f t="shared" si="10"/>
        <v>#VALUE!</v>
      </c>
      <c r="S134">
        <v>0.22</v>
      </c>
      <c r="T134" s="154" t="e">
        <f t="shared" si="11"/>
        <v>#VALUE!</v>
      </c>
      <c r="U134">
        <v>0.22</v>
      </c>
      <c r="V134" s="154" t="e">
        <f t="shared" si="12"/>
        <v>#VALUE!</v>
      </c>
      <c r="W134">
        <v>0.22</v>
      </c>
      <c r="X134" s="157" t="e">
        <f t="shared" si="13"/>
        <v>#VALUE!</v>
      </c>
      <c r="Y134">
        <v>0.22</v>
      </c>
      <c r="Z134" s="154" t="e">
        <f t="shared" si="14"/>
        <v>#VALUE!</v>
      </c>
      <c r="AA134">
        <v>0.22</v>
      </c>
      <c r="AB134" s="154" t="e">
        <f t="shared" si="15"/>
        <v>#VALUE!</v>
      </c>
      <c r="AC134">
        <v>0.22</v>
      </c>
      <c r="AD134" s="154" t="e">
        <f t="shared" si="16"/>
        <v>#VALUE!</v>
      </c>
      <c r="AE134">
        <v>0.22</v>
      </c>
    </row>
    <row r="135" spans="12:31" ht="15" x14ac:dyDescent="0.2">
      <c r="L135" s="154" t="e">
        <f t="shared" si="7"/>
        <v>#VALUE!</v>
      </c>
      <c r="M135">
        <v>0.23</v>
      </c>
      <c r="N135" s="154" t="e">
        <f t="shared" si="8"/>
        <v>#VALUE!</v>
      </c>
      <c r="O135">
        <v>0.23</v>
      </c>
      <c r="P135" s="154" t="e">
        <f t="shared" si="9"/>
        <v>#VALUE!</v>
      </c>
      <c r="Q135">
        <v>0.23</v>
      </c>
      <c r="R135" s="154" t="e">
        <f t="shared" si="10"/>
        <v>#VALUE!</v>
      </c>
      <c r="S135">
        <v>0.23</v>
      </c>
      <c r="T135" s="154" t="e">
        <f t="shared" si="11"/>
        <v>#VALUE!</v>
      </c>
      <c r="U135">
        <v>0.23</v>
      </c>
      <c r="V135" s="154" t="e">
        <f t="shared" si="12"/>
        <v>#VALUE!</v>
      </c>
      <c r="W135">
        <v>0.23</v>
      </c>
      <c r="X135" s="157" t="e">
        <f t="shared" si="13"/>
        <v>#VALUE!</v>
      </c>
      <c r="Y135">
        <v>0.23</v>
      </c>
      <c r="Z135" s="154" t="e">
        <f t="shared" si="14"/>
        <v>#VALUE!</v>
      </c>
      <c r="AA135">
        <v>0.23</v>
      </c>
      <c r="AB135" s="154" t="e">
        <f t="shared" si="15"/>
        <v>#VALUE!</v>
      </c>
      <c r="AC135">
        <v>0.23</v>
      </c>
      <c r="AD135" s="154" t="e">
        <f t="shared" si="16"/>
        <v>#VALUE!</v>
      </c>
      <c r="AE135">
        <v>0.23</v>
      </c>
    </row>
    <row r="136" spans="12:31" ht="15" x14ac:dyDescent="0.2">
      <c r="L136" s="154" t="e">
        <f t="shared" si="7"/>
        <v>#VALUE!</v>
      </c>
      <c r="M136">
        <v>0.24</v>
      </c>
      <c r="N136" s="154" t="e">
        <f t="shared" si="8"/>
        <v>#VALUE!</v>
      </c>
      <c r="O136">
        <v>0.24</v>
      </c>
      <c r="P136" s="154" t="e">
        <f t="shared" si="9"/>
        <v>#VALUE!</v>
      </c>
      <c r="Q136">
        <v>0.24</v>
      </c>
      <c r="R136" s="154" t="e">
        <f t="shared" si="10"/>
        <v>#VALUE!</v>
      </c>
      <c r="S136">
        <v>0.24</v>
      </c>
      <c r="T136" s="154" t="e">
        <f t="shared" si="11"/>
        <v>#VALUE!</v>
      </c>
      <c r="U136">
        <v>0.24</v>
      </c>
      <c r="V136" s="154" t="e">
        <f t="shared" si="12"/>
        <v>#VALUE!</v>
      </c>
      <c r="W136">
        <v>0.24</v>
      </c>
      <c r="X136" s="157" t="e">
        <f t="shared" si="13"/>
        <v>#VALUE!</v>
      </c>
      <c r="Y136">
        <v>0.24</v>
      </c>
      <c r="Z136" s="154" t="e">
        <f t="shared" si="14"/>
        <v>#VALUE!</v>
      </c>
      <c r="AA136">
        <v>0.24</v>
      </c>
      <c r="AB136" s="154" t="e">
        <f t="shared" si="15"/>
        <v>#VALUE!</v>
      </c>
      <c r="AC136">
        <v>0.24</v>
      </c>
      <c r="AD136" s="154" t="e">
        <f t="shared" si="16"/>
        <v>#VALUE!</v>
      </c>
      <c r="AE136">
        <v>0.24</v>
      </c>
    </row>
    <row r="137" spans="12:31" ht="15" x14ac:dyDescent="0.2">
      <c r="L137" s="154" t="e">
        <f t="shared" si="7"/>
        <v>#VALUE!</v>
      </c>
      <c r="M137">
        <v>0.25</v>
      </c>
      <c r="N137" s="154" t="e">
        <f t="shared" si="8"/>
        <v>#VALUE!</v>
      </c>
      <c r="O137">
        <v>0.25</v>
      </c>
      <c r="P137" s="154" t="e">
        <f t="shared" si="9"/>
        <v>#VALUE!</v>
      </c>
      <c r="Q137">
        <v>0.25</v>
      </c>
      <c r="R137" s="154" t="e">
        <f t="shared" si="10"/>
        <v>#VALUE!</v>
      </c>
      <c r="S137">
        <v>0.25</v>
      </c>
      <c r="T137" s="154" t="e">
        <f t="shared" si="11"/>
        <v>#VALUE!</v>
      </c>
      <c r="U137">
        <v>0.25</v>
      </c>
      <c r="V137" s="154" t="e">
        <f t="shared" si="12"/>
        <v>#VALUE!</v>
      </c>
      <c r="W137">
        <v>0.25</v>
      </c>
      <c r="X137" s="157" t="e">
        <f t="shared" si="13"/>
        <v>#VALUE!</v>
      </c>
      <c r="Y137">
        <v>0.25</v>
      </c>
      <c r="Z137" s="154" t="e">
        <f t="shared" si="14"/>
        <v>#VALUE!</v>
      </c>
      <c r="AA137">
        <v>0.25</v>
      </c>
      <c r="AB137" s="154" t="e">
        <f t="shared" si="15"/>
        <v>#VALUE!</v>
      </c>
      <c r="AC137">
        <v>0.25</v>
      </c>
      <c r="AD137" s="154" t="e">
        <f t="shared" si="16"/>
        <v>#VALUE!</v>
      </c>
      <c r="AE137">
        <v>0.25</v>
      </c>
    </row>
    <row r="138" spans="12:31" ht="15" x14ac:dyDescent="0.2">
      <c r="L138" s="154" t="e">
        <f t="shared" si="7"/>
        <v>#VALUE!</v>
      </c>
      <c r="M138">
        <v>0.26</v>
      </c>
      <c r="N138" s="154" t="e">
        <f t="shared" si="8"/>
        <v>#VALUE!</v>
      </c>
      <c r="O138">
        <v>0.26</v>
      </c>
      <c r="P138" s="154" t="e">
        <f t="shared" si="9"/>
        <v>#VALUE!</v>
      </c>
      <c r="Q138">
        <v>0.26</v>
      </c>
      <c r="R138" s="154" t="e">
        <f t="shared" si="10"/>
        <v>#VALUE!</v>
      </c>
      <c r="S138">
        <v>0.26</v>
      </c>
      <c r="T138" s="154" t="e">
        <f t="shared" si="11"/>
        <v>#VALUE!</v>
      </c>
      <c r="U138">
        <v>0.26</v>
      </c>
      <c r="V138" s="154" t="e">
        <f t="shared" si="12"/>
        <v>#VALUE!</v>
      </c>
      <c r="W138">
        <v>0.26</v>
      </c>
      <c r="X138" s="157" t="e">
        <f t="shared" si="13"/>
        <v>#VALUE!</v>
      </c>
      <c r="Y138">
        <v>0.26</v>
      </c>
      <c r="Z138" s="154" t="e">
        <f t="shared" si="14"/>
        <v>#VALUE!</v>
      </c>
      <c r="AA138">
        <v>0.26</v>
      </c>
      <c r="AB138" s="154" t="e">
        <f t="shared" si="15"/>
        <v>#VALUE!</v>
      </c>
      <c r="AC138">
        <v>0.26</v>
      </c>
      <c r="AD138" s="154" t="e">
        <f t="shared" si="16"/>
        <v>#VALUE!</v>
      </c>
      <c r="AE138">
        <v>0.26</v>
      </c>
    </row>
    <row r="139" spans="12:31" ht="15" x14ac:dyDescent="0.2">
      <c r="L139" s="154" t="e">
        <f t="shared" si="7"/>
        <v>#VALUE!</v>
      </c>
      <c r="M139">
        <v>0.27</v>
      </c>
      <c r="N139" s="154" t="e">
        <f t="shared" si="8"/>
        <v>#VALUE!</v>
      </c>
      <c r="O139">
        <v>0.27</v>
      </c>
      <c r="P139" s="154" t="e">
        <f t="shared" si="9"/>
        <v>#VALUE!</v>
      </c>
      <c r="Q139">
        <v>0.27</v>
      </c>
      <c r="R139" s="154" t="e">
        <f t="shared" si="10"/>
        <v>#VALUE!</v>
      </c>
      <c r="S139">
        <v>0.27</v>
      </c>
      <c r="T139" s="154" t="e">
        <f t="shared" si="11"/>
        <v>#VALUE!</v>
      </c>
      <c r="U139">
        <v>0.27</v>
      </c>
      <c r="V139" s="154" t="e">
        <f t="shared" si="12"/>
        <v>#VALUE!</v>
      </c>
      <c r="W139">
        <v>0.27</v>
      </c>
      <c r="X139" s="157" t="e">
        <f t="shared" si="13"/>
        <v>#VALUE!</v>
      </c>
      <c r="Y139">
        <v>0.27</v>
      </c>
      <c r="Z139" s="154" t="e">
        <f t="shared" si="14"/>
        <v>#VALUE!</v>
      </c>
      <c r="AA139">
        <v>0.27</v>
      </c>
      <c r="AB139" s="154" t="e">
        <f t="shared" si="15"/>
        <v>#VALUE!</v>
      </c>
      <c r="AC139">
        <v>0.27</v>
      </c>
      <c r="AD139" s="154" t="e">
        <f t="shared" si="16"/>
        <v>#VALUE!</v>
      </c>
      <c r="AE139">
        <v>0.27</v>
      </c>
    </row>
    <row r="140" spans="12:31" ht="15" x14ac:dyDescent="0.2">
      <c r="L140" s="154" t="e">
        <f t="shared" si="7"/>
        <v>#VALUE!</v>
      </c>
      <c r="M140">
        <v>0.28000000000000003</v>
      </c>
      <c r="N140" s="154" t="e">
        <f t="shared" si="8"/>
        <v>#VALUE!</v>
      </c>
      <c r="O140">
        <v>0.28000000000000003</v>
      </c>
      <c r="P140" s="154" t="e">
        <f t="shared" si="9"/>
        <v>#VALUE!</v>
      </c>
      <c r="Q140">
        <v>0.28000000000000003</v>
      </c>
      <c r="R140" s="154" t="e">
        <f t="shared" si="10"/>
        <v>#VALUE!</v>
      </c>
      <c r="S140">
        <v>0.28000000000000003</v>
      </c>
      <c r="T140" s="154" t="e">
        <f t="shared" si="11"/>
        <v>#VALUE!</v>
      </c>
      <c r="U140">
        <v>0.28000000000000003</v>
      </c>
      <c r="V140" s="154" t="e">
        <f t="shared" si="12"/>
        <v>#VALUE!</v>
      </c>
      <c r="W140">
        <v>0.28000000000000003</v>
      </c>
      <c r="X140" s="157" t="e">
        <f t="shared" si="13"/>
        <v>#VALUE!</v>
      </c>
      <c r="Y140">
        <v>0.28000000000000003</v>
      </c>
      <c r="Z140" s="154" t="e">
        <f t="shared" si="14"/>
        <v>#VALUE!</v>
      </c>
      <c r="AA140">
        <v>0.28000000000000003</v>
      </c>
      <c r="AB140" s="154" t="e">
        <f t="shared" si="15"/>
        <v>#VALUE!</v>
      </c>
      <c r="AC140">
        <v>0.28000000000000003</v>
      </c>
      <c r="AD140" s="154" t="e">
        <f t="shared" si="16"/>
        <v>#VALUE!</v>
      </c>
      <c r="AE140">
        <v>0.28000000000000003</v>
      </c>
    </row>
    <row r="141" spans="12:31" ht="15" x14ac:dyDescent="0.2">
      <c r="L141" s="154" t="e">
        <f t="shared" si="7"/>
        <v>#VALUE!</v>
      </c>
      <c r="M141">
        <v>0.28999999999999998</v>
      </c>
      <c r="N141" s="154" t="e">
        <f t="shared" si="8"/>
        <v>#VALUE!</v>
      </c>
      <c r="O141">
        <v>0.28999999999999998</v>
      </c>
      <c r="P141" s="154" t="e">
        <f t="shared" si="9"/>
        <v>#VALUE!</v>
      </c>
      <c r="Q141">
        <v>0.28999999999999998</v>
      </c>
      <c r="R141" s="154" t="e">
        <f t="shared" si="10"/>
        <v>#VALUE!</v>
      </c>
      <c r="S141">
        <v>0.28999999999999998</v>
      </c>
      <c r="T141" s="154" t="e">
        <f t="shared" si="11"/>
        <v>#VALUE!</v>
      </c>
      <c r="U141">
        <v>0.28999999999999998</v>
      </c>
      <c r="V141" s="154" t="e">
        <f t="shared" si="12"/>
        <v>#VALUE!</v>
      </c>
      <c r="W141">
        <v>0.28999999999999998</v>
      </c>
      <c r="X141" s="157" t="e">
        <f t="shared" si="13"/>
        <v>#VALUE!</v>
      </c>
      <c r="Y141">
        <v>0.28999999999999998</v>
      </c>
      <c r="Z141" s="154" t="e">
        <f t="shared" si="14"/>
        <v>#VALUE!</v>
      </c>
      <c r="AA141">
        <v>0.28999999999999998</v>
      </c>
      <c r="AB141" s="154" t="e">
        <f t="shared" si="15"/>
        <v>#VALUE!</v>
      </c>
      <c r="AC141">
        <v>0.28999999999999998</v>
      </c>
      <c r="AD141" s="154" t="e">
        <f t="shared" si="16"/>
        <v>#VALUE!</v>
      </c>
      <c r="AE141">
        <v>0.28999999999999998</v>
      </c>
    </row>
    <row r="142" spans="12:31" ht="15" x14ac:dyDescent="0.2">
      <c r="L142" s="154" t="e">
        <f t="shared" si="7"/>
        <v>#VALUE!</v>
      </c>
      <c r="M142">
        <v>0.3</v>
      </c>
      <c r="N142" s="154" t="e">
        <f t="shared" si="8"/>
        <v>#VALUE!</v>
      </c>
      <c r="O142">
        <v>0.3</v>
      </c>
      <c r="P142" s="154" t="e">
        <f t="shared" si="9"/>
        <v>#VALUE!</v>
      </c>
      <c r="Q142">
        <v>0.3</v>
      </c>
      <c r="R142" s="154" t="e">
        <f t="shared" si="10"/>
        <v>#VALUE!</v>
      </c>
      <c r="S142">
        <v>0.3</v>
      </c>
      <c r="T142" s="154" t="e">
        <f t="shared" si="11"/>
        <v>#VALUE!</v>
      </c>
      <c r="U142">
        <v>0.3</v>
      </c>
      <c r="V142" s="154" t="e">
        <f t="shared" si="12"/>
        <v>#VALUE!</v>
      </c>
      <c r="W142">
        <v>0.3</v>
      </c>
      <c r="X142" s="157" t="e">
        <f t="shared" si="13"/>
        <v>#VALUE!</v>
      </c>
      <c r="Y142">
        <v>0.3</v>
      </c>
      <c r="Z142" s="154" t="e">
        <f t="shared" si="14"/>
        <v>#VALUE!</v>
      </c>
      <c r="AA142">
        <v>0.3</v>
      </c>
      <c r="AB142" s="154" t="e">
        <f t="shared" si="15"/>
        <v>#VALUE!</v>
      </c>
      <c r="AC142">
        <v>0.3</v>
      </c>
      <c r="AD142" s="154" t="e">
        <f t="shared" si="16"/>
        <v>#VALUE!</v>
      </c>
      <c r="AE142">
        <v>0.3</v>
      </c>
    </row>
    <row r="143" spans="12:31" ht="15" x14ac:dyDescent="0.2">
      <c r="L143" s="154" t="e">
        <f t="shared" si="7"/>
        <v>#VALUE!</v>
      </c>
      <c r="M143">
        <v>0.31</v>
      </c>
      <c r="N143" s="154" t="e">
        <f t="shared" si="8"/>
        <v>#VALUE!</v>
      </c>
      <c r="O143">
        <v>0.31</v>
      </c>
      <c r="P143" s="154" t="e">
        <f t="shared" si="9"/>
        <v>#VALUE!</v>
      </c>
      <c r="Q143">
        <v>0.31</v>
      </c>
      <c r="R143" s="154" t="e">
        <f t="shared" si="10"/>
        <v>#VALUE!</v>
      </c>
      <c r="S143">
        <v>0.31</v>
      </c>
      <c r="T143" s="154" t="e">
        <f t="shared" si="11"/>
        <v>#VALUE!</v>
      </c>
      <c r="U143">
        <v>0.31</v>
      </c>
      <c r="V143" s="154" t="e">
        <f t="shared" si="12"/>
        <v>#VALUE!</v>
      </c>
      <c r="W143">
        <v>0.31</v>
      </c>
      <c r="X143" s="157" t="e">
        <f t="shared" si="13"/>
        <v>#VALUE!</v>
      </c>
      <c r="Y143">
        <v>0.31</v>
      </c>
      <c r="Z143" s="154" t="e">
        <f t="shared" si="14"/>
        <v>#VALUE!</v>
      </c>
      <c r="AA143">
        <v>0.31</v>
      </c>
      <c r="AB143" s="154" t="e">
        <f t="shared" si="15"/>
        <v>#VALUE!</v>
      </c>
      <c r="AC143">
        <v>0.31</v>
      </c>
      <c r="AD143" s="154" t="e">
        <f t="shared" si="16"/>
        <v>#VALUE!</v>
      </c>
      <c r="AE143">
        <v>0.31</v>
      </c>
    </row>
    <row r="144" spans="12:31" ht="15" x14ac:dyDescent="0.2">
      <c r="L144" s="154" t="e">
        <f t="shared" si="7"/>
        <v>#VALUE!</v>
      </c>
      <c r="M144">
        <v>0.32</v>
      </c>
      <c r="N144" s="154" t="e">
        <f t="shared" si="8"/>
        <v>#VALUE!</v>
      </c>
      <c r="O144">
        <v>0.32</v>
      </c>
      <c r="P144" s="154" t="e">
        <f t="shared" si="9"/>
        <v>#VALUE!</v>
      </c>
      <c r="Q144">
        <v>0.32</v>
      </c>
      <c r="R144" s="154" t="e">
        <f t="shared" si="10"/>
        <v>#VALUE!</v>
      </c>
      <c r="S144">
        <v>0.32</v>
      </c>
      <c r="T144" s="154" t="e">
        <f t="shared" si="11"/>
        <v>#VALUE!</v>
      </c>
      <c r="U144">
        <v>0.32</v>
      </c>
      <c r="V144" s="154" t="e">
        <f t="shared" si="12"/>
        <v>#VALUE!</v>
      </c>
      <c r="W144">
        <v>0.32</v>
      </c>
      <c r="X144" s="157" t="e">
        <f t="shared" si="13"/>
        <v>#VALUE!</v>
      </c>
      <c r="Y144">
        <v>0.32</v>
      </c>
      <c r="Z144" s="154" t="e">
        <f t="shared" si="14"/>
        <v>#VALUE!</v>
      </c>
      <c r="AA144">
        <v>0.32</v>
      </c>
      <c r="AB144" s="154" t="e">
        <f t="shared" si="15"/>
        <v>#VALUE!</v>
      </c>
      <c r="AC144">
        <v>0.32</v>
      </c>
      <c r="AD144" s="154" t="e">
        <f t="shared" si="16"/>
        <v>#VALUE!</v>
      </c>
      <c r="AE144">
        <v>0.32</v>
      </c>
    </row>
    <row r="145" spans="12:31" ht="15" x14ac:dyDescent="0.2">
      <c r="L145" s="154" t="e">
        <f t="shared" si="7"/>
        <v>#VALUE!</v>
      </c>
      <c r="M145">
        <v>0.33</v>
      </c>
      <c r="N145" s="154" t="e">
        <f t="shared" si="8"/>
        <v>#VALUE!</v>
      </c>
      <c r="O145">
        <v>0.33</v>
      </c>
      <c r="P145" s="154" t="e">
        <f t="shared" si="9"/>
        <v>#VALUE!</v>
      </c>
      <c r="Q145">
        <v>0.33</v>
      </c>
      <c r="R145" s="154" t="e">
        <f t="shared" si="10"/>
        <v>#VALUE!</v>
      </c>
      <c r="S145">
        <v>0.33</v>
      </c>
      <c r="T145" s="154" t="e">
        <f t="shared" si="11"/>
        <v>#VALUE!</v>
      </c>
      <c r="U145">
        <v>0.33</v>
      </c>
      <c r="V145" s="154" t="e">
        <f t="shared" si="12"/>
        <v>#VALUE!</v>
      </c>
      <c r="W145">
        <v>0.33</v>
      </c>
      <c r="X145" s="157" t="e">
        <f t="shared" si="13"/>
        <v>#VALUE!</v>
      </c>
      <c r="Y145">
        <v>0.33</v>
      </c>
      <c r="Z145" s="154" t="e">
        <f t="shared" si="14"/>
        <v>#VALUE!</v>
      </c>
      <c r="AA145">
        <v>0.33</v>
      </c>
      <c r="AB145" s="154" t="e">
        <f t="shared" si="15"/>
        <v>#VALUE!</v>
      </c>
      <c r="AC145">
        <v>0.33</v>
      </c>
      <c r="AD145" s="154" t="e">
        <f t="shared" si="16"/>
        <v>#VALUE!</v>
      </c>
      <c r="AE145">
        <v>0.33</v>
      </c>
    </row>
    <row r="146" spans="12:31" ht="15" x14ac:dyDescent="0.2">
      <c r="L146" s="154" t="e">
        <f t="shared" si="7"/>
        <v>#VALUE!</v>
      </c>
      <c r="M146">
        <v>0.34</v>
      </c>
      <c r="N146" s="154" t="e">
        <f t="shared" si="8"/>
        <v>#VALUE!</v>
      </c>
      <c r="O146">
        <v>0.34</v>
      </c>
      <c r="P146" s="154" t="e">
        <f t="shared" si="9"/>
        <v>#VALUE!</v>
      </c>
      <c r="Q146">
        <v>0.34</v>
      </c>
      <c r="R146" s="154" t="e">
        <f t="shared" si="10"/>
        <v>#VALUE!</v>
      </c>
      <c r="S146">
        <v>0.34</v>
      </c>
      <c r="T146" s="154" t="e">
        <f t="shared" si="11"/>
        <v>#VALUE!</v>
      </c>
      <c r="U146">
        <v>0.34</v>
      </c>
      <c r="V146" s="154" t="e">
        <f t="shared" si="12"/>
        <v>#VALUE!</v>
      </c>
      <c r="W146">
        <v>0.34</v>
      </c>
      <c r="X146" s="157" t="e">
        <f t="shared" si="13"/>
        <v>#VALUE!</v>
      </c>
      <c r="Y146">
        <v>0.34</v>
      </c>
      <c r="Z146" s="154" t="e">
        <f t="shared" si="14"/>
        <v>#VALUE!</v>
      </c>
      <c r="AA146">
        <v>0.34</v>
      </c>
      <c r="AB146" s="154" t="e">
        <f t="shared" si="15"/>
        <v>#VALUE!</v>
      </c>
      <c r="AC146">
        <v>0.34</v>
      </c>
      <c r="AD146" s="154" t="e">
        <f t="shared" si="16"/>
        <v>#VALUE!</v>
      </c>
      <c r="AE146">
        <v>0.34</v>
      </c>
    </row>
    <row r="147" spans="12:31" ht="15" x14ac:dyDescent="0.2">
      <c r="L147" s="154" t="e">
        <f t="shared" si="7"/>
        <v>#VALUE!</v>
      </c>
      <c r="M147">
        <v>0.35</v>
      </c>
      <c r="N147" s="154" t="e">
        <f t="shared" si="8"/>
        <v>#VALUE!</v>
      </c>
      <c r="O147">
        <v>0.35</v>
      </c>
      <c r="P147" s="154" t="e">
        <f t="shared" si="9"/>
        <v>#VALUE!</v>
      </c>
      <c r="Q147">
        <v>0.35</v>
      </c>
      <c r="R147" s="154" t="e">
        <f t="shared" si="10"/>
        <v>#VALUE!</v>
      </c>
      <c r="S147">
        <v>0.35</v>
      </c>
      <c r="T147" s="154" t="e">
        <f t="shared" si="11"/>
        <v>#VALUE!</v>
      </c>
      <c r="U147">
        <v>0.35</v>
      </c>
      <c r="V147" s="154" t="e">
        <f t="shared" si="12"/>
        <v>#VALUE!</v>
      </c>
      <c r="W147">
        <v>0.35</v>
      </c>
      <c r="X147" s="157" t="e">
        <f t="shared" si="13"/>
        <v>#VALUE!</v>
      </c>
      <c r="Y147">
        <v>0.35</v>
      </c>
      <c r="Z147" s="154" t="e">
        <f t="shared" si="14"/>
        <v>#VALUE!</v>
      </c>
      <c r="AA147">
        <v>0.35</v>
      </c>
      <c r="AB147" s="154" t="e">
        <f t="shared" si="15"/>
        <v>#VALUE!</v>
      </c>
      <c r="AC147">
        <v>0.35</v>
      </c>
      <c r="AD147" s="154" t="e">
        <f t="shared" si="16"/>
        <v>#VALUE!</v>
      </c>
      <c r="AE147">
        <v>0.35</v>
      </c>
    </row>
    <row r="148" spans="12:31" ht="15" x14ac:dyDescent="0.2">
      <c r="L148" s="154" t="e">
        <f t="shared" si="7"/>
        <v>#VALUE!</v>
      </c>
      <c r="M148">
        <v>0.36</v>
      </c>
      <c r="N148" s="154" t="e">
        <f t="shared" si="8"/>
        <v>#VALUE!</v>
      </c>
      <c r="O148">
        <v>0.36</v>
      </c>
      <c r="P148" s="154" t="e">
        <f t="shared" si="9"/>
        <v>#VALUE!</v>
      </c>
      <c r="Q148">
        <v>0.36</v>
      </c>
      <c r="R148" s="154" t="e">
        <f t="shared" si="10"/>
        <v>#VALUE!</v>
      </c>
      <c r="S148">
        <v>0.36</v>
      </c>
      <c r="T148" s="154" t="e">
        <f t="shared" si="11"/>
        <v>#VALUE!</v>
      </c>
      <c r="U148">
        <v>0.36</v>
      </c>
      <c r="V148" s="154" t="e">
        <f t="shared" si="12"/>
        <v>#VALUE!</v>
      </c>
      <c r="W148">
        <v>0.36</v>
      </c>
      <c r="X148" s="157" t="e">
        <f t="shared" si="13"/>
        <v>#VALUE!</v>
      </c>
      <c r="Y148">
        <v>0.36</v>
      </c>
      <c r="Z148" s="154" t="e">
        <f t="shared" si="14"/>
        <v>#VALUE!</v>
      </c>
      <c r="AA148">
        <v>0.36</v>
      </c>
      <c r="AB148" s="154" t="e">
        <f t="shared" si="15"/>
        <v>#VALUE!</v>
      </c>
      <c r="AC148">
        <v>0.36</v>
      </c>
      <c r="AD148" s="154" t="e">
        <f t="shared" si="16"/>
        <v>#VALUE!</v>
      </c>
      <c r="AE148">
        <v>0.36</v>
      </c>
    </row>
    <row r="149" spans="12:31" ht="15" x14ac:dyDescent="0.2">
      <c r="L149" s="154" t="e">
        <f t="shared" si="7"/>
        <v>#VALUE!</v>
      </c>
      <c r="M149">
        <v>0.37</v>
      </c>
      <c r="N149" s="154" t="e">
        <f t="shared" si="8"/>
        <v>#VALUE!</v>
      </c>
      <c r="O149">
        <v>0.37</v>
      </c>
      <c r="P149" s="154" t="e">
        <f t="shared" si="9"/>
        <v>#VALUE!</v>
      </c>
      <c r="Q149">
        <v>0.37</v>
      </c>
      <c r="R149" s="154" t="e">
        <f t="shared" si="10"/>
        <v>#VALUE!</v>
      </c>
      <c r="S149">
        <v>0.37</v>
      </c>
      <c r="T149" s="154" t="e">
        <f t="shared" si="11"/>
        <v>#VALUE!</v>
      </c>
      <c r="U149">
        <v>0.37</v>
      </c>
      <c r="V149" s="154" t="e">
        <f t="shared" si="12"/>
        <v>#VALUE!</v>
      </c>
      <c r="W149">
        <v>0.37</v>
      </c>
      <c r="X149" s="157" t="e">
        <f t="shared" si="13"/>
        <v>#VALUE!</v>
      </c>
      <c r="Y149">
        <v>0.37</v>
      </c>
      <c r="Z149" s="154" t="e">
        <f t="shared" si="14"/>
        <v>#VALUE!</v>
      </c>
      <c r="AA149">
        <v>0.37</v>
      </c>
      <c r="AB149" s="154" t="e">
        <f t="shared" si="15"/>
        <v>#VALUE!</v>
      </c>
      <c r="AC149">
        <v>0.37</v>
      </c>
      <c r="AD149" s="154" t="e">
        <f t="shared" si="16"/>
        <v>#VALUE!</v>
      </c>
      <c r="AE149">
        <v>0.37</v>
      </c>
    </row>
    <row r="150" spans="12:31" ht="15" x14ac:dyDescent="0.2">
      <c r="L150" s="154" t="e">
        <f t="shared" si="7"/>
        <v>#VALUE!</v>
      </c>
      <c r="M150">
        <v>0.38</v>
      </c>
      <c r="N150" s="154" t="e">
        <f t="shared" si="8"/>
        <v>#VALUE!</v>
      </c>
      <c r="O150">
        <v>0.38</v>
      </c>
      <c r="P150" s="154" t="e">
        <f t="shared" si="9"/>
        <v>#VALUE!</v>
      </c>
      <c r="Q150">
        <v>0.38</v>
      </c>
      <c r="R150" s="154" t="e">
        <f t="shared" si="10"/>
        <v>#VALUE!</v>
      </c>
      <c r="S150">
        <v>0.38</v>
      </c>
      <c r="T150" s="154" t="e">
        <f t="shared" si="11"/>
        <v>#VALUE!</v>
      </c>
      <c r="U150">
        <v>0.38</v>
      </c>
      <c r="V150" s="154" t="e">
        <f t="shared" si="12"/>
        <v>#VALUE!</v>
      </c>
      <c r="W150">
        <v>0.38</v>
      </c>
      <c r="X150" s="157" t="e">
        <f t="shared" si="13"/>
        <v>#VALUE!</v>
      </c>
      <c r="Y150">
        <v>0.38</v>
      </c>
      <c r="Z150" s="154" t="e">
        <f t="shared" si="14"/>
        <v>#VALUE!</v>
      </c>
      <c r="AA150">
        <v>0.38</v>
      </c>
      <c r="AB150" s="154" t="e">
        <f t="shared" si="15"/>
        <v>#VALUE!</v>
      </c>
      <c r="AC150">
        <v>0.38</v>
      </c>
      <c r="AD150" s="154" t="e">
        <f t="shared" si="16"/>
        <v>#VALUE!</v>
      </c>
      <c r="AE150">
        <v>0.38</v>
      </c>
    </row>
    <row r="151" spans="12:31" ht="15" x14ac:dyDescent="0.2">
      <c r="L151" s="154" t="e">
        <f t="shared" si="7"/>
        <v>#VALUE!</v>
      </c>
      <c r="M151">
        <v>0.39</v>
      </c>
      <c r="N151" s="154" t="e">
        <f t="shared" si="8"/>
        <v>#VALUE!</v>
      </c>
      <c r="O151">
        <v>0.39</v>
      </c>
      <c r="P151" s="154" t="e">
        <f t="shared" si="9"/>
        <v>#VALUE!</v>
      </c>
      <c r="Q151">
        <v>0.39</v>
      </c>
      <c r="R151" s="154" t="e">
        <f t="shared" si="10"/>
        <v>#VALUE!</v>
      </c>
      <c r="S151">
        <v>0.39</v>
      </c>
      <c r="T151" s="154" t="e">
        <f t="shared" si="11"/>
        <v>#VALUE!</v>
      </c>
      <c r="U151">
        <v>0.39</v>
      </c>
      <c r="V151" s="154" t="e">
        <f t="shared" si="12"/>
        <v>#VALUE!</v>
      </c>
      <c r="W151">
        <v>0.39</v>
      </c>
      <c r="X151" s="157" t="e">
        <f t="shared" si="13"/>
        <v>#VALUE!</v>
      </c>
      <c r="Y151">
        <v>0.39</v>
      </c>
      <c r="Z151" s="154" t="e">
        <f t="shared" si="14"/>
        <v>#VALUE!</v>
      </c>
      <c r="AA151">
        <v>0.39</v>
      </c>
      <c r="AB151" s="154" t="e">
        <f t="shared" si="15"/>
        <v>#VALUE!</v>
      </c>
      <c r="AC151">
        <v>0.39</v>
      </c>
      <c r="AD151" s="154" t="e">
        <f t="shared" si="16"/>
        <v>#VALUE!</v>
      </c>
      <c r="AE151">
        <v>0.39</v>
      </c>
    </row>
    <row r="152" spans="12:31" ht="15" x14ac:dyDescent="0.2">
      <c r="L152" s="154" t="e">
        <f t="shared" si="7"/>
        <v>#VALUE!</v>
      </c>
      <c r="M152">
        <v>0.4</v>
      </c>
      <c r="N152" s="154" t="e">
        <f t="shared" si="8"/>
        <v>#VALUE!</v>
      </c>
      <c r="O152">
        <v>0.4</v>
      </c>
      <c r="P152" s="154" t="e">
        <f t="shared" si="9"/>
        <v>#VALUE!</v>
      </c>
      <c r="Q152">
        <v>0.4</v>
      </c>
      <c r="R152" s="154" t="e">
        <f t="shared" si="10"/>
        <v>#VALUE!</v>
      </c>
      <c r="S152">
        <v>0.4</v>
      </c>
      <c r="T152" s="154" t="e">
        <f t="shared" si="11"/>
        <v>#VALUE!</v>
      </c>
      <c r="U152">
        <v>0.4</v>
      </c>
      <c r="V152" s="154" t="e">
        <f t="shared" si="12"/>
        <v>#VALUE!</v>
      </c>
      <c r="W152">
        <v>0.4</v>
      </c>
      <c r="X152" s="157" t="e">
        <f t="shared" si="13"/>
        <v>#VALUE!</v>
      </c>
      <c r="Y152">
        <v>0.4</v>
      </c>
      <c r="Z152" s="154" t="e">
        <f t="shared" si="14"/>
        <v>#VALUE!</v>
      </c>
      <c r="AA152">
        <v>0.4</v>
      </c>
      <c r="AB152" s="154" t="e">
        <f t="shared" si="15"/>
        <v>#VALUE!</v>
      </c>
      <c r="AC152">
        <v>0.4</v>
      </c>
      <c r="AD152" s="154" t="e">
        <f t="shared" si="16"/>
        <v>#VALUE!</v>
      </c>
      <c r="AE152">
        <v>0.4</v>
      </c>
    </row>
    <row r="153" spans="12:31" ht="15" x14ac:dyDescent="0.2">
      <c r="L153" s="154" t="e">
        <f t="shared" si="7"/>
        <v>#VALUE!</v>
      </c>
      <c r="M153">
        <v>0.41</v>
      </c>
      <c r="N153" s="154" t="e">
        <f t="shared" si="8"/>
        <v>#VALUE!</v>
      </c>
      <c r="O153">
        <v>0.41</v>
      </c>
      <c r="P153" s="154" t="e">
        <f t="shared" si="9"/>
        <v>#VALUE!</v>
      </c>
      <c r="Q153">
        <v>0.41</v>
      </c>
      <c r="R153" s="154" t="e">
        <f t="shared" si="10"/>
        <v>#VALUE!</v>
      </c>
      <c r="S153">
        <v>0.41</v>
      </c>
      <c r="T153" s="154" t="e">
        <f t="shared" si="11"/>
        <v>#VALUE!</v>
      </c>
      <c r="U153">
        <v>0.41</v>
      </c>
      <c r="V153" s="154" t="e">
        <f t="shared" si="12"/>
        <v>#VALUE!</v>
      </c>
      <c r="W153">
        <v>0.41</v>
      </c>
      <c r="X153" s="157" t="e">
        <f t="shared" si="13"/>
        <v>#VALUE!</v>
      </c>
      <c r="Y153">
        <v>0.41</v>
      </c>
      <c r="Z153" s="154" t="e">
        <f t="shared" si="14"/>
        <v>#VALUE!</v>
      </c>
      <c r="AA153">
        <v>0.41</v>
      </c>
      <c r="AB153" s="154" t="e">
        <f t="shared" si="15"/>
        <v>#VALUE!</v>
      </c>
      <c r="AC153">
        <v>0.41</v>
      </c>
      <c r="AD153" s="154" t="e">
        <f t="shared" si="16"/>
        <v>#VALUE!</v>
      </c>
      <c r="AE153">
        <v>0.41</v>
      </c>
    </row>
    <row r="154" spans="12:31" ht="15" x14ac:dyDescent="0.2">
      <c r="L154" s="154" t="e">
        <f t="shared" si="7"/>
        <v>#VALUE!</v>
      </c>
      <c r="M154">
        <v>0.42</v>
      </c>
      <c r="N154" s="154" t="e">
        <f t="shared" si="8"/>
        <v>#VALUE!</v>
      </c>
      <c r="O154">
        <v>0.42</v>
      </c>
      <c r="P154" s="154" t="e">
        <f t="shared" si="9"/>
        <v>#VALUE!</v>
      </c>
      <c r="Q154">
        <v>0.42</v>
      </c>
      <c r="R154" s="154" t="e">
        <f t="shared" si="10"/>
        <v>#VALUE!</v>
      </c>
      <c r="S154">
        <v>0.42</v>
      </c>
      <c r="T154" s="154" t="e">
        <f t="shared" si="11"/>
        <v>#VALUE!</v>
      </c>
      <c r="U154">
        <v>0.42</v>
      </c>
      <c r="V154" s="154" t="e">
        <f t="shared" si="12"/>
        <v>#VALUE!</v>
      </c>
      <c r="W154">
        <v>0.42</v>
      </c>
      <c r="X154" s="157" t="e">
        <f t="shared" si="13"/>
        <v>#VALUE!</v>
      </c>
      <c r="Y154">
        <v>0.42</v>
      </c>
      <c r="Z154" s="154" t="e">
        <f t="shared" si="14"/>
        <v>#VALUE!</v>
      </c>
      <c r="AA154">
        <v>0.42</v>
      </c>
      <c r="AB154" s="154" t="e">
        <f t="shared" si="15"/>
        <v>#VALUE!</v>
      </c>
      <c r="AC154">
        <v>0.42</v>
      </c>
      <c r="AD154" s="154" t="e">
        <f t="shared" si="16"/>
        <v>#VALUE!</v>
      </c>
      <c r="AE154">
        <v>0.42</v>
      </c>
    </row>
    <row r="155" spans="12:31" ht="15" x14ac:dyDescent="0.2">
      <c r="L155" s="154" t="e">
        <f t="shared" si="7"/>
        <v>#VALUE!</v>
      </c>
      <c r="M155">
        <v>0.43</v>
      </c>
      <c r="N155" s="154" t="e">
        <f t="shared" si="8"/>
        <v>#VALUE!</v>
      </c>
      <c r="O155">
        <v>0.43</v>
      </c>
      <c r="P155" s="154" t="e">
        <f t="shared" si="9"/>
        <v>#VALUE!</v>
      </c>
      <c r="Q155">
        <v>0.43</v>
      </c>
      <c r="R155" s="154" t="e">
        <f t="shared" si="10"/>
        <v>#VALUE!</v>
      </c>
      <c r="S155">
        <v>0.43</v>
      </c>
      <c r="T155" s="154" t="e">
        <f t="shared" si="11"/>
        <v>#VALUE!</v>
      </c>
      <c r="U155">
        <v>0.43</v>
      </c>
      <c r="V155" s="154" t="e">
        <f t="shared" si="12"/>
        <v>#VALUE!</v>
      </c>
      <c r="W155">
        <v>0.43</v>
      </c>
      <c r="X155" s="157" t="e">
        <f t="shared" si="13"/>
        <v>#VALUE!</v>
      </c>
      <c r="Y155">
        <v>0.43</v>
      </c>
      <c r="Z155" s="154" t="e">
        <f t="shared" si="14"/>
        <v>#VALUE!</v>
      </c>
      <c r="AA155">
        <v>0.43</v>
      </c>
      <c r="AB155" s="154" t="e">
        <f t="shared" si="15"/>
        <v>#VALUE!</v>
      </c>
      <c r="AC155">
        <v>0.43</v>
      </c>
      <c r="AD155" s="154" t="e">
        <f t="shared" si="16"/>
        <v>#VALUE!</v>
      </c>
      <c r="AE155">
        <v>0.43</v>
      </c>
    </row>
    <row r="156" spans="12:31" ht="15" x14ac:dyDescent="0.2">
      <c r="L156" s="154" t="e">
        <f t="shared" si="7"/>
        <v>#VALUE!</v>
      </c>
      <c r="M156">
        <v>0.44</v>
      </c>
      <c r="N156" s="154" t="e">
        <f t="shared" si="8"/>
        <v>#VALUE!</v>
      </c>
      <c r="O156">
        <v>0.44</v>
      </c>
      <c r="P156" s="154" t="e">
        <f t="shared" si="9"/>
        <v>#VALUE!</v>
      </c>
      <c r="Q156">
        <v>0.44</v>
      </c>
      <c r="R156" s="154" t="e">
        <f t="shared" si="10"/>
        <v>#VALUE!</v>
      </c>
      <c r="S156">
        <v>0.44</v>
      </c>
      <c r="T156" s="154" t="e">
        <f t="shared" si="11"/>
        <v>#VALUE!</v>
      </c>
      <c r="U156">
        <v>0.44</v>
      </c>
      <c r="V156" s="154" t="e">
        <f t="shared" si="12"/>
        <v>#VALUE!</v>
      </c>
      <c r="W156">
        <v>0.44</v>
      </c>
      <c r="X156" s="157" t="e">
        <f t="shared" si="13"/>
        <v>#VALUE!</v>
      </c>
      <c r="Y156">
        <v>0.44</v>
      </c>
      <c r="Z156" s="154" t="e">
        <f t="shared" si="14"/>
        <v>#VALUE!</v>
      </c>
      <c r="AA156">
        <v>0.44</v>
      </c>
      <c r="AB156" s="154" t="e">
        <f t="shared" si="15"/>
        <v>#VALUE!</v>
      </c>
      <c r="AC156">
        <v>0.44</v>
      </c>
      <c r="AD156" s="154" t="e">
        <f t="shared" si="16"/>
        <v>#VALUE!</v>
      </c>
      <c r="AE156">
        <v>0.44</v>
      </c>
    </row>
    <row r="157" spans="12:31" ht="15" x14ac:dyDescent="0.2">
      <c r="L157" s="154" t="e">
        <f t="shared" si="7"/>
        <v>#VALUE!</v>
      </c>
      <c r="M157">
        <v>0.45</v>
      </c>
      <c r="N157" s="154" t="e">
        <f t="shared" si="8"/>
        <v>#VALUE!</v>
      </c>
      <c r="O157">
        <v>0.45</v>
      </c>
      <c r="P157" s="154" t="e">
        <f t="shared" si="9"/>
        <v>#VALUE!</v>
      </c>
      <c r="Q157">
        <v>0.45</v>
      </c>
      <c r="R157" s="154" t="e">
        <f t="shared" si="10"/>
        <v>#VALUE!</v>
      </c>
      <c r="S157">
        <v>0.45</v>
      </c>
      <c r="T157" s="154" t="e">
        <f t="shared" si="11"/>
        <v>#VALUE!</v>
      </c>
      <c r="U157">
        <v>0.45</v>
      </c>
      <c r="V157" s="154" t="e">
        <f t="shared" si="12"/>
        <v>#VALUE!</v>
      </c>
      <c r="W157">
        <v>0.45</v>
      </c>
      <c r="X157" s="157" t="e">
        <f t="shared" si="13"/>
        <v>#VALUE!</v>
      </c>
      <c r="Y157">
        <v>0.45</v>
      </c>
      <c r="Z157" s="154" t="e">
        <f t="shared" si="14"/>
        <v>#VALUE!</v>
      </c>
      <c r="AA157">
        <v>0.45</v>
      </c>
      <c r="AB157" s="154" t="e">
        <f t="shared" si="15"/>
        <v>#VALUE!</v>
      </c>
      <c r="AC157">
        <v>0.45</v>
      </c>
      <c r="AD157" s="154" t="e">
        <f t="shared" si="16"/>
        <v>#VALUE!</v>
      </c>
      <c r="AE157">
        <v>0.45</v>
      </c>
    </row>
    <row r="158" spans="12:31" ht="15" x14ac:dyDescent="0.2">
      <c r="L158" s="154" t="e">
        <f t="shared" si="7"/>
        <v>#VALUE!</v>
      </c>
      <c r="M158">
        <v>0.46</v>
      </c>
      <c r="N158" s="154" t="e">
        <f t="shared" si="8"/>
        <v>#VALUE!</v>
      </c>
      <c r="O158">
        <v>0.46</v>
      </c>
      <c r="P158" s="154" t="e">
        <f t="shared" si="9"/>
        <v>#VALUE!</v>
      </c>
      <c r="Q158">
        <v>0.46</v>
      </c>
      <c r="R158" s="154" t="e">
        <f t="shared" si="10"/>
        <v>#VALUE!</v>
      </c>
      <c r="S158">
        <v>0.46</v>
      </c>
      <c r="T158" s="154" t="e">
        <f t="shared" si="11"/>
        <v>#VALUE!</v>
      </c>
      <c r="U158">
        <v>0.46</v>
      </c>
      <c r="V158" s="154" t="e">
        <f t="shared" si="12"/>
        <v>#VALUE!</v>
      </c>
      <c r="W158">
        <v>0.46</v>
      </c>
      <c r="X158" s="157" t="e">
        <f t="shared" si="13"/>
        <v>#VALUE!</v>
      </c>
      <c r="Y158">
        <v>0.46</v>
      </c>
      <c r="Z158" s="154" t="e">
        <f t="shared" si="14"/>
        <v>#VALUE!</v>
      </c>
      <c r="AA158">
        <v>0.46</v>
      </c>
      <c r="AB158" s="154" t="e">
        <f t="shared" si="15"/>
        <v>#VALUE!</v>
      </c>
      <c r="AC158">
        <v>0.46</v>
      </c>
      <c r="AD158" s="154" t="e">
        <f t="shared" si="16"/>
        <v>#VALUE!</v>
      </c>
      <c r="AE158">
        <v>0.46</v>
      </c>
    </row>
    <row r="159" spans="12:31" ht="15" x14ac:dyDescent="0.2">
      <c r="L159" s="154" t="e">
        <f t="shared" si="7"/>
        <v>#VALUE!</v>
      </c>
      <c r="M159">
        <v>0.47</v>
      </c>
      <c r="N159" s="154" t="e">
        <f t="shared" si="8"/>
        <v>#VALUE!</v>
      </c>
      <c r="O159">
        <v>0.47</v>
      </c>
      <c r="P159" s="154" t="e">
        <f t="shared" si="9"/>
        <v>#VALUE!</v>
      </c>
      <c r="Q159">
        <v>0.47</v>
      </c>
      <c r="R159" s="154" t="e">
        <f t="shared" si="10"/>
        <v>#VALUE!</v>
      </c>
      <c r="S159">
        <v>0.47</v>
      </c>
      <c r="T159" s="154" t="e">
        <f t="shared" si="11"/>
        <v>#VALUE!</v>
      </c>
      <c r="U159">
        <v>0.47</v>
      </c>
      <c r="V159" s="154" t="e">
        <f t="shared" si="12"/>
        <v>#VALUE!</v>
      </c>
      <c r="W159">
        <v>0.47</v>
      </c>
      <c r="X159" s="157" t="e">
        <f t="shared" si="13"/>
        <v>#VALUE!</v>
      </c>
      <c r="Y159">
        <v>0.47</v>
      </c>
      <c r="Z159" s="154" t="e">
        <f t="shared" si="14"/>
        <v>#VALUE!</v>
      </c>
      <c r="AA159">
        <v>0.47</v>
      </c>
      <c r="AB159" s="154" t="e">
        <f t="shared" si="15"/>
        <v>#VALUE!</v>
      </c>
      <c r="AC159">
        <v>0.47</v>
      </c>
      <c r="AD159" s="154" t="e">
        <f t="shared" si="16"/>
        <v>#VALUE!</v>
      </c>
      <c r="AE159">
        <v>0.47</v>
      </c>
    </row>
    <row r="160" spans="12:31" ht="15" x14ac:dyDescent="0.2">
      <c r="L160" s="154" t="e">
        <f t="shared" si="7"/>
        <v>#VALUE!</v>
      </c>
      <c r="M160">
        <v>0.48</v>
      </c>
      <c r="N160" s="154" t="e">
        <f t="shared" si="8"/>
        <v>#VALUE!</v>
      </c>
      <c r="O160">
        <v>0.48</v>
      </c>
      <c r="P160" s="154" t="e">
        <f t="shared" si="9"/>
        <v>#VALUE!</v>
      </c>
      <c r="Q160">
        <v>0.48</v>
      </c>
      <c r="R160" s="154" t="e">
        <f t="shared" si="10"/>
        <v>#VALUE!</v>
      </c>
      <c r="S160">
        <v>0.48</v>
      </c>
      <c r="T160" s="154" t="e">
        <f t="shared" si="11"/>
        <v>#VALUE!</v>
      </c>
      <c r="U160">
        <v>0.48</v>
      </c>
      <c r="V160" s="154" t="e">
        <f t="shared" si="12"/>
        <v>#VALUE!</v>
      </c>
      <c r="W160">
        <v>0.48</v>
      </c>
      <c r="X160" s="157" t="e">
        <f t="shared" si="13"/>
        <v>#VALUE!</v>
      </c>
      <c r="Y160">
        <v>0.48</v>
      </c>
      <c r="Z160" s="154" t="e">
        <f t="shared" si="14"/>
        <v>#VALUE!</v>
      </c>
      <c r="AA160">
        <v>0.48</v>
      </c>
      <c r="AB160" s="154" t="e">
        <f t="shared" si="15"/>
        <v>#VALUE!</v>
      </c>
      <c r="AC160">
        <v>0.48</v>
      </c>
      <c r="AD160" s="154" t="e">
        <f t="shared" si="16"/>
        <v>#VALUE!</v>
      </c>
      <c r="AE160">
        <v>0.48</v>
      </c>
    </row>
    <row r="161" spans="12:31" ht="15" x14ac:dyDescent="0.2">
      <c r="L161" s="154" t="e">
        <f t="shared" si="7"/>
        <v>#VALUE!</v>
      </c>
      <c r="M161">
        <v>0.49</v>
      </c>
      <c r="N161" s="154" t="e">
        <f t="shared" si="8"/>
        <v>#VALUE!</v>
      </c>
      <c r="O161">
        <v>0.49</v>
      </c>
      <c r="P161" s="154" t="e">
        <f t="shared" si="9"/>
        <v>#VALUE!</v>
      </c>
      <c r="Q161">
        <v>0.49</v>
      </c>
      <c r="R161" s="154" t="e">
        <f t="shared" si="10"/>
        <v>#VALUE!</v>
      </c>
      <c r="S161">
        <v>0.49</v>
      </c>
      <c r="T161" s="154" t="e">
        <f t="shared" si="11"/>
        <v>#VALUE!</v>
      </c>
      <c r="U161">
        <v>0.49</v>
      </c>
      <c r="V161" s="154" t="e">
        <f t="shared" si="12"/>
        <v>#VALUE!</v>
      </c>
      <c r="W161">
        <v>0.49</v>
      </c>
      <c r="X161" s="157" t="e">
        <f t="shared" si="13"/>
        <v>#VALUE!</v>
      </c>
      <c r="Y161">
        <v>0.49</v>
      </c>
      <c r="Z161" s="154" t="e">
        <f t="shared" si="14"/>
        <v>#VALUE!</v>
      </c>
      <c r="AA161">
        <v>0.49</v>
      </c>
      <c r="AB161" s="154" t="e">
        <f t="shared" si="15"/>
        <v>#VALUE!</v>
      </c>
      <c r="AC161">
        <v>0.49</v>
      </c>
      <c r="AD161" s="154" t="e">
        <f t="shared" si="16"/>
        <v>#VALUE!</v>
      </c>
      <c r="AE161">
        <v>0.49</v>
      </c>
    </row>
    <row r="162" spans="12:31" ht="15" x14ac:dyDescent="0.2">
      <c r="L162" s="154" t="e">
        <f t="shared" si="7"/>
        <v>#VALUE!</v>
      </c>
      <c r="M162">
        <v>0.5</v>
      </c>
      <c r="N162" s="154" t="e">
        <f t="shared" si="8"/>
        <v>#VALUE!</v>
      </c>
      <c r="O162">
        <v>0.5</v>
      </c>
      <c r="P162" s="154" t="e">
        <f t="shared" si="9"/>
        <v>#VALUE!</v>
      </c>
      <c r="Q162">
        <v>0.5</v>
      </c>
      <c r="R162" s="154" t="e">
        <f t="shared" si="10"/>
        <v>#VALUE!</v>
      </c>
      <c r="S162">
        <v>0.5</v>
      </c>
      <c r="T162" s="154" t="e">
        <f t="shared" si="11"/>
        <v>#VALUE!</v>
      </c>
      <c r="U162">
        <v>0.5</v>
      </c>
      <c r="V162" s="154" t="e">
        <f t="shared" si="12"/>
        <v>#VALUE!</v>
      </c>
      <c r="W162">
        <v>0.5</v>
      </c>
      <c r="X162" s="157" t="e">
        <f t="shared" si="13"/>
        <v>#VALUE!</v>
      </c>
      <c r="Y162">
        <v>0.5</v>
      </c>
      <c r="Z162" s="154" t="e">
        <f t="shared" si="14"/>
        <v>#VALUE!</v>
      </c>
      <c r="AA162">
        <v>0.5</v>
      </c>
      <c r="AB162" s="154" t="e">
        <f t="shared" si="15"/>
        <v>#VALUE!</v>
      </c>
      <c r="AC162">
        <v>0.5</v>
      </c>
      <c r="AD162" s="154" t="e">
        <f t="shared" si="16"/>
        <v>#VALUE!</v>
      </c>
      <c r="AE162">
        <v>0.5</v>
      </c>
    </row>
    <row r="163" spans="12:31" ht="15" x14ac:dyDescent="0.2">
      <c r="L163" s="154" t="e">
        <f t="shared" si="7"/>
        <v>#VALUE!</v>
      </c>
      <c r="M163">
        <v>0.51</v>
      </c>
      <c r="N163" s="154" t="e">
        <f t="shared" si="8"/>
        <v>#VALUE!</v>
      </c>
      <c r="O163">
        <v>0.51</v>
      </c>
      <c r="P163" s="154" t="e">
        <f t="shared" si="9"/>
        <v>#VALUE!</v>
      </c>
      <c r="Q163">
        <v>0.51</v>
      </c>
      <c r="R163" s="154" t="e">
        <f t="shared" si="10"/>
        <v>#VALUE!</v>
      </c>
      <c r="S163">
        <v>0.51</v>
      </c>
      <c r="T163" s="154" t="e">
        <f t="shared" si="11"/>
        <v>#VALUE!</v>
      </c>
      <c r="U163">
        <v>0.51</v>
      </c>
      <c r="V163" s="154" t="e">
        <f t="shared" si="12"/>
        <v>#VALUE!</v>
      </c>
      <c r="W163">
        <v>0.51</v>
      </c>
      <c r="X163" s="157" t="e">
        <f t="shared" si="13"/>
        <v>#VALUE!</v>
      </c>
      <c r="Y163">
        <v>0.51</v>
      </c>
      <c r="Z163" s="154" t="e">
        <f t="shared" si="14"/>
        <v>#VALUE!</v>
      </c>
      <c r="AA163">
        <v>0.51</v>
      </c>
      <c r="AB163" s="154" t="e">
        <f t="shared" si="15"/>
        <v>#VALUE!</v>
      </c>
      <c r="AC163">
        <v>0.51</v>
      </c>
      <c r="AD163" s="154" t="e">
        <f t="shared" si="16"/>
        <v>#VALUE!</v>
      </c>
      <c r="AE163">
        <v>0.51</v>
      </c>
    </row>
    <row r="164" spans="12:31" ht="15" x14ac:dyDescent="0.2">
      <c r="L164" s="154" t="e">
        <f t="shared" si="7"/>
        <v>#VALUE!</v>
      </c>
      <c r="M164">
        <v>0.52</v>
      </c>
      <c r="N164" s="154" t="e">
        <f t="shared" si="8"/>
        <v>#VALUE!</v>
      </c>
      <c r="O164">
        <v>0.52</v>
      </c>
      <c r="P164" s="154" t="e">
        <f t="shared" si="9"/>
        <v>#VALUE!</v>
      </c>
      <c r="Q164">
        <v>0.52</v>
      </c>
      <c r="R164" s="154" t="e">
        <f t="shared" si="10"/>
        <v>#VALUE!</v>
      </c>
      <c r="S164">
        <v>0.52</v>
      </c>
      <c r="T164" s="154" t="e">
        <f t="shared" si="11"/>
        <v>#VALUE!</v>
      </c>
      <c r="U164">
        <v>0.52</v>
      </c>
      <c r="V164" s="154" t="e">
        <f t="shared" si="12"/>
        <v>#VALUE!</v>
      </c>
      <c r="W164">
        <v>0.52</v>
      </c>
      <c r="X164" s="157" t="e">
        <f t="shared" si="13"/>
        <v>#VALUE!</v>
      </c>
      <c r="Y164">
        <v>0.52</v>
      </c>
      <c r="Z164" s="154" t="e">
        <f t="shared" si="14"/>
        <v>#VALUE!</v>
      </c>
      <c r="AA164">
        <v>0.52</v>
      </c>
      <c r="AB164" s="154" t="e">
        <f t="shared" si="15"/>
        <v>#VALUE!</v>
      </c>
      <c r="AC164">
        <v>0.52</v>
      </c>
      <c r="AD164" s="154" t="e">
        <f t="shared" si="16"/>
        <v>#VALUE!</v>
      </c>
      <c r="AE164">
        <v>0.52</v>
      </c>
    </row>
    <row r="165" spans="12:31" ht="15" x14ac:dyDescent="0.2">
      <c r="L165" s="154" t="e">
        <f t="shared" si="7"/>
        <v>#VALUE!</v>
      </c>
      <c r="M165">
        <v>0.53</v>
      </c>
      <c r="N165" s="154" t="e">
        <f t="shared" si="8"/>
        <v>#VALUE!</v>
      </c>
      <c r="O165">
        <v>0.53</v>
      </c>
      <c r="P165" s="154" t="e">
        <f t="shared" si="9"/>
        <v>#VALUE!</v>
      </c>
      <c r="Q165">
        <v>0.53</v>
      </c>
      <c r="R165" s="154" t="e">
        <f t="shared" si="10"/>
        <v>#VALUE!</v>
      </c>
      <c r="S165">
        <v>0.53</v>
      </c>
      <c r="T165" s="154" t="e">
        <f t="shared" si="11"/>
        <v>#VALUE!</v>
      </c>
      <c r="U165">
        <v>0.53</v>
      </c>
      <c r="V165" s="154" t="e">
        <f t="shared" si="12"/>
        <v>#VALUE!</v>
      </c>
      <c r="W165">
        <v>0.53</v>
      </c>
      <c r="X165" s="157" t="e">
        <f t="shared" si="13"/>
        <v>#VALUE!</v>
      </c>
      <c r="Y165">
        <v>0.53</v>
      </c>
      <c r="Z165" s="154" t="e">
        <f t="shared" si="14"/>
        <v>#VALUE!</v>
      </c>
      <c r="AA165">
        <v>0.53</v>
      </c>
      <c r="AB165" s="154" t="e">
        <f t="shared" si="15"/>
        <v>#VALUE!</v>
      </c>
      <c r="AC165">
        <v>0.53</v>
      </c>
      <c r="AD165" s="154" t="e">
        <f t="shared" si="16"/>
        <v>#VALUE!</v>
      </c>
      <c r="AE165">
        <v>0.53</v>
      </c>
    </row>
    <row r="166" spans="12:31" ht="15" x14ac:dyDescent="0.2">
      <c r="L166" s="154" t="e">
        <f t="shared" si="7"/>
        <v>#VALUE!</v>
      </c>
      <c r="M166">
        <v>0.54</v>
      </c>
      <c r="N166" s="154" t="e">
        <f t="shared" si="8"/>
        <v>#VALUE!</v>
      </c>
      <c r="O166">
        <v>0.54</v>
      </c>
      <c r="P166" s="154" t="e">
        <f t="shared" si="9"/>
        <v>#VALUE!</v>
      </c>
      <c r="Q166">
        <v>0.54</v>
      </c>
      <c r="R166" s="154" t="e">
        <f t="shared" si="10"/>
        <v>#VALUE!</v>
      </c>
      <c r="S166">
        <v>0.54</v>
      </c>
      <c r="T166" s="154" t="e">
        <f t="shared" si="11"/>
        <v>#VALUE!</v>
      </c>
      <c r="U166">
        <v>0.54</v>
      </c>
      <c r="V166" s="154" t="e">
        <f t="shared" si="12"/>
        <v>#VALUE!</v>
      </c>
      <c r="W166">
        <v>0.54</v>
      </c>
      <c r="X166" s="157" t="e">
        <f t="shared" si="13"/>
        <v>#VALUE!</v>
      </c>
      <c r="Y166">
        <v>0.54</v>
      </c>
      <c r="Z166" s="154" t="e">
        <f t="shared" si="14"/>
        <v>#VALUE!</v>
      </c>
      <c r="AA166">
        <v>0.54</v>
      </c>
      <c r="AB166" s="154" t="e">
        <f t="shared" si="15"/>
        <v>#VALUE!</v>
      </c>
      <c r="AC166">
        <v>0.54</v>
      </c>
      <c r="AD166" s="154" t="e">
        <f t="shared" si="16"/>
        <v>#VALUE!</v>
      </c>
      <c r="AE166">
        <v>0.54</v>
      </c>
    </row>
    <row r="167" spans="12:31" ht="15" x14ac:dyDescent="0.2">
      <c r="L167" s="154" t="e">
        <f t="shared" si="7"/>
        <v>#VALUE!</v>
      </c>
      <c r="M167">
        <v>0.55000000000000004</v>
      </c>
      <c r="N167" s="154" t="e">
        <f t="shared" si="8"/>
        <v>#VALUE!</v>
      </c>
      <c r="O167">
        <v>0.55000000000000004</v>
      </c>
      <c r="P167" s="154" t="e">
        <f t="shared" si="9"/>
        <v>#VALUE!</v>
      </c>
      <c r="Q167">
        <v>0.55000000000000004</v>
      </c>
      <c r="R167" s="154" t="e">
        <f t="shared" si="10"/>
        <v>#VALUE!</v>
      </c>
      <c r="S167">
        <v>0.55000000000000004</v>
      </c>
      <c r="T167" s="154" t="e">
        <f t="shared" si="11"/>
        <v>#VALUE!</v>
      </c>
      <c r="U167">
        <v>0.55000000000000004</v>
      </c>
      <c r="V167" s="154" t="e">
        <f t="shared" si="12"/>
        <v>#VALUE!</v>
      </c>
      <c r="W167">
        <v>0.55000000000000004</v>
      </c>
      <c r="X167" s="157" t="e">
        <f t="shared" si="13"/>
        <v>#VALUE!</v>
      </c>
      <c r="Y167">
        <v>0.55000000000000004</v>
      </c>
      <c r="Z167" s="154" t="e">
        <f t="shared" si="14"/>
        <v>#VALUE!</v>
      </c>
      <c r="AA167">
        <v>0.55000000000000004</v>
      </c>
      <c r="AB167" s="154" t="e">
        <f t="shared" si="15"/>
        <v>#VALUE!</v>
      </c>
      <c r="AC167">
        <v>0.55000000000000004</v>
      </c>
      <c r="AD167" s="154" t="e">
        <f t="shared" si="16"/>
        <v>#VALUE!</v>
      </c>
      <c r="AE167">
        <v>0.55000000000000004</v>
      </c>
    </row>
    <row r="168" spans="12:31" ht="15" x14ac:dyDescent="0.2">
      <c r="L168" s="154" t="e">
        <f t="shared" si="7"/>
        <v>#VALUE!</v>
      </c>
      <c r="M168">
        <v>0.56000000000000005</v>
      </c>
      <c r="N168" s="154" t="e">
        <f t="shared" si="8"/>
        <v>#VALUE!</v>
      </c>
      <c r="O168">
        <v>0.56000000000000005</v>
      </c>
      <c r="P168" s="154" t="e">
        <f t="shared" si="9"/>
        <v>#VALUE!</v>
      </c>
      <c r="Q168">
        <v>0.56000000000000005</v>
      </c>
      <c r="R168" s="154" t="e">
        <f t="shared" si="10"/>
        <v>#VALUE!</v>
      </c>
      <c r="S168">
        <v>0.56000000000000005</v>
      </c>
      <c r="T168" s="154" t="e">
        <f t="shared" si="11"/>
        <v>#VALUE!</v>
      </c>
      <c r="U168">
        <v>0.56000000000000005</v>
      </c>
      <c r="V168" s="154" t="e">
        <f t="shared" si="12"/>
        <v>#VALUE!</v>
      </c>
      <c r="W168">
        <v>0.56000000000000005</v>
      </c>
      <c r="X168" s="157" t="e">
        <f t="shared" si="13"/>
        <v>#VALUE!</v>
      </c>
      <c r="Y168">
        <v>0.56000000000000005</v>
      </c>
      <c r="Z168" s="154" t="e">
        <f t="shared" si="14"/>
        <v>#VALUE!</v>
      </c>
      <c r="AA168">
        <v>0.56000000000000005</v>
      </c>
      <c r="AB168" s="154" t="e">
        <f t="shared" si="15"/>
        <v>#VALUE!</v>
      </c>
      <c r="AC168">
        <v>0.56000000000000005</v>
      </c>
      <c r="AD168" s="154" t="e">
        <f t="shared" si="16"/>
        <v>#VALUE!</v>
      </c>
      <c r="AE168">
        <v>0.56000000000000005</v>
      </c>
    </row>
    <row r="169" spans="12:31" ht="15" x14ac:dyDescent="0.2">
      <c r="L169" s="154" t="e">
        <f t="shared" si="7"/>
        <v>#VALUE!</v>
      </c>
      <c r="M169">
        <v>0.56999999999999995</v>
      </c>
      <c r="N169" s="154" t="e">
        <f t="shared" si="8"/>
        <v>#VALUE!</v>
      </c>
      <c r="O169">
        <v>0.56999999999999995</v>
      </c>
      <c r="P169" s="154" t="e">
        <f t="shared" si="9"/>
        <v>#VALUE!</v>
      </c>
      <c r="Q169">
        <v>0.56999999999999995</v>
      </c>
      <c r="R169" s="154" t="e">
        <f t="shared" si="10"/>
        <v>#VALUE!</v>
      </c>
      <c r="S169">
        <v>0.56999999999999995</v>
      </c>
      <c r="T169" s="154" t="e">
        <f t="shared" si="11"/>
        <v>#VALUE!</v>
      </c>
      <c r="U169">
        <v>0.56999999999999995</v>
      </c>
      <c r="V169" s="154" t="e">
        <f t="shared" si="12"/>
        <v>#VALUE!</v>
      </c>
      <c r="W169">
        <v>0.56999999999999995</v>
      </c>
      <c r="X169" s="157" t="e">
        <f t="shared" si="13"/>
        <v>#VALUE!</v>
      </c>
      <c r="Y169">
        <v>0.56999999999999995</v>
      </c>
      <c r="Z169" s="154" t="e">
        <f t="shared" si="14"/>
        <v>#VALUE!</v>
      </c>
      <c r="AA169">
        <v>0.56999999999999995</v>
      </c>
      <c r="AB169" s="154" t="e">
        <f t="shared" si="15"/>
        <v>#VALUE!</v>
      </c>
      <c r="AC169">
        <v>0.56999999999999995</v>
      </c>
      <c r="AD169" s="154" t="e">
        <f t="shared" si="16"/>
        <v>#VALUE!</v>
      </c>
      <c r="AE169">
        <v>0.56999999999999995</v>
      </c>
    </row>
    <row r="170" spans="12:31" ht="15" x14ac:dyDescent="0.2">
      <c r="L170" s="154" t="e">
        <f t="shared" si="7"/>
        <v>#VALUE!</v>
      </c>
      <c r="M170">
        <v>0.57999999999999996</v>
      </c>
      <c r="N170" s="154" t="e">
        <f t="shared" si="8"/>
        <v>#VALUE!</v>
      </c>
      <c r="O170">
        <v>0.57999999999999996</v>
      </c>
      <c r="P170" s="154" t="e">
        <f t="shared" si="9"/>
        <v>#VALUE!</v>
      </c>
      <c r="Q170">
        <v>0.57999999999999996</v>
      </c>
      <c r="R170" s="154" t="e">
        <f t="shared" si="10"/>
        <v>#VALUE!</v>
      </c>
      <c r="S170">
        <v>0.57999999999999996</v>
      </c>
      <c r="T170" s="154" t="e">
        <f t="shared" si="11"/>
        <v>#VALUE!</v>
      </c>
      <c r="U170">
        <v>0.57999999999999996</v>
      </c>
      <c r="V170" s="154" t="e">
        <f t="shared" si="12"/>
        <v>#VALUE!</v>
      </c>
      <c r="W170">
        <v>0.57999999999999996</v>
      </c>
      <c r="X170" s="157" t="e">
        <f t="shared" si="13"/>
        <v>#VALUE!</v>
      </c>
      <c r="Y170">
        <v>0.57999999999999996</v>
      </c>
      <c r="Z170" s="154" t="e">
        <f t="shared" si="14"/>
        <v>#VALUE!</v>
      </c>
      <c r="AA170">
        <v>0.57999999999999996</v>
      </c>
      <c r="AB170" s="154" t="e">
        <f t="shared" si="15"/>
        <v>#VALUE!</v>
      </c>
      <c r="AC170">
        <v>0.57999999999999996</v>
      </c>
      <c r="AD170" s="154" t="e">
        <f t="shared" si="16"/>
        <v>#VALUE!</v>
      </c>
      <c r="AE170">
        <v>0.57999999999999996</v>
      </c>
    </row>
    <row r="171" spans="12:31" ht="15" x14ac:dyDescent="0.2">
      <c r="L171" s="154" t="e">
        <f t="shared" si="7"/>
        <v>#VALUE!</v>
      </c>
      <c r="M171">
        <v>0.59</v>
      </c>
      <c r="N171" s="154" t="e">
        <f t="shared" si="8"/>
        <v>#VALUE!</v>
      </c>
      <c r="O171">
        <v>0.59</v>
      </c>
      <c r="P171" s="154" t="e">
        <f t="shared" si="9"/>
        <v>#VALUE!</v>
      </c>
      <c r="Q171">
        <v>0.59</v>
      </c>
      <c r="R171" s="154" t="e">
        <f t="shared" si="10"/>
        <v>#VALUE!</v>
      </c>
      <c r="S171">
        <v>0.59</v>
      </c>
      <c r="T171" s="154" t="e">
        <f t="shared" si="11"/>
        <v>#VALUE!</v>
      </c>
      <c r="U171">
        <v>0.59</v>
      </c>
      <c r="V171" s="154" t="e">
        <f t="shared" si="12"/>
        <v>#VALUE!</v>
      </c>
      <c r="W171">
        <v>0.59</v>
      </c>
      <c r="X171" s="157" t="e">
        <f t="shared" si="13"/>
        <v>#VALUE!</v>
      </c>
      <c r="Y171">
        <v>0.59</v>
      </c>
      <c r="Z171" s="154" t="e">
        <f t="shared" si="14"/>
        <v>#VALUE!</v>
      </c>
      <c r="AA171">
        <v>0.59</v>
      </c>
      <c r="AB171" s="154" t="e">
        <f t="shared" si="15"/>
        <v>#VALUE!</v>
      </c>
      <c r="AC171">
        <v>0.59</v>
      </c>
      <c r="AD171" s="154" t="e">
        <f t="shared" si="16"/>
        <v>#VALUE!</v>
      </c>
      <c r="AE171">
        <v>0.59</v>
      </c>
    </row>
    <row r="172" spans="12:31" ht="15" x14ac:dyDescent="0.2">
      <c r="L172" s="154" t="e">
        <f t="shared" si="7"/>
        <v>#VALUE!</v>
      </c>
      <c r="M172">
        <v>0.6</v>
      </c>
      <c r="N172" s="154" t="e">
        <f t="shared" si="8"/>
        <v>#VALUE!</v>
      </c>
      <c r="O172">
        <v>0.6</v>
      </c>
      <c r="P172" s="154" t="e">
        <f t="shared" si="9"/>
        <v>#VALUE!</v>
      </c>
      <c r="Q172">
        <v>0.6</v>
      </c>
      <c r="R172" s="154" t="e">
        <f t="shared" si="10"/>
        <v>#VALUE!</v>
      </c>
      <c r="S172">
        <v>0.6</v>
      </c>
      <c r="T172" s="154" t="e">
        <f t="shared" si="11"/>
        <v>#VALUE!</v>
      </c>
      <c r="U172">
        <v>0.6</v>
      </c>
      <c r="V172" s="154" t="e">
        <f t="shared" si="12"/>
        <v>#VALUE!</v>
      </c>
      <c r="W172">
        <v>0.6</v>
      </c>
      <c r="X172" s="157" t="e">
        <f t="shared" si="13"/>
        <v>#VALUE!</v>
      </c>
      <c r="Y172">
        <v>0.6</v>
      </c>
      <c r="Z172" s="154" t="e">
        <f t="shared" si="14"/>
        <v>#VALUE!</v>
      </c>
      <c r="AA172">
        <v>0.6</v>
      </c>
      <c r="AB172" s="154" t="e">
        <f t="shared" si="15"/>
        <v>#VALUE!</v>
      </c>
      <c r="AC172">
        <v>0.6</v>
      </c>
      <c r="AD172" s="154" t="e">
        <f t="shared" si="16"/>
        <v>#VALUE!</v>
      </c>
      <c r="AE172">
        <v>0.6</v>
      </c>
    </row>
    <row r="173" spans="12:31" ht="15" x14ac:dyDescent="0.2">
      <c r="L173" s="154" t="e">
        <f t="shared" si="7"/>
        <v>#VALUE!</v>
      </c>
      <c r="M173">
        <v>0.61</v>
      </c>
      <c r="N173" s="154" t="e">
        <f t="shared" si="8"/>
        <v>#VALUE!</v>
      </c>
      <c r="O173">
        <v>0.61</v>
      </c>
      <c r="P173" s="154" t="e">
        <f t="shared" si="9"/>
        <v>#VALUE!</v>
      </c>
      <c r="Q173">
        <v>0.61</v>
      </c>
      <c r="R173" s="154" t="e">
        <f t="shared" si="10"/>
        <v>#VALUE!</v>
      </c>
      <c r="S173">
        <v>0.61</v>
      </c>
      <c r="T173" s="154" t="e">
        <f t="shared" si="11"/>
        <v>#VALUE!</v>
      </c>
      <c r="U173">
        <v>0.61</v>
      </c>
      <c r="V173" s="154" t="e">
        <f t="shared" si="12"/>
        <v>#VALUE!</v>
      </c>
      <c r="W173">
        <v>0.61</v>
      </c>
      <c r="X173" s="157" t="e">
        <f t="shared" si="13"/>
        <v>#VALUE!</v>
      </c>
      <c r="Y173">
        <v>0.61</v>
      </c>
      <c r="Z173" s="154" t="e">
        <f t="shared" si="14"/>
        <v>#VALUE!</v>
      </c>
      <c r="AA173">
        <v>0.61</v>
      </c>
      <c r="AB173" s="154" t="e">
        <f t="shared" si="15"/>
        <v>#VALUE!</v>
      </c>
      <c r="AC173">
        <v>0.61</v>
      </c>
      <c r="AD173" s="154" t="e">
        <f t="shared" si="16"/>
        <v>#VALUE!</v>
      </c>
      <c r="AE173">
        <v>0.61</v>
      </c>
    </row>
    <row r="174" spans="12:31" ht="15" x14ac:dyDescent="0.2">
      <c r="L174" s="154" t="e">
        <f t="shared" si="7"/>
        <v>#VALUE!</v>
      </c>
      <c r="M174">
        <v>0.62</v>
      </c>
      <c r="N174" s="154" t="e">
        <f t="shared" si="8"/>
        <v>#VALUE!</v>
      </c>
      <c r="O174">
        <v>0.62</v>
      </c>
      <c r="P174" s="154" t="e">
        <f t="shared" si="9"/>
        <v>#VALUE!</v>
      </c>
      <c r="Q174">
        <v>0.62</v>
      </c>
      <c r="R174" s="154" t="e">
        <f t="shared" si="10"/>
        <v>#VALUE!</v>
      </c>
      <c r="S174">
        <v>0.62</v>
      </c>
      <c r="T174" s="154" t="e">
        <f t="shared" si="11"/>
        <v>#VALUE!</v>
      </c>
      <c r="U174">
        <v>0.62</v>
      </c>
      <c r="V174" s="154" t="e">
        <f t="shared" si="12"/>
        <v>#VALUE!</v>
      </c>
      <c r="W174">
        <v>0.62</v>
      </c>
      <c r="X174" s="157" t="e">
        <f t="shared" si="13"/>
        <v>#VALUE!</v>
      </c>
      <c r="Y174">
        <v>0.62</v>
      </c>
      <c r="Z174" s="154" t="e">
        <f t="shared" si="14"/>
        <v>#VALUE!</v>
      </c>
      <c r="AA174">
        <v>0.62</v>
      </c>
      <c r="AB174" s="154" t="e">
        <f t="shared" si="15"/>
        <v>#VALUE!</v>
      </c>
      <c r="AC174">
        <v>0.62</v>
      </c>
      <c r="AD174" s="154" t="e">
        <f t="shared" si="16"/>
        <v>#VALUE!</v>
      </c>
      <c r="AE174">
        <v>0.62</v>
      </c>
    </row>
    <row r="175" spans="12:31" ht="15" x14ac:dyDescent="0.2">
      <c r="L175" s="154" t="e">
        <f t="shared" si="7"/>
        <v>#VALUE!</v>
      </c>
      <c r="M175">
        <v>0.63</v>
      </c>
      <c r="N175" s="154" t="e">
        <f t="shared" si="8"/>
        <v>#VALUE!</v>
      </c>
      <c r="O175">
        <v>0.63</v>
      </c>
      <c r="P175" s="154" t="e">
        <f t="shared" si="9"/>
        <v>#VALUE!</v>
      </c>
      <c r="Q175">
        <v>0.63</v>
      </c>
      <c r="R175" s="154" t="e">
        <f t="shared" si="10"/>
        <v>#VALUE!</v>
      </c>
      <c r="S175">
        <v>0.63</v>
      </c>
      <c r="T175" s="154" t="e">
        <f t="shared" si="11"/>
        <v>#VALUE!</v>
      </c>
      <c r="U175">
        <v>0.63</v>
      </c>
      <c r="V175" s="154" t="e">
        <f t="shared" si="12"/>
        <v>#VALUE!</v>
      </c>
      <c r="W175">
        <v>0.63</v>
      </c>
      <c r="X175" s="157" t="e">
        <f t="shared" si="13"/>
        <v>#VALUE!</v>
      </c>
      <c r="Y175">
        <v>0.63</v>
      </c>
      <c r="Z175" s="154" t="e">
        <f t="shared" si="14"/>
        <v>#VALUE!</v>
      </c>
      <c r="AA175">
        <v>0.63</v>
      </c>
      <c r="AB175" s="154" t="e">
        <f t="shared" si="15"/>
        <v>#VALUE!</v>
      </c>
      <c r="AC175">
        <v>0.63</v>
      </c>
      <c r="AD175" s="154" t="e">
        <f t="shared" si="16"/>
        <v>#VALUE!</v>
      </c>
      <c r="AE175">
        <v>0.63</v>
      </c>
    </row>
    <row r="176" spans="12:31" ht="15" x14ac:dyDescent="0.2">
      <c r="L176" s="154" t="e">
        <f t="shared" si="7"/>
        <v>#VALUE!</v>
      </c>
      <c r="M176">
        <v>0.64</v>
      </c>
      <c r="N176" s="154" t="e">
        <f t="shared" si="8"/>
        <v>#VALUE!</v>
      </c>
      <c r="O176">
        <v>0.64</v>
      </c>
      <c r="P176" s="154" t="e">
        <f t="shared" si="9"/>
        <v>#VALUE!</v>
      </c>
      <c r="Q176">
        <v>0.64</v>
      </c>
      <c r="R176" s="154" t="e">
        <f t="shared" si="10"/>
        <v>#VALUE!</v>
      </c>
      <c r="S176">
        <v>0.64</v>
      </c>
      <c r="T176" s="154" t="e">
        <f t="shared" si="11"/>
        <v>#VALUE!</v>
      </c>
      <c r="U176">
        <v>0.64</v>
      </c>
      <c r="V176" s="154" t="e">
        <f t="shared" si="12"/>
        <v>#VALUE!</v>
      </c>
      <c r="W176">
        <v>0.64</v>
      </c>
      <c r="X176" s="157" t="e">
        <f t="shared" si="13"/>
        <v>#VALUE!</v>
      </c>
      <c r="Y176">
        <v>0.64</v>
      </c>
      <c r="Z176" s="154" t="e">
        <f t="shared" si="14"/>
        <v>#VALUE!</v>
      </c>
      <c r="AA176">
        <v>0.64</v>
      </c>
      <c r="AB176" s="154" t="e">
        <f t="shared" si="15"/>
        <v>#VALUE!</v>
      </c>
      <c r="AC176">
        <v>0.64</v>
      </c>
      <c r="AD176" s="154" t="e">
        <f t="shared" si="16"/>
        <v>#VALUE!</v>
      </c>
      <c r="AE176">
        <v>0.64</v>
      </c>
    </row>
    <row r="177" spans="12:31" ht="15" x14ac:dyDescent="0.2">
      <c r="L177" s="154" t="e">
        <f t="shared" ref="L177:L240" si="17">((1.486/$D$33)*((((PI()*($D$46/12)^2)/4)-((($D$46/12)/2)^2*((2*ACOS(((($D$46/12)/2)-(($D$46/12)-(M177/12)))/(($D$46/12)/2)))-SIN(2*ACOS(((($D$46/12)/2)-(($D$46/12)-(M177/12)))/(($D$46/12)/2))))/2))/((PI()*($D$46/12))-((2*ACOS(((($D$46/12)/2)-(($D$46/12)-(M177/12)))/(($D$46/12)/2)))*(($D$46/12)/2))))^(2/3)*$H$17^0.5)*(((PI()*($D$46/12)^2)/4)-((($D$46/12)/2)^2*((2*ACOS(((($D$46/12)/2)-(($D$46/12)-(M177/12)))/(($D$46/12)/2)))-SIN(2*ACOS(((($D$46/12)/2)-(($D$46/12)-(M177/12)))/(($D$46/12)/2))))/2))</f>
        <v>#VALUE!</v>
      </c>
      <c r="M177">
        <v>0.65</v>
      </c>
      <c r="N177" s="154" t="e">
        <f t="shared" ref="N177:N240" si="18">((1.486/$D$34)*((((PI()*($D$47/12)^2)/4)-((($D$47/12)/2)^2*((2*ACOS(((($D$47/12)/2)-(($D$47/12)-(O177/12)))/(($D$47/12)/2)))-SIN(2*ACOS(((($D$47/12)/2)-(($D$47/12)-(O177/12)))/(($D$47/12)/2))))/2))/((PI()*($D$47/12))-((2*ACOS(((($D$47/12)/2)-(($D$47/12)-(O177/12)))/(($D$47/12)/2)))*(($D$47/12)/2))))^(2/3)*$H$18^0.5)*(((PI()*($D$47/12)^2)/4)-((($D$47/12)/2)^2*((2*ACOS(((($D$47/12)/2)-(($D$47/12)-(O177/12)))/(($D$47/12)/2)))-SIN(2*ACOS(((($D$47/12)/2)-(($D$47/12)-(O177/12)))/(($D$47/12)/2))))/2))</f>
        <v>#VALUE!</v>
      </c>
      <c r="O177">
        <v>0.65</v>
      </c>
      <c r="P177" s="154" t="e">
        <f t="shared" ref="P177:P240" si="19">((1.486/$D$35)*((((PI()*($D$48/12)^2)/4)-((($D$48/12)/2)^2*((2*ACOS(((($D$48/12)/2)-(($D$48/12)-(Q177/12)))/(($D$48/12)/2)))-SIN(2*ACOS(((($D$48/12)/2)-(($D$48/12)-(Q177/12)))/(($D$48/12)/2))))/2))/((PI()*($D$48/12))-((2*ACOS(((($D$48/12)/2)-(($D$48/12)-(Q177/12)))/(($D$48/12)/2)))*(($D$48/12)/2))))^(2/3)*$H$19^0.5)*(((PI()*($D$48/12)^2)/4)-((($D$48/12)/2)^2*((2*ACOS(((($D$48/12)/2)-(($D$48/12)-(Q177/12)))/(($D$48/12)/2)))-SIN(2*ACOS(((($D$48/12)/2)-(($D$48/12)-(Q177/12)))/(($D$48/12)/2))))/2))</f>
        <v>#VALUE!</v>
      </c>
      <c r="Q177">
        <v>0.65</v>
      </c>
      <c r="R177" s="154" t="e">
        <f t="shared" ref="R177:R240" si="20">((1.486/$D$36)*((((PI()*($D$49/12)^2)/4)-((($D$49/12)/2)^2*((2*ACOS(((($D$49/12)/2)-(($D$49/12)-(S177/12)))/(($D$49/12)/2)))-SIN(2*ACOS(((($D$49/12)/2)-(($D$49/12)-(S177/12)))/(($D$49/12)/2))))/2))/((PI()*($D$49/12))-((2*ACOS(((($D$49/12)/2)-(($D$49/12)-(S177/12)))/(($D$49/12)/2)))*(($D$49/12)/2))))^(2/3)*$H$20^0.5)*(((PI()*($D$49/12)^2)/4)-((($D$49/12)/2)^2*((2*ACOS(((($D$49/12)/2)-(($D$49/12)-(S177/12)))/(($D$49/12)/2)))-SIN(2*ACOS(((($D$49/12)/2)-(($D$49/12)-(S177/12)))/(($D$49/12)/2))))/2))</f>
        <v>#VALUE!</v>
      </c>
      <c r="S177">
        <v>0.65</v>
      </c>
      <c r="T177" s="154" t="e">
        <f t="shared" ref="T177:T240" si="21">((1.486/$D$37)*((((PI()*($D$50/12)^2)/4)-((($D$50/12)/2)^2*((2*ACOS(((($D$50/12)/2)-(($D$50/12)-(U177/12)))/(($D$50/12)/2)))-SIN(2*ACOS(((($D$50/12)/2)-(($D$50/12)-(U177/12)))/(($D$50/12)/2))))/2))/((PI()*($D$50/12))-((2*ACOS(((($D$50/12)/2)-(($D$50/12)-(U177/12)))/(($D$50/12)/2)))*(($D$50/12)/2))))^(2/3)*$H$21^0.5)*(((PI()*($D$50/12)^2)/4)-((($D$50/12)/2)^2*((2*ACOS(((($D$50/12)/2)-(($D$50/12)-(U177/12)))/(($D$50/12)/2)))-SIN(2*ACOS(((($D$50/12)/2)-(($D$50/12)-(U177/12)))/(($D$50/12)/2))))/2))</f>
        <v>#VALUE!</v>
      </c>
      <c r="U177">
        <v>0.65</v>
      </c>
      <c r="V177" s="154" t="e">
        <f t="shared" ref="V177:V240" si="22">((1.486/$D$38)*((((PI()*($D$51/12)^2)/4)-((($D$51/12)/2)^2*((2*ACOS(((($D$51/12)/2)-(($D$51/12)-(W177/12)))/(($D$51/12)/2)))-SIN(2*ACOS(((($D$51/12)/2)-(($D$51/12)-(W177/12)))/(($D$51/12)/2))))/2))/((PI()*($D$51/12))-((2*ACOS(((($D$51/12)/2)-(($D$51/12)-(W177/12)))/(($D$51/12)/2)))*(($D$51/12)/2))))^(2/3)*$H$22^0.5)*(((PI()*($D$51/12)^2)/4)-((($D$51/12)/2)^2*((2*ACOS(((($D$51/12)/2)-(($D$51/12)-(W177/12)))/(($D$51/12)/2)))-SIN(2*ACOS(((($D$51/12)/2)-(($D$51/12)-(W177/12)))/(($D$51/12)/2))))/2))</f>
        <v>#VALUE!</v>
      </c>
      <c r="W177">
        <v>0.65</v>
      </c>
      <c r="X177" s="157" t="e">
        <f t="shared" ref="X177:X240" si="23">((1.486/$D$39)*((((PI()*($D$52/12)^2)/4)-((($D$52/12)/2)^2*((2*ACOS(((($D$52/12)/2)-(($D$52/12)-(Y177/12)))/(($D$52/12)/2)))-SIN(2*ACOS(((($D$52/12)/2)-(($D$52/12)-(Y177/12)))/(($D$52/12)/2))))/2))/((PI()*($D$52/12))-((2*ACOS(((($D$52/12)/2)-(($D$52/12)-(Y177/12)))/(($D$52/12)/2)))*(($D$52/12)/2))))^(2/3)*$H$23^0.5)*(((PI()*($D$52/12)^2)/4)-((($D$52/12)/2)^2*((2*ACOS(((($D$52/12)/2)-(($D$52/12)-(Y177/12)))/(($D$52/12)/2)))-SIN(2*ACOS(((($D$52/12)/2)-(($D$52/12)-(Y177/12)))/(($D$52/12)/2))))/2))</f>
        <v>#VALUE!</v>
      </c>
      <c r="Y177">
        <v>0.65</v>
      </c>
      <c r="Z177" s="154" t="e">
        <f t="shared" ref="Z177:Z240" si="24">((1.486/$D$40)*((((PI()*($D$53/12)^2)/4)-((($D$53/12)/2)^2*((2*ACOS(((($D$53/12)/2)-(($D$53/12)-(AA177/12)))/(($D$53/12)/2)))-SIN(2*ACOS(((($D$53/12)/2)-(($D$53/12)-(AA177/12)))/(($D$53/12)/2))))/2))/((PI()*($D$53/12))-((2*ACOS(((($D$53/12)/2)-(($D$53/12)-(AA177/12)))/(($D$53/12)/2)))*(($D$53/12)/2))))^(2/3)*$H$24^0.5)*(((PI()*($D$53/12)^2)/4)-((($D$53/12)/2)^2*((2*ACOS(((($D$53/12)/2)-(($D$53/12)-(AA177/12)))/(($D$53/12)/2)))-SIN(2*ACOS(((($D$53/12)/2)-(($D$53/12)-(AA177/12)))/(($D$53/12)/2))))/2))</f>
        <v>#VALUE!</v>
      </c>
      <c r="AA177">
        <v>0.65</v>
      </c>
      <c r="AB177" s="154" t="e">
        <f t="shared" ref="AB177:AB240" si="25">((1.486/$D$41)*((((PI()*($D$54/12)^2)/4)-((($D$54/12)/2)^2*((2*ACOS(((($D$54/12)/2)-(($D$54/12)-(AC177/12)))/(($D$54/12)/2)))-SIN(2*ACOS(((($D$54/12)/2)-(($D$54/12)-(AC177/12)))/(($D$54/12)/2))))/2))/((PI()*($D$54/12))-((2*ACOS(((($D$54/12)/2)-(($D$54/12)-(AC177/12)))/(($D$54/12)/2)))*(($D$54/12)/2))))^(2/3)*$H$25^0.5)*(((PI()*($D$54/12)^2)/4)-((($D$54/12)/2)^2*((2*ACOS(((($D$54/12)/2)-(($D$54/12)-(AC177/12)))/(($D$54/12)/2)))-SIN(2*ACOS(((($D$54/12)/2)-(($D$54/12)-(AC177/12)))/(($D$54/12)/2))))/2))</f>
        <v>#VALUE!</v>
      </c>
      <c r="AC177">
        <v>0.65</v>
      </c>
      <c r="AD177" s="154" t="e">
        <f t="shared" ref="AD177:AD240" si="26">((1.486/$D$42)*((((PI()*($D$55/12)^2)/4)-((($D$55/12)/2)^2*((2*ACOS(((($D$55/12)/2)-(($D$55/12)-(AE177/12)))/(($D$55/12)/2)))-SIN(2*ACOS(((($D$55/12)/2)-(($D$55/12)-(AE177/12)))/(($D$55/12)/2))))/2))/((PI()*($D$55/12))-((2*ACOS(((($D$55/12)/2)-(($D$55/12)-(AE177/12)))/(($D$55/12)/2)))*(($D$55/12)/2))))^(2/3)*$H$26^0.5)*(((PI()*($D$55/12)^2)/4)-((($D$55/12)/2)^2*((2*ACOS(((($D$55/12)/2)-(($D$55/12)-(AE177/12)))/(($D$55/12)/2)))-SIN(2*ACOS(((($D$55/12)/2)-(($D$55/12)-(AE177/12)))/(($D$55/12)/2))))/2))</f>
        <v>#VALUE!</v>
      </c>
      <c r="AE177">
        <v>0.65</v>
      </c>
    </row>
    <row r="178" spans="12:31" ht="15" x14ac:dyDescent="0.2">
      <c r="L178" s="154" t="e">
        <f t="shared" si="17"/>
        <v>#VALUE!</v>
      </c>
      <c r="M178">
        <v>0.66</v>
      </c>
      <c r="N178" s="154" t="e">
        <f t="shared" si="18"/>
        <v>#VALUE!</v>
      </c>
      <c r="O178">
        <v>0.66</v>
      </c>
      <c r="P178" s="154" t="e">
        <f t="shared" si="19"/>
        <v>#VALUE!</v>
      </c>
      <c r="Q178">
        <v>0.66</v>
      </c>
      <c r="R178" s="154" t="e">
        <f t="shared" si="20"/>
        <v>#VALUE!</v>
      </c>
      <c r="S178">
        <v>0.66</v>
      </c>
      <c r="T178" s="154" t="e">
        <f t="shared" si="21"/>
        <v>#VALUE!</v>
      </c>
      <c r="U178">
        <v>0.66</v>
      </c>
      <c r="V178" s="154" t="e">
        <f t="shared" si="22"/>
        <v>#VALUE!</v>
      </c>
      <c r="W178">
        <v>0.66</v>
      </c>
      <c r="X178" s="157" t="e">
        <f t="shared" si="23"/>
        <v>#VALUE!</v>
      </c>
      <c r="Y178">
        <v>0.66</v>
      </c>
      <c r="Z178" s="154" t="e">
        <f t="shared" si="24"/>
        <v>#VALUE!</v>
      </c>
      <c r="AA178">
        <v>0.66</v>
      </c>
      <c r="AB178" s="154" t="e">
        <f t="shared" si="25"/>
        <v>#VALUE!</v>
      </c>
      <c r="AC178">
        <v>0.66</v>
      </c>
      <c r="AD178" s="154" t="e">
        <f t="shared" si="26"/>
        <v>#VALUE!</v>
      </c>
      <c r="AE178">
        <v>0.66</v>
      </c>
    </row>
    <row r="179" spans="12:31" ht="15" x14ac:dyDescent="0.2">
      <c r="L179" s="154" t="e">
        <f t="shared" si="17"/>
        <v>#VALUE!</v>
      </c>
      <c r="M179">
        <v>0.67</v>
      </c>
      <c r="N179" s="154" t="e">
        <f t="shared" si="18"/>
        <v>#VALUE!</v>
      </c>
      <c r="O179">
        <v>0.67</v>
      </c>
      <c r="P179" s="154" t="e">
        <f t="shared" si="19"/>
        <v>#VALUE!</v>
      </c>
      <c r="Q179">
        <v>0.67</v>
      </c>
      <c r="R179" s="154" t="e">
        <f t="shared" si="20"/>
        <v>#VALUE!</v>
      </c>
      <c r="S179">
        <v>0.67</v>
      </c>
      <c r="T179" s="154" t="e">
        <f t="shared" si="21"/>
        <v>#VALUE!</v>
      </c>
      <c r="U179">
        <v>0.67</v>
      </c>
      <c r="V179" s="154" t="e">
        <f t="shared" si="22"/>
        <v>#VALUE!</v>
      </c>
      <c r="W179">
        <v>0.67</v>
      </c>
      <c r="X179" s="157" t="e">
        <f t="shared" si="23"/>
        <v>#VALUE!</v>
      </c>
      <c r="Y179">
        <v>0.67</v>
      </c>
      <c r="Z179" s="154" t="e">
        <f t="shared" si="24"/>
        <v>#VALUE!</v>
      </c>
      <c r="AA179">
        <v>0.67</v>
      </c>
      <c r="AB179" s="154" t="e">
        <f t="shared" si="25"/>
        <v>#VALUE!</v>
      </c>
      <c r="AC179">
        <v>0.67</v>
      </c>
      <c r="AD179" s="154" t="e">
        <f t="shared" si="26"/>
        <v>#VALUE!</v>
      </c>
      <c r="AE179">
        <v>0.67</v>
      </c>
    </row>
    <row r="180" spans="12:31" ht="15" x14ac:dyDescent="0.2">
      <c r="L180" s="154" t="e">
        <f t="shared" si="17"/>
        <v>#VALUE!</v>
      </c>
      <c r="M180">
        <v>0.68</v>
      </c>
      <c r="N180" s="154" t="e">
        <f t="shared" si="18"/>
        <v>#VALUE!</v>
      </c>
      <c r="O180">
        <v>0.68</v>
      </c>
      <c r="P180" s="154" t="e">
        <f t="shared" si="19"/>
        <v>#VALUE!</v>
      </c>
      <c r="Q180">
        <v>0.68</v>
      </c>
      <c r="R180" s="154" t="e">
        <f t="shared" si="20"/>
        <v>#VALUE!</v>
      </c>
      <c r="S180">
        <v>0.68</v>
      </c>
      <c r="T180" s="154" t="e">
        <f t="shared" si="21"/>
        <v>#VALUE!</v>
      </c>
      <c r="U180">
        <v>0.68</v>
      </c>
      <c r="V180" s="154" t="e">
        <f t="shared" si="22"/>
        <v>#VALUE!</v>
      </c>
      <c r="W180">
        <v>0.68</v>
      </c>
      <c r="X180" s="157" t="e">
        <f t="shared" si="23"/>
        <v>#VALUE!</v>
      </c>
      <c r="Y180">
        <v>0.68</v>
      </c>
      <c r="Z180" s="154" t="e">
        <f t="shared" si="24"/>
        <v>#VALUE!</v>
      </c>
      <c r="AA180">
        <v>0.68</v>
      </c>
      <c r="AB180" s="154" t="e">
        <f t="shared" si="25"/>
        <v>#VALUE!</v>
      </c>
      <c r="AC180">
        <v>0.68</v>
      </c>
      <c r="AD180" s="154" t="e">
        <f t="shared" si="26"/>
        <v>#VALUE!</v>
      </c>
      <c r="AE180">
        <v>0.68</v>
      </c>
    </row>
    <row r="181" spans="12:31" ht="15" x14ac:dyDescent="0.2">
      <c r="L181" s="154" t="e">
        <f t="shared" si="17"/>
        <v>#VALUE!</v>
      </c>
      <c r="M181">
        <v>0.69</v>
      </c>
      <c r="N181" s="154" t="e">
        <f t="shared" si="18"/>
        <v>#VALUE!</v>
      </c>
      <c r="O181">
        <v>0.69</v>
      </c>
      <c r="P181" s="154" t="e">
        <f t="shared" si="19"/>
        <v>#VALUE!</v>
      </c>
      <c r="Q181">
        <v>0.69</v>
      </c>
      <c r="R181" s="154" t="e">
        <f t="shared" si="20"/>
        <v>#VALUE!</v>
      </c>
      <c r="S181">
        <v>0.69</v>
      </c>
      <c r="T181" s="154" t="e">
        <f t="shared" si="21"/>
        <v>#VALUE!</v>
      </c>
      <c r="U181">
        <v>0.69</v>
      </c>
      <c r="V181" s="154" t="e">
        <f t="shared" si="22"/>
        <v>#VALUE!</v>
      </c>
      <c r="W181">
        <v>0.69</v>
      </c>
      <c r="X181" s="157" t="e">
        <f t="shared" si="23"/>
        <v>#VALUE!</v>
      </c>
      <c r="Y181">
        <v>0.69</v>
      </c>
      <c r="Z181" s="154" t="e">
        <f t="shared" si="24"/>
        <v>#VALUE!</v>
      </c>
      <c r="AA181">
        <v>0.69</v>
      </c>
      <c r="AB181" s="154" t="e">
        <f t="shared" si="25"/>
        <v>#VALUE!</v>
      </c>
      <c r="AC181">
        <v>0.69</v>
      </c>
      <c r="AD181" s="154" t="e">
        <f t="shared" si="26"/>
        <v>#VALUE!</v>
      </c>
      <c r="AE181">
        <v>0.69</v>
      </c>
    </row>
    <row r="182" spans="12:31" ht="15" x14ac:dyDescent="0.2">
      <c r="L182" s="154" t="e">
        <f t="shared" si="17"/>
        <v>#VALUE!</v>
      </c>
      <c r="M182">
        <v>0.7</v>
      </c>
      <c r="N182" s="154" t="e">
        <f t="shared" si="18"/>
        <v>#VALUE!</v>
      </c>
      <c r="O182">
        <v>0.7</v>
      </c>
      <c r="P182" s="154" t="e">
        <f t="shared" si="19"/>
        <v>#VALUE!</v>
      </c>
      <c r="Q182">
        <v>0.7</v>
      </c>
      <c r="R182" s="154" t="e">
        <f t="shared" si="20"/>
        <v>#VALUE!</v>
      </c>
      <c r="S182">
        <v>0.7</v>
      </c>
      <c r="T182" s="154" t="e">
        <f t="shared" si="21"/>
        <v>#VALUE!</v>
      </c>
      <c r="U182">
        <v>0.7</v>
      </c>
      <c r="V182" s="154" t="e">
        <f t="shared" si="22"/>
        <v>#VALUE!</v>
      </c>
      <c r="W182">
        <v>0.7</v>
      </c>
      <c r="X182" s="157" t="e">
        <f t="shared" si="23"/>
        <v>#VALUE!</v>
      </c>
      <c r="Y182">
        <v>0.7</v>
      </c>
      <c r="Z182" s="154" t="e">
        <f t="shared" si="24"/>
        <v>#VALUE!</v>
      </c>
      <c r="AA182">
        <v>0.7</v>
      </c>
      <c r="AB182" s="154" t="e">
        <f t="shared" si="25"/>
        <v>#VALUE!</v>
      </c>
      <c r="AC182">
        <v>0.7</v>
      </c>
      <c r="AD182" s="154" t="e">
        <f t="shared" si="26"/>
        <v>#VALUE!</v>
      </c>
      <c r="AE182">
        <v>0.7</v>
      </c>
    </row>
    <row r="183" spans="12:31" ht="15" x14ac:dyDescent="0.2">
      <c r="L183" s="154" t="e">
        <f t="shared" si="17"/>
        <v>#VALUE!</v>
      </c>
      <c r="M183">
        <v>0.71</v>
      </c>
      <c r="N183" s="154" t="e">
        <f t="shared" si="18"/>
        <v>#VALUE!</v>
      </c>
      <c r="O183">
        <v>0.71</v>
      </c>
      <c r="P183" s="154" t="e">
        <f t="shared" si="19"/>
        <v>#VALUE!</v>
      </c>
      <c r="Q183">
        <v>0.71</v>
      </c>
      <c r="R183" s="154" t="e">
        <f t="shared" si="20"/>
        <v>#VALUE!</v>
      </c>
      <c r="S183">
        <v>0.71</v>
      </c>
      <c r="T183" s="154" t="e">
        <f t="shared" si="21"/>
        <v>#VALUE!</v>
      </c>
      <c r="U183">
        <v>0.71</v>
      </c>
      <c r="V183" s="154" t="e">
        <f t="shared" si="22"/>
        <v>#VALUE!</v>
      </c>
      <c r="W183">
        <v>0.71</v>
      </c>
      <c r="X183" s="157" t="e">
        <f t="shared" si="23"/>
        <v>#VALUE!</v>
      </c>
      <c r="Y183">
        <v>0.71</v>
      </c>
      <c r="Z183" s="154" t="e">
        <f t="shared" si="24"/>
        <v>#VALUE!</v>
      </c>
      <c r="AA183">
        <v>0.71</v>
      </c>
      <c r="AB183" s="154" t="e">
        <f t="shared" si="25"/>
        <v>#VALUE!</v>
      </c>
      <c r="AC183">
        <v>0.71</v>
      </c>
      <c r="AD183" s="154" t="e">
        <f t="shared" si="26"/>
        <v>#VALUE!</v>
      </c>
      <c r="AE183">
        <v>0.71</v>
      </c>
    </row>
    <row r="184" spans="12:31" ht="15" x14ac:dyDescent="0.2">
      <c r="L184" s="154" t="e">
        <f t="shared" si="17"/>
        <v>#VALUE!</v>
      </c>
      <c r="M184">
        <v>0.72</v>
      </c>
      <c r="N184" s="154" t="e">
        <f t="shared" si="18"/>
        <v>#VALUE!</v>
      </c>
      <c r="O184">
        <v>0.72</v>
      </c>
      <c r="P184" s="154" t="e">
        <f t="shared" si="19"/>
        <v>#VALUE!</v>
      </c>
      <c r="Q184">
        <v>0.72</v>
      </c>
      <c r="R184" s="154" t="e">
        <f t="shared" si="20"/>
        <v>#VALUE!</v>
      </c>
      <c r="S184">
        <v>0.72</v>
      </c>
      <c r="T184" s="154" t="e">
        <f t="shared" si="21"/>
        <v>#VALUE!</v>
      </c>
      <c r="U184">
        <v>0.72</v>
      </c>
      <c r="V184" s="154" t="e">
        <f t="shared" si="22"/>
        <v>#VALUE!</v>
      </c>
      <c r="W184">
        <v>0.72</v>
      </c>
      <c r="X184" s="157" t="e">
        <f t="shared" si="23"/>
        <v>#VALUE!</v>
      </c>
      <c r="Y184">
        <v>0.72</v>
      </c>
      <c r="Z184" s="154" t="e">
        <f t="shared" si="24"/>
        <v>#VALUE!</v>
      </c>
      <c r="AA184">
        <v>0.72</v>
      </c>
      <c r="AB184" s="154" t="e">
        <f t="shared" si="25"/>
        <v>#VALUE!</v>
      </c>
      <c r="AC184">
        <v>0.72</v>
      </c>
      <c r="AD184" s="154" t="e">
        <f t="shared" si="26"/>
        <v>#VALUE!</v>
      </c>
      <c r="AE184">
        <v>0.72</v>
      </c>
    </row>
    <row r="185" spans="12:31" ht="15" x14ac:dyDescent="0.2">
      <c r="L185" s="154" t="e">
        <f t="shared" si="17"/>
        <v>#VALUE!</v>
      </c>
      <c r="M185">
        <v>0.73</v>
      </c>
      <c r="N185" s="154" t="e">
        <f t="shared" si="18"/>
        <v>#VALUE!</v>
      </c>
      <c r="O185">
        <v>0.73</v>
      </c>
      <c r="P185" s="154" t="e">
        <f t="shared" si="19"/>
        <v>#VALUE!</v>
      </c>
      <c r="Q185">
        <v>0.73</v>
      </c>
      <c r="R185" s="154" t="e">
        <f t="shared" si="20"/>
        <v>#VALUE!</v>
      </c>
      <c r="S185">
        <v>0.73</v>
      </c>
      <c r="T185" s="154" t="e">
        <f t="shared" si="21"/>
        <v>#VALUE!</v>
      </c>
      <c r="U185">
        <v>0.73</v>
      </c>
      <c r="V185" s="154" t="e">
        <f t="shared" si="22"/>
        <v>#VALUE!</v>
      </c>
      <c r="W185">
        <v>0.73</v>
      </c>
      <c r="X185" s="157" t="e">
        <f t="shared" si="23"/>
        <v>#VALUE!</v>
      </c>
      <c r="Y185">
        <v>0.73</v>
      </c>
      <c r="Z185" s="154" t="e">
        <f t="shared" si="24"/>
        <v>#VALUE!</v>
      </c>
      <c r="AA185">
        <v>0.73</v>
      </c>
      <c r="AB185" s="154" t="e">
        <f t="shared" si="25"/>
        <v>#VALUE!</v>
      </c>
      <c r="AC185">
        <v>0.73</v>
      </c>
      <c r="AD185" s="154" t="e">
        <f t="shared" si="26"/>
        <v>#VALUE!</v>
      </c>
      <c r="AE185">
        <v>0.73</v>
      </c>
    </row>
    <row r="186" spans="12:31" ht="15" x14ac:dyDescent="0.2">
      <c r="L186" s="154" t="e">
        <f t="shared" si="17"/>
        <v>#VALUE!</v>
      </c>
      <c r="M186">
        <v>0.74</v>
      </c>
      <c r="N186" s="154" t="e">
        <f t="shared" si="18"/>
        <v>#VALUE!</v>
      </c>
      <c r="O186">
        <v>0.74</v>
      </c>
      <c r="P186" s="154" t="e">
        <f t="shared" si="19"/>
        <v>#VALUE!</v>
      </c>
      <c r="Q186">
        <v>0.74</v>
      </c>
      <c r="R186" s="154" t="e">
        <f t="shared" si="20"/>
        <v>#VALUE!</v>
      </c>
      <c r="S186">
        <v>0.74</v>
      </c>
      <c r="T186" s="154" t="e">
        <f t="shared" si="21"/>
        <v>#VALUE!</v>
      </c>
      <c r="U186">
        <v>0.74</v>
      </c>
      <c r="V186" s="154" t="e">
        <f t="shared" si="22"/>
        <v>#VALUE!</v>
      </c>
      <c r="W186">
        <v>0.74</v>
      </c>
      <c r="X186" s="157" t="e">
        <f t="shared" si="23"/>
        <v>#VALUE!</v>
      </c>
      <c r="Y186">
        <v>0.74</v>
      </c>
      <c r="Z186" s="154" t="e">
        <f t="shared" si="24"/>
        <v>#VALUE!</v>
      </c>
      <c r="AA186">
        <v>0.74</v>
      </c>
      <c r="AB186" s="154" t="e">
        <f t="shared" si="25"/>
        <v>#VALUE!</v>
      </c>
      <c r="AC186">
        <v>0.74</v>
      </c>
      <c r="AD186" s="154" t="e">
        <f t="shared" si="26"/>
        <v>#VALUE!</v>
      </c>
      <c r="AE186">
        <v>0.74</v>
      </c>
    </row>
    <row r="187" spans="12:31" ht="15" x14ac:dyDescent="0.2">
      <c r="L187" s="154" t="e">
        <f t="shared" si="17"/>
        <v>#VALUE!</v>
      </c>
      <c r="M187">
        <v>0.75</v>
      </c>
      <c r="N187" s="154" t="e">
        <f t="shared" si="18"/>
        <v>#VALUE!</v>
      </c>
      <c r="O187">
        <v>0.75</v>
      </c>
      <c r="P187" s="154" t="e">
        <f t="shared" si="19"/>
        <v>#VALUE!</v>
      </c>
      <c r="Q187">
        <v>0.75</v>
      </c>
      <c r="R187" s="154" t="e">
        <f t="shared" si="20"/>
        <v>#VALUE!</v>
      </c>
      <c r="S187">
        <v>0.75</v>
      </c>
      <c r="T187" s="154" t="e">
        <f t="shared" si="21"/>
        <v>#VALUE!</v>
      </c>
      <c r="U187">
        <v>0.75</v>
      </c>
      <c r="V187" s="154" t="e">
        <f t="shared" si="22"/>
        <v>#VALUE!</v>
      </c>
      <c r="W187">
        <v>0.75</v>
      </c>
      <c r="X187" s="157" t="e">
        <f t="shared" si="23"/>
        <v>#VALUE!</v>
      </c>
      <c r="Y187">
        <v>0.75</v>
      </c>
      <c r="Z187" s="154" t="e">
        <f t="shared" si="24"/>
        <v>#VALUE!</v>
      </c>
      <c r="AA187">
        <v>0.75</v>
      </c>
      <c r="AB187" s="154" t="e">
        <f t="shared" si="25"/>
        <v>#VALUE!</v>
      </c>
      <c r="AC187">
        <v>0.75</v>
      </c>
      <c r="AD187" s="154" t="e">
        <f t="shared" si="26"/>
        <v>#VALUE!</v>
      </c>
      <c r="AE187">
        <v>0.75</v>
      </c>
    </row>
    <row r="188" spans="12:31" ht="15" x14ac:dyDescent="0.2">
      <c r="L188" s="154" t="e">
        <f t="shared" si="17"/>
        <v>#VALUE!</v>
      </c>
      <c r="M188">
        <v>0.76</v>
      </c>
      <c r="N188" s="154" t="e">
        <f t="shared" si="18"/>
        <v>#VALUE!</v>
      </c>
      <c r="O188">
        <v>0.76</v>
      </c>
      <c r="P188" s="154" t="e">
        <f t="shared" si="19"/>
        <v>#VALUE!</v>
      </c>
      <c r="Q188">
        <v>0.76</v>
      </c>
      <c r="R188" s="154" t="e">
        <f t="shared" si="20"/>
        <v>#VALUE!</v>
      </c>
      <c r="S188">
        <v>0.76</v>
      </c>
      <c r="T188" s="154" t="e">
        <f t="shared" si="21"/>
        <v>#VALUE!</v>
      </c>
      <c r="U188">
        <v>0.76</v>
      </c>
      <c r="V188" s="154" t="e">
        <f t="shared" si="22"/>
        <v>#VALUE!</v>
      </c>
      <c r="W188">
        <v>0.76</v>
      </c>
      <c r="X188" s="157" t="e">
        <f t="shared" si="23"/>
        <v>#VALUE!</v>
      </c>
      <c r="Y188">
        <v>0.76</v>
      </c>
      <c r="Z188" s="154" t="e">
        <f t="shared" si="24"/>
        <v>#VALUE!</v>
      </c>
      <c r="AA188">
        <v>0.76</v>
      </c>
      <c r="AB188" s="154" t="e">
        <f t="shared" si="25"/>
        <v>#VALUE!</v>
      </c>
      <c r="AC188">
        <v>0.76</v>
      </c>
      <c r="AD188" s="154" t="e">
        <f t="shared" si="26"/>
        <v>#VALUE!</v>
      </c>
      <c r="AE188">
        <v>0.76</v>
      </c>
    </row>
    <row r="189" spans="12:31" ht="15" x14ac:dyDescent="0.2">
      <c r="L189" s="154" t="e">
        <f t="shared" si="17"/>
        <v>#VALUE!</v>
      </c>
      <c r="M189">
        <v>0.77</v>
      </c>
      <c r="N189" s="154" t="e">
        <f t="shared" si="18"/>
        <v>#VALUE!</v>
      </c>
      <c r="O189">
        <v>0.77</v>
      </c>
      <c r="P189" s="154" t="e">
        <f t="shared" si="19"/>
        <v>#VALUE!</v>
      </c>
      <c r="Q189">
        <v>0.77</v>
      </c>
      <c r="R189" s="154" t="e">
        <f t="shared" si="20"/>
        <v>#VALUE!</v>
      </c>
      <c r="S189">
        <v>0.77</v>
      </c>
      <c r="T189" s="154" t="e">
        <f t="shared" si="21"/>
        <v>#VALUE!</v>
      </c>
      <c r="U189">
        <v>0.77</v>
      </c>
      <c r="V189" s="154" t="e">
        <f t="shared" si="22"/>
        <v>#VALUE!</v>
      </c>
      <c r="W189">
        <v>0.77</v>
      </c>
      <c r="X189" s="157" t="e">
        <f t="shared" si="23"/>
        <v>#VALUE!</v>
      </c>
      <c r="Y189">
        <v>0.77</v>
      </c>
      <c r="Z189" s="154" t="e">
        <f t="shared" si="24"/>
        <v>#VALUE!</v>
      </c>
      <c r="AA189">
        <v>0.77</v>
      </c>
      <c r="AB189" s="154" t="e">
        <f t="shared" si="25"/>
        <v>#VALUE!</v>
      </c>
      <c r="AC189">
        <v>0.77</v>
      </c>
      <c r="AD189" s="154" t="e">
        <f t="shared" si="26"/>
        <v>#VALUE!</v>
      </c>
      <c r="AE189">
        <v>0.77</v>
      </c>
    </row>
    <row r="190" spans="12:31" ht="15" x14ac:dyDescent="0.2">
      <c r="L190" s="154" t="e">
        <f t="shared" si="17"/>
        <v>#VALUE!</v>
      </c>
      <c r="M190">
        <v>0.78</v>
      </c>
      <c r="N190" s="154" t="e">
        <f t="shared" si="18"/>
        <v>#VALUE!</v>
      </c>
      <c r="O190">
        <v>0.78</v>
      </c>
      <c r="P190" s="154" t="e">
        <f t="shared" si="19"/>
        <v>#VALUE!</v>
      </c>
      <c r="Q190">
        <v>0.78</v>
      </c>
      <c r="R190" s="154" t="e">
        <f t="shared" si="20"/>
        <v>#VALUE!</v>
      </c>
      <c r="S190">
        <v>0.78</v>
      </c>
      <c r="T190" s="154" t="e">
        <f t="shared" si="21"/>
        <v>#VALUE!</v>
      </c>
      <c r="U190">
        <v>0.78</v>
      </c>
      <c r="V190" s="154" t="e">
        <f t="shared" si="22"/>
        <v>#VALUE!</v>
      </c>
      <c r="W190">
        <v>0.78</v>
      </c>
      <c r="X190" s="157" t="e">
        <f t="shared" si="23"/>
        <v>#VALUE!</v>
      </c>
      <c r="Y190">
        <v>0.78</v>
      </c>
      <c r="Z190" s="154" t="e">
        <f t="shared" si="24"/>
        <v>#VALUE!</v>
      </c>
      <c r="AA190">
        <v>0.78</v>
      </c>
      <c r="AB190" s="154" t="e">
        <f t="shared" si="25"/>
        <v>#VALUE!</v>
      </c>
      <c r="AC190">
        <v>0.78</v>
      </c>
      <c r="AD190" s="154" t="e">
        <f t="shared" si="26"/>
        <v>#VALUE!</v>
      </c>
      <c r="AE190">
        <v>0.78</v>
      </c>
    </row>
    <row r="191" spans="12:31" ht="15" x14ac:dyDescent="0.2">
      <c r="L191" s="154" t="e">
        <f t="shared" si="17"/>
        <v>#VALUE!</v>
      </c>
      <c r="M191">
        <v>0.79</v>
      </c>
      <c r="N191" s="154" t="e">
        <f t="shared" si="18"/>
        <v>#VALUE!</v>
      </c>
      <c r="O191">
        <v>0.79</v>
      </c>
      <c r="P191" s="154" t="e">
        <f t="shared" si="19"/>
        <v>#VALUE!</v>
      </c>
      <c r="Q191">
        <v>0.79</v>
      </c>
      <c r="R191" s="154" t="e">
        <f t="shared" si="20"/>
        <v>#VALUE!</v>
      </c>
      <c r="S191">
        <v>0.79</v>
      </c>
      <c r="T191" s="154" t="e">
        <f t="shared" si="21"/>
        <v>#VALUE!</v>
      </c>
      <c r="U191">
        <v>0.79</v>
      </c>
      <c r="V191" s="154" t="e">
        <f t="shared" si="22"/>
        <v>#VALUE!</v>
      </c>
      <c r="W191">
        <v>0.79</v>
      </c>
      <c r="X191" s="157" t="e">
        <f t="shared" si="23"/>
        <v>#VALUE!</v>
      </c>
      <c r="Y191">
        <v>0.79</v>
      </c>
      <c r="Z191" s="154" t="e">
        <f t="shared" si="24"/>
        <v>#VALUE!</v>
      </c>
      <c r="AA191">
        <v>0.79</v>
      </c>
      <c r="AB191" s="154" t="e">
        <f t="shared" si="25"/>
        <v>#VALUE!</v>
      </c>
      <c r="AC191">
        <v>0.79</v>
      </c>
      <c r="AD191" s="154" t="e">
        <f t="shared" si="26"/>
        <v>#VALUE!</v>
      </c>
      <c r="AE191">
        <v>0.79</v>
      </c>
    </row>
    <row r="192" spans="12:31" ht="15" x14ac:dyDescent="0.2">
      <c r="L192" s="154" t="e">
        <f t="shared" si="17"/>
        <v>#VALUE!</v>
      </c>
      <c r="M192">
        <v>0.8</v>
      </c>
      <c r="N192" s="154" t="e">
        <f t="shared" si="18"/>
        <v>#VALUE!</v>
      </c>
      <c r="O192">
        <v>0.8</v>
      </c>
      <c r="P192" s="154" t="e">
        <f t="shared" si="19"/>
        <v>#VALUE!</v>
      </c>
      <c r="Q192">
        <v>0.8</v>
      </c>
      <c r="R192" s="154" t="e">
        <f t="shared" si="20"/>
        <v>#VALUE!</v>
      </c>
      <c r="S192">
        <v>0.8</v>
      </c>
      <c r="T192" s="154" t="e">
        <f t="shared" si="21"/>
        <v>#VALUE!</v>
      </c>
      <c r="U192">
        <v>0.8</v>
      </c>
      <c r="V192" s="154" t="e">
        <f t="shared" si="22"/>
        <v>#VALUE!</v>
      </c>
      <c r="W192">
        <v>0.8</v>
      </c>
      <c r="X192" s="157" t="e">
        <f t="shared" si="23"/>
        <v>#VALUE!</v>
      </c>
      <c r="Y192">
        <v>0.8</v>
      </c>
      <c r="Z192" s="154" t="e">
        <f t="shared" si="24"/>
        <v>#VALUE!</v>
      </c>
      <c r="AA192">
        <v>0.8</v>
      </c>
      <c r="AB192" s="154" t="e">
        <f t="shared" si="25"/>
        <v>#VALUE!</v>
      </c>
      <c r="AC192">
        <v>0.8</v>
      </c>
      <c r="AD192" s="154" t="e">
        <f t="shared" si="26"/>
        <v>#VALUE!</v>
      </c>
      <c r="AE192">
        <v>0.8</v>
      </c>
    </row>
    <row r="193" spans="12:31" ht="15" x14ac:dyDescent="0.2">
      <c r="L193" s="154" t="e">
        <f t="shared" si="17"/>
        <v>#VALUE!</v>
      </c>
      <c r="M193">
        <v>0.81</v>
      </c>
      <c r="N193" s="154" t="e">
        <f t="shared" si="18"/>
        <v>#VALUE!</v>
      </c>
      <c r="O193">
        <v>0.81</v>
      </c>
      <c r="P193" s="154" t="e">
        <f t="shared" si="19"/>
        <v>#VALUE!</v>
      </c>
      <c r="Q193">
        <v>0.81</v>
      </c>
      <c r="R193" s="154" t="e">
        <f t="shared" si="20"/>
        <v>#VALUE!</v>
      </c>
      <c r="S193">
        <v>0.81</v>
      </c>
      <c r="T193" s="154" t="e">
        <f t="shared" si="21"/>
        <v>#VALUE!</v>
      </c>
      <c r="U193">
        <v>0.81</v>
      </c>
      <c r="V193" s="154" t="e">
        <f t="shared" si="22"/>
        <v>#VALUE!</v>
      </c>
      <c r="W193">
        <v>0.81</v>
      </c>
      <c r="X193" s="157" t="e">
        <f t="shared" si="23"/>
        <v>#VALUE!</v>
      </c>
      <c r="Y193">
        <v>0.81</v>
      </c>
      <c r="Z193" s="154" t="e">
        <f t="shared" si="24"/>
        <v>#VALUE!</v>
      </c>
      <c r="AA193">
        <v>0.81</v>
      </c>
      <c r="AB193" s="154" t="e">
        <f t="shared" si="25"/>
        <v>#VALUE!</v>
      </c>
      <c r="AC193">
        <v>0.81</v>
      </c>
      <c r="AD193" s="154" t="e">
        <f t="shared" si="26"/>
        <v>#VALUE!</v>
      </c>
      <c r="AE193">
        <v>0.81</v>
      </c>
    </row>
    <row r="194" spans="12:31" ht="15" x14ac:dyDescent="0.2">
      <c r="L194" s="154" t="e">
        <f t="shared" si="17"/>
        <v>#VALUE!</v>
      </c>
      <c r="M194">
        <v>0.82</v>
      </c>
      <c r="N194" s="154" t="e">
        <f t="shared" si="18"/>
        <v>#VALUE!</v>
      </c>
      <c r="O194">
        <v>0.82</v>
      </c>
      <c r="P194" s="154" t="e">
        <f t="shared" si="19"/>
        <v>#VALUE!</v>
      </c>
      <c r="Q194">
        <v>0.82</v>
      </c>
      <c r="R194" s="154" t="e">
        <f t="shared" si="20"/>
        <v>#VALUE!</v>
      </c>
      <c r="S194">
        <v>0.82</v>
      </c>
      <c r="T194" s="154" t="e">
        <f t="shared" si="21"/>
        <v>#VALUE!</v>
      </c>
      <c r="U194">
        <v>0.82</v>
      </c>
      <c r="V194" s="154" t="e">
        <f t="shared" si="22"/>
        <v>#VALUE!</v>
      </c>
      <c r="W194">
        <v>0.82</v>
      </c>
      <c r="X194" s="157" t="e">
        <f t="shared" si="23"/>
        <v>#VALUE!</v>
      </c>
      <c r="Y194">
        <v>0.82</v>
      </c>
      <c r="Z194" s="154" t="e">
        <f t="shared" si="24"/>
        <v>#VALUE!</v>
      </c>
      <c r="AA194">
        <v>0.82</v>
      </c>
      <c r="AB194" s="154" t="e">
        <f t="shared" si="25"/>
        <v>#VALUE!</v>
      </c>
      <c r="AC194">
        <v>0.82</v>
      </c>
      <c r="AD194" s="154" t="e">
        <f t="shared" si="26"/>
        <v>#VALUE!</v>
      </c>
      <c r="AE194">
        <v>0.82</v>
      </c>
    </row>
    <row r="195" spans="12:31" ht="15" x14ac:dyDescent="0.2">
      <c r="L195" s="154" t="e">
        <f t="shared" si="17"/>
        <v>#VALUE!</v>
      </c>
      <c r="M195">
        <v>0.83</v>
      </c>
      <c r="N195" s="154" t="e">
        <f t="shared" si="18"/>
        <v>#VALUE!</v>
      </c>
      <c r="O195">
        <v>0.83</v>
      </c>
      <c r="P195" s="154" t="e">
        <f t="shared" si="19"/>
        <v>#VALUE!</v>
      </c>
      <c r="Q195">
        <v>0.83</v>
      </c>
      <c r="R195" s="154" t="e">
        <f t="shared" si="20"/>
        <v>#VALUE!</v>
      </c>
      <c r="S195">
        <v>0.83</v>
      </c>
      <c r="T195" s="154" t="e">
        <f t="shared" si="21"/>
        <v>#VALUE!</v>
      </c>
      <c r="U195">
        <v>0.83</v>
      </c>
      <c r="V195" s="154" t="e">
        <f t="shared" si="22"/>
        <v>#VALUE!</v>
      </c>
      <c r="W195">
        <v>0.83</v>
      </c>
      <c r="X195" s="157" t="e">
        <f t="shared" si="23"/>
        <v>#VALUE!</v>
      </c>
      <c r="Y195">
        <v>0.83</v>
      </c>
      <c r="Z195" s="154" t="e">
        <f t="shared" si="24"/>
        <v>#VALUE!</v>
      </c>
      <c r="AA195">
        <v>0.83</v>
      </c>
      <c r="AB195" s="154" t="e">
        <f t="shared" si="25"/>
        <v>#VALUE!</v>
      </c>
      <c r="AC195">
        <v>0.83</v>
      </c>
      <c r="AD195" s="154" t="e">
        <f t="shared" si="26"/>
        <v>#VALUE!</v>
      </c>
      <c r="AE195">
        <v>0.83</v>
      </c>
    </row>
    <row r="196" spans="12:31" ht="15" x14ac:dyDescent="0.2">
      <c r="L196" s="154" t="e">
        <f t="shared" si="17"/>
        <v>#VALUE!</v>
      </c>
      <c r="M196">
        <v>0.84</v>
      </c>
      <c r="N196" s="154" t="e">
        <f t="shared" si="18"/>
        <v>#VALUE!</v>
      </c>
      <c r="O196">
        <v>0.84</v>
      </c>
      <c r="P196" s="154" t="e">
        <f t="shared" si="19"/>
        <v>#VALUE!</v>
      </c>
      <c r="Q196">
        <v>0.84</v>
      </c>
      <c r="R196" s="154" t="e">
        <f t="shared" si="20"/>
        <v>#VALUE!</v>
      </c>
      <c r="S196">
        <v>0.84</v>
      </c>
      <c r="T196" s="154" t="e">
        <f t="shared" si="21"/>
        <v>#VALUE!</v>
      </c>
      <c r="U196">
        <v>0.84</v>
      </c>
      <c r="V196" s="154" t="e">
        <f t="shared" si="22"/>
        <v>#VALUE!</v>
      </c>
      <c r="W196">
        <v>0.84</v>
      </c>
      <c r="X196" s="157" t="e">
        <f t="shared" si="23"/>
        <v>#VALUE!</v>
      </c>
      <c r="Y196">
        <v>0.84</v>
      </c>
      <c r="Z196" s="154" t="e">
        <f t="shared" si="24"/>
        <v>#VALUE!</v>
      </c>
      <c r="AA196">
        <v>0.84</v>
      </c>
      <c r="AB196" s="154" t="e">
        <f t="shared" si="25"/>
        <v>#VALUE!</v>
      </c>
      <c r="AC196">
        <v>0.84</v>
      </c>
      <c r="AD196" s="154" t="e">
        <f t="shared" si="26"/>
        <v>#VALUE!</v>
      </c>
      <c r="AE196">
        <v>0.84</v>
      </c>
    </row>
    <row r="197" spans="12:31" ht="15" x14ac:dyDescent="0.2">
      <c r="L197" s="154" t="e">
        <f t="shared" si="17"/>
        <v>#VALUE!</v>
      </c>
      <c r="M197">
        <v>0.85</v>
      </c>
      <c r="N197" s="154" t="e">
        <f t="shared" si="18"/>
        <v>#VALUE!</v>
      </c>
      <c r="O197">
        <v>0.85</v>
      </c>
      <c r="P197" s="154" t="e">
        <f t="shared" si="19"/>
        <v>#VALUE!</v>
      </c>
      <c r="Q197">
        <v>0.85</v>
      </c>
      <c r="R197" s="154" t="e">
        <f t="shared" si="20"/>
        <v>#VALUE!</v>
      </c>
      <c r="S197">
        <v>0.85</v>
      </c>
      <c r="T197" s="154" t="e">
        <f t="shared" si="21"/>
        <v>#VALUE!</v>
      </c>
      <c r="U197">
        <v>0.85</v>
      </c>
      <c r="V197" s="154" t="e">
        <f t="shared" si="22"/>
        <v>#VALUE!</v>
      </c>
      <c r="W197">
        <v>0.85</v>
      </c>
      <c r="X197" s="157" t="e">
        <f t="shared" si="23"/>
        <v>#VALUE!</v>
      </c>
      <c r="Y197">
        <v>0.85</v>
      </c>
      <c r="Z197" s="154" t="e">
        <f t="shared" si="24"/>
        <v>#VALUE!</v>
      </c>
      <c r="AA197">
        <v>0.85</v>
      </c>
      <c r="AB197" s="154" t="e">
        <f t="shared" si="25"/>
        <v>#VALUE!</v>
      </c>
      <c r="AC197">
        <v>0.85</v>
      </c>
      <c r="AD197" s="154" t="e">
        <f t="shared" si="26"/>
        <v>#VALUE!</v>
      </c>
      <c r="AE197">
        <v>0.85</v>
      </c>
    </row>
    <row r="198" spans="12:31" ht="15" x14ac:dyDescent="0.2">
      <c r="L198" s="154" t="e">
        <f t="shared" si="17"/>
        <v>#VALUE!</v>
      </c>
      <c r="M198">
        <v>0.86</v>
      </c>
      <c r="N198" s="154" t="e">
        <f t="shared" si="18"/>
        <v>#VALUE!</v>
      </c>
      <c r="O198">
        <v>0.86</v>
      </c>
      <c r="P198" s="154" t="e">
        <f t="shared" si="19"/>
        <v>#VALUE!</v>
      </c>
      <c r="Q198">
        <v>0.86</v>
      </c>
      <c r="R198" s="154" t="e">
        <f t="shared" si="20"/>
        <v>#VALUE!</v>
      </c>
      <c r="S198">
        <v>0.86</v>
      </c>
      <c r="T198" s="154" t="e">
        <f t="shared" si="21"/>
        <v>#VALUE!</v>
      </c>
      <c r="U198">
        <v>0.86</v>
      </c>
      <c r="V198" s="154" t="e">
        <f t="shared" si="22"/>
        <v>#VALUE!</v>
      </c>
      <c r="W198">
        <v>0.86</v>
      </c>
      <c r="X198" s="157" t="e">
        <f t="shared" si="23"/>
        <v>#VALUE!</v>
      </c>
      <c r="Y198">
        <v>0.86</v>
      </c>
      <c r="Z198" s="154" t="e">
        <f t="shared" si="24"/>
        <v>#VALUE!</v>
      </c>
      <c r="AA198">
        <v>0.86</v>
      </c>
      <c r="AB198" s="154" t="e">
        <f t="shared" si="25"/>
        <v>#VALUE!</v>
      </c>
      <c r="AC198">
        <v>0.86</v>
      </c>
      <c r="AD198" s="154" t="e">
        <f t="shared" si="26"/>
        <v>#VALUE!</v>
      </c>
      <c r="AE198">
        <v>0.86</v>
      </c>
    </row>
    <row r="199" spans="12:31" ht="15" x14ac:dyDescent="0.2">
      <c r="L199" s="154" t="e">
        <f t="shared" si="17"/>
        <v>#VALUE!</v>
      </c>
      <c r="M199">
        <v>0.87</v>
      </c>
      <c r="N199" s="154" t="e">
        <f t="shared" si="18"/>
        <v>#VALUE!</v>
      </c>
      <c r="O199">
        <v>0.87</v>
      </c>
      <c r="P199" s="154" t="e">
        <f t="shared" si="19"/>
        <v>#VALUE!</v>
      </c>
      <c r="Q199">
        <v>0.87</v>
      </c>
      <c r="R199" s="154" t="e">
        <f t="shared" si="20"/>
        <v>#VALUE!</v>
      </c>
      <c r="S199">
        <v>0.87</v>
      </c>
      <c r="T199" s="154" t="e">
        <f t="shared" si="21"/>
        <v>#VALUE!</v>
      </c>
      <c r="U199">
        <v>0.87</v>
      </c>
      <c r="V199" s="154" t="e">
        <f t="shared" si="22"/>
        <v>#VALUE!</v>
      </c>
      <c r="W199">
        <v>0.87</v>
      </c>
      <c r="X199" s="157" t="e">
        <f t="shared" si="23"/>
        <v>#VALUE!</v>
      </c>
      <c r="Y199">
        <v>0.87</v>
      </c>
      <c r="Z199" s="154" t="e">
        <f t="shared" si="24"/>
        <v>#VALUE!</v>
      </c>
      <c r="AA199">
        <v>0.87</v>
      </c>
      <c r="AB199" s="154" t="e">
        <f t="shared" si="25"/>
        <v>#VALUE!</v>
      </c>
      <c r="AC199">
        <v>0.87</v>
      </c>
      <c r="AD199" s="154" t="e">
        <f t="shared" si="26"/>
        <v>#VALUE!</v>
      </c>
      <c r="AE199">
        <v>0.87</v>
      </c>
    </row>
    <row r="200" spans="12:31" ht="15" x14ac:dyDescent="0.2">
      <c r="L200" s="154" t="e">
        <f t="shared" si="17"/>
        <v>#VALUE!</v>
      </c>
      <c r="M200">
        <v>0.88</v>
      </c>
      <c r="N200" s="154" t="e">
        <f t="shared" si="18"/>
        <v>#VALUE!</v>
      </c>
      <c r="O200">
        <v>0.88</v>
      </c>
      <c r="P200" s="154" t="e">
        <f t="shared" si="19"/>
        <v>#VALUE!</v>
      </c>
      <c r="Q200">
        <v>0.88</v>
      </c>
      <c r="R200" s="154" t="e">
        <f t="shared" si="20"/>
        <v>#VALUE!</v>
      </c>
      <c r="S200">
        <v>0.88</v>
      </c>
      <c r="T200" s="154" t="e">
        <f t="shared" si="21"/>
        <v>#VALUE!</v>
      </c>
      <c r="U200">
        <v>0.88</v>
      </c>
      <c r="V200" s="154" t="e">
        <f t="shared" si="22"/>
        <v>#VALUE!</v>
      </c>
      <c r="W200">
        <v>0.88</v>
      </c>
      <c r="X200" s="157" t="e">
        <f t="shared" si="23"/>
        <v>#VALUE!</v>
      </c>
      <c r="Y200">
        <v>0.88</v>
      </c>
      <c r="Z200" s="154" t="e">
        <f t="shared" si="24"/>
        <v>#VALUE!</v>
      </c>
      <c r="AA200">
        <v>0.88</v>
      </c>
      <c r="AB200" s="154" t="e">
        <f t="shared" si="25"/>
        <v>#VALUE!</v>
      </c>
      <c r="AC200">
        <v>0.88</v>
      </c>
      <c r="AD200" s="154" t="e">
        <f t="shared" si="26"/>
        <v>#VALUE!</v>
      </c>
      <c r="AE200">
        <v>0.88</v>
      </c>
    </row>
    <row r="201" spans="12:31" ht="15" x14ac:dyDescent="0.2">
      <c r="L201" s="154" t="e">
        <f t="shared" si="17"/>
        <v>#VALUE!</v>
      </c>
      <c r="M201">
        <v>0.89</v>
      </c>
      <c r="N201" s="154" t="e">
        <f t="shared" si="18"/>
        <v>#VALUE!</v>
      </c>
      <c r="O201">
        <v>0.89</v>
      </c>
      <c r="P201" s="154" t="e">
        <f t="shared" si="19"/>
        <v>#VALUE!</v>
      </c>
      <c r="Q201">
        <v>0.89</v>
      </c>
      <c r="R201" s="154" t="e">
        <f t="shared" si="20"/>
        <v>#VALUE!</v>
      </c>
      <c r="S201">
        <v>0.89</v>
      </c>
      <c r="T201" s="154" t="e">
        <f t="shared" si="21"/>
        <v>#VALUE!</v>
      </c>
      <c r="U201">
        <v>0.89</v>
      </c>
      <c r="V201" s="154" t="e">
        <f t="shared" si="22"/>
        <v>#VALUE!</v>
      </c>
      <c r="W201">
        <v>0.89</v>
      </c>
      <c r="X201" s="157" t="e">
        <f t="shared" si="23"/>
        <v>#VALUE!</v>
      </c>
      <c r="Y201">
        <v>0.89</v>
      </c>
      <c r="Z201" s="154" t="e">
        <f t="shared" si="24"/>
        <v>#VALUE!</v>
      </c>
      <c r="AA201">
        <v>0.89</v>
      </c>
      <c r="AB201" s="154" t="e">
        <f t="shared" si="25"/>
        <v>#VALUE!</v>
      </c>
      <c r="AC201">
        <v>0.89</v>
      </c>
      <c r="AD201" s="154" t="e">
        <f t="shared" si="26"/>
        <v>#VALUE!</v>
      </c>
      <c r="AE201">
        <v>0.89</v>
      </c>
    </row>
    <row r="202" spans="12:31" ht="15" x14ac:dyDescent="0.2">
      <c r="L202" s="154" t="e">
        <f t="shared" si="17"/>
        <v>#VALUE!</v>
      </c>
      <c r="M202">
        <v>0.9</v>
      </c>
      <c r="N202" s="154" t="e">
        <f t="shared" si="18"/>
        <v>#VALUE!</v>
      </c>
      <c r="O202">
        <v>0.9</v>
      </c>
      <c r="P202" s="154" t="e">
        <f t="shared" si="19"/>
        <v>#VALUE!</v>
      </c>
      <c r="Q202">
        <v>0.9</v>
      </c>
      <c r="R202" s="154" t="e">
        <f t="shared" si="20"/>
        <v>#VALUE!</v>
      </c>
      <c r="S202">
        <v>0.9</v>
      </c>
      <c r="T202" s="154" t="e">
        <f t="shared" si="21"/>
        <v>#VALUE!</v>
      </c>
      <c r="U202">
        <v>0.9</v>
      </c>
      <c r="V202" s="154" t="e">
        <f t="shared" si="22"/>
        <v>#VALUE!</v>
      </c>
      <c r="W202">
        <v>0.9</v>
      </c>
      <c r="X202" s="157" t="e">
        <f t="shared" si="23"/>
        <v>#VALUE!</v>
      </c>
      <c r="Y202">
        <v>0.9</v>
      </c>
      <c r="Z202" s="154" t="e">
        <f t="shared" si="24"/>
        <v>#VALUE!</v>
      </c>
      <c r="AA202">
        <v>0.9</v>
      </c>
      <c r="AB202" s="154" t="e">
        <f t="shared" si="25"/>
        <v>#VALUE!</v>
      </c>
      <c r="AC202">
        <v>0.9</v>
      </c>
      <c r="AD202" s="154" t="e">
        <f t="shared" si="26"/>
        <v>#VALUE!</v>
      </c>
      <c r="AE202">
        <v>0.9</v>
      </c>
    </row>
    <row r="203" spans="12:31" ht="15" x14ac:dyDescent="0.2">
      <c r="L203" s="154" t="e">
        <f t="shared" si="17"/>
        <v>#VALUE!</v>
      </c>
      <c r="M203">
        <v>0.91</v>
      </c>
      <c r="N203" s="154" t="e">
        <f t="shared" si="18"/>
        <v>#VALUE!</v>
      </c>
      <c r="O203">
        <v>0.91</v>
      </c>
      <c r="P203" s="154" t="e">
        <f t="shared" si="19"/>
        <v>#VALUE!</v>
      </c>
      <c r="Q203">
        <v>0.91</v>
      </c>
      <c r="R203" s="154" t="e">
        <f t="shared" si="20"/>
        <v>#VALUE!</v>
      </c>
      <c r="S203">
        <v>0.91</v>
      </c>
      <c r="T203" s="154" t="e">
        <f t="shared" si="21"/>
        <v>#VALUE!</v>
      </c>
      <c r="U203">
        <v>0.91</v>
      </c>
      <c r="V203" s="154" t="e">
        <f t="shared" si="22"/>
        <v>#VALUE!</v>
      </c>
      <c r="W203">
        <v>0.91</v>
      </c>
      <c r="X203" s="157" t="e">
        <f t="shared" si="23"/>
        <v>#VALUE!</v>
      </c>
      <c r="Y203">
        <v>0.91</v>
      </c>
      <c r="Z203" s="154" t="e">
        <f t="shared" si="24"/>
        <v>#VALUE!</v>
      </c>
      <c r="AA203">
        <v>0.91</v>
      </c>
      <c r="AB203" s="154" t="e">
        <f t="shared" si="25"/>
        <v>#VALUE!</v>
      </c>
      <c r="AC203">
        <v>0.91</v>
      </c>
      <c r="AD203" s="154" t="e">
        <f t="shared" si="26"/>
        <v>#VALUE!</v>
      </c>
      <c r="AE203">
        <v>0.91</v>
      </c>
    </row>
    <row r="204" spans="12:31" ht="15" x14ac:dyDescent="0.2">
      <c r="L204" s="154" t="e">
        <f t="shared" si="17"/>
        <v>#VALUE!</v>
      </c>
      <c r="M204">
        <v>0.92</v>
      </c>
      <c r="N204" s="154" t="e">
        <f t="shared" si="18"/>
        <v>#VALUE!</v>
      </c>
      <c r="O204">
        <v>0.92</v>
      </c>
      <c r="P204" s="154" t="e">
        <f t="shared" si="19"/>
        <v>#VALUE!</v>
      </c>
      <c r="Q204">
        <v>0.92</v>
      </c>
      <c r="R204" s="154" t="e">
        <f t="shared" si="20"/>
        <v>#VALUE!</v>
      </c>
      <c r="S204">
        <v>0.92</v>
      </c>
      <c r="T204" s="154" t="e">
        <f t="shared" si="21"/>
        <v>#VALUE!</v>
      </c>
      <c r="U204">
        <v>0.92</v>
      </c>
      <c r="V204" s="154" t="e">
        <f t="shared" si="22"/>
        <v>#VALUE!</v>
      </c>
      <c r="W204">
        <v>0.92</v>
      </c>
      <c r="X204" s="157" t="e">
        <f t="shared" si="23"/>
        <v>#VALUE!</v>
      </c>
      <c r="Y204">
        <v>0.92</v>
      </c>
      <c r="Z204" s="154" t="e">
        <f t="shared" si="24"/>
        <v>#VALUE!</v>
      </c>
      <c r="AA204">
        <v>0.92</v>
      </c>
      <c r="AB204" s="154" t="e">
        <f t="shared" si="25"/>
        <v>#VALUE!</v>
      </c>
      <c r="AC204">
        <v>0.92</v>
      </c>
      <c r="AD204" s="154" t="e">
        <f t="shared" si="26"/>
        <v>#VALUE!</v>
      </c>
      <c r="AE204">
        <v>0.92</v>
      </c>
    </row>
    <row r="205" spans="12:31" ht="15" x14ac:dyDescent="0.2">
      <c r="L205" s="154" t="e">
        <f t="shared" si="17"/>
        <v>#VALUE!</v>
      </c>
      <c r="M205">
        <v>0.93</v>
      </c>
      <c r="N205" s="154" t="e">
        <f t="shared" si="18"/>
        <v>#VALUE!</v>
      </c>
      <c r="O205">
        <v>0.93</v>
      </c>
      <c r="P205" s="154" t="e">
        <f t="shared" si="19"/>
        <v>#VALUE!</v>
      </c>
      <c r="Q205">
        <v>0.93</v>
      </c>
      <c r="R205" s="154" t="e">
        <f t="shared" si="20"/>
        <v>#VALUE!</v>
      </c>
      <c r="S205">
        <v>0.93</v>
      </c>
      <c r="T205" s="154" t="e">
        <f t="shared" si="21"/>
        <v>#VALUE!</v>
      </c>
      <c r="U205">
        <v>0.93</v>
      </c>
      <c r="V205" s="154" t="e">
        <f t="shared" si="22"/>
        <v>#VALUE!</v>
      </c>
      <c r="W205">
        <v>0.93</v>
      </c>
      <c r="X205" s="157" t="e">
        <f t="shared" si="23"/>
        <v>#VALUE!</v>
      </c>
      <c r="Y205">
        <v>0.93</v>
      </c>
      <c r="Z205" s="154" t="e">
        <f t="shared" si="24"/>
        <v>#VALUE!</v>
      </c>
      <c r="AA205">
        <v>0.93</v>
      </c>
      <c r="AB205" s="154" t="e">
        <f t="shared" si="25"/>
        <v>#VALUE!</v>
      </c>
      <c r="AC205">
        <v>0.93</v>
      </c>
      <c r="AD205" s="154" t="e">
        <f t="shared" si="26"/>
        <v>#VALUE!</v>
      </c>
      <c r="AE205">
        <v>0.93</v>
      </c>
    </row>
    <row r="206" spans="12:31" ht="15" x14ac:dyDescent="0.2">
      <c r="L206" s="154" t="e">
        <f t="shared" si="17"/>
        <v>#VALUE!</v>
      </c>
      <c r="M206">
        <v>0.94</v>
      </c>
      <c r="N206" s="154" t="e">
        <f t="shared" si="18"/>
        <v>#VALUE!</v>
      </c>
      <c r="O206">
        <v>0.94</v>
      </c>
      <c r="P206" s="154" t="e">
        <f t="shared" si="19"/>
        <v>#VALUE!</v>
      </c>
      <c r="Q206">
        <v>0.94</v>
      </c>
      <c r="R206" s="154" t="e">
        <f t="shared" si="20"/>
        <v>#VALUE!</v>
      </c>
      <c r="S206">
        <v>0.94</v>
      </c>
      <c r="T206" s="154" t="e">
        <f t="shared" si="21"/>
        <v>#VALUE!</v>
      </c>
      <c r="U206">
        <v>0.94</v>
      </c>
      <c r="V206" s="154" t="e">
        <f t="shared" si="22"/>
        <v>#VALUE!</v>
      </c>
      <c r="W206">
        <v>0.94</v>
      </c>
      <c r="X206" s="157" t="e">
        <f t="shared" si="23"/>
        <v>#VALUE!</v>
      </c>
      <c r="Y206">
        <v>0.94</v>
      </c>
      <c r="Z206" s="154" t="e">
        <f t="shared" si="24"/>
        <v>#VALUE!</v>
      </c>
      <c r="AA206">
        <v>0.94</v>
      </c>
      <c r="AB206" s="154" t="e">
        <f t="shared" si="25"/>
        <v>#VALUE!</v>
      </c>
      <c r="AC206">
        <v>0.94</v>
      </c>
      <c r="AD206" s="154" t="e">
        <f t="shared" si="26"/>
        <v>#VALUE!</v>
      </c>
      <c r="AE206">
        <v>0.94</v>
      </c>
    </row>
    <row r="207" spans="12:31" ht="15" x14ac:dyDescent="0.2">
      <c r="L207" s="154" t="e">
        <f t="shared" si="17"/>
        <v>#VALUE!</v>
      </c>
      <c r="M207">
        <v>0.95</v>
      </c>
      <c r="N207" s="154" t="e">
        <f t="shared" si="18"/>
        <v>#VALUE!</v>
      </c>
      <c r="O207">
        <v>0.95</v>
      </c>
      <c r="P207" s="154" t="e">
        <f t="shared" si="19"/>
        <v>#VALUE!</v>
      </c>
      <c r="Q207">
        <v>0.95</v>
      </c>
      <c r="R207" s="154" t="e">
        <f t="shared" si="20"/>
        <v>#VALUE!</v>
      </c>
      <c r="S207">
        <v>0.95</v>
      </c>
      <c r="T207" s="154" t="e">
        <f t="shared" si="21"/>
        <v>#VALUE!</v>
      </c>
      <c r="U207">
        <v>0.95</v>
      </c>
      <c r="V207" s="154" t="e">
        <f t="shared" si="22"/>
        <v>#VALUE!</v>
      </c>
      <c r="W207">
        <v>0.95</v>
      </c>
      <c r="X207" s="157" t="e">
        <f t="shared" si="23"/>
        <v>#VALUE!</v>
      </c>
      <c r="Y207">
        <v>0.95</v>
      </c>
      <c r="Z207" s="154" t="e">
        <f t="shared" si="24"/>
        <v>#VALUE!</v>
      </c>
      <c r="AA207">
        <v>0.95</v>
      </c>
      <c r="AB207" s="154" t="e">
        <f t="shared" si="25"/>
        <v>#VALUE!</v>
      </c>
      <c r="AC207">
        <v>0.95</v>
      </c>
      <c r="AD207" s="154" t="e">
        <f t="shared" si="26"/>
        <v>#VALUE!</v>
      </c>
      <c r="AE207">
        <v>0.95</v>
      </c>
    </row>
    <row r="208" spans="12:31" ht="15" x14ac:dyDescent="0.2">
      <c r="L208" s="154" t="e">
        <f t="shared" si="17"/>
        <v>#VALUE!</v>
      </c>
      <c r="M208">
        <v>0.96</v>
      </c>
      <c r="N208" s="154" t="e">
        <f t="shared" si="18"/>
        <v>#VALUE!</v>
      </c>
      <c r="O208">
        <v>0.96</v>
      </c>
      <c r="P208" s="154" t="e">
        <f t="shared" si="19"/>
        <v>#VALUE!</v>
      </c>
      <c r="Q208">
        <v>0.96</v>
      </c>
      <c r="R208" s="154" t="e">
        <f t="shared" si="20"/>
        <v>#VALUE!</v>
      </c>
      <c r="S208">
        <v>0.96</v>
      </c>
      <c r="T208" s="154" t="e">
        <f t="shared" si="21"/>
        <v>#VALUE!</v>
      </c>
      <c r="U208">
        <v>0.96</v>
      </c>
      <c r="V208" s="154" t="e">
        <f t="shared" si="22"/>
        <v>#VALUE!</v>
      </c>
      <c r="W208">
        <v>0.96</v>
      </c>
      <c r="X208" s="157" t="e">
        <f t="shared" si="23"/>
        <v>#VALUE!</v>
      </c>
      <c r="Y208">
        <v>0.96</v>
      </c>
      <c r="Z208" s="154" t="e">
        <f t="shared" si="24"/>
        <v>#VALUE!</v>
      </c>
      <c r="AA208">
        <v>0.96</v>
      </c>
      <c r="AB208" s="154" t="e">
        <f t="shared" si="25"/>
        <v>#VALUE!</v>
      </c>
      <c r="AC208">
        <v>0.96</v>
      </c>
      <c r="AD208" s="154" t="e">
        <f t="shared" si="26"/>
        <v>#VALUE!</v>
      </c>
      <c r="AE208">
        <v>0.96</v>
      </c>
    </row>
    <row r="209" spans="12:31" ht="15" x14ac:dyDescent="0.2">
      <c r="L209" s="154" t="e">
        <f t="shared" si="17"/>
        <v>#VALUE!</v>
      </c>
      <c r="M209">
        <v>0.97</v>
      </c>
      <c r="N209" s="154" t="e">
        <f t="shared" si="18"/>
        <v>#VALUE!</v>
      </c>
      <c r="O209">
        <v>0.97</v>
      </c>
      <c r="P209" s="154" t="e">
        <f t="shared" si="19"/>
        <v>#VALUE!</v>
      </c>
      <c r="Q209">
        <v>0.97</v>
      </c>
      <c r="R209" s="154" t="e">
        <f t="shared" si="20"/>
        <v>#VALUE!</v>
      </c>
      <c r="S209">
        <v>0.97</v>
      </c>
      <c r="T209" s="154" t="e">
        <f t="shared" si="21"/>
        <v>#VALUE!</v>
      </c>
      <c r="U209">
        <v>0.97</v>
      </c>
      <c r="V209" s="154" t="e">
        <f t="shared" si="22"/>
        <v>#VALUE!</v>
      </c>
      <c r="W209">
        <v>0.97</v>
      </c>
      <c r="X209" s="157" t="e">
        <f t="shared" si="23"/>
        <v>#VALUE!</v>
      </c>
      <c r="Y209">
        <v>0.97</v>
      </c>
      <c r="Z209" s="154" t="e">
        <f t="shared" si="24"/>
        <v>#VALUE!</v>
      </c>
      <c r="AA209">
        <v>0.97</v>
      </c>
      <c r="AB209" s="154" t="e">
        <f t="shared" si="25"/>
        <v>#VALUE!</v>
      </c>
      <c r="AC209">
        <v>0.97</v>
      </c>
      <c r="AD209" s="154" t="e">
        <f t="shared" si="26"/>
        <v>#VALUE!</v>
      </c>
      <c r="AE209">
        <v>0.97</v>
      </c>
    </row>
    <row r="210" spans="12:31" ht="15" x14ac:dyDescent="0.2">
      <c r="L210" s="154" t="e">
        <f t="shared" si="17"/>
        <v>#VALUE!</v>
      </c>
      <c r="M210">
        <v>0.98</v>
      </c>
      <c r="N210" s="154" t="e">
        <f t="shared" si="18"/>
        <v>#VALUE!</v>
      </c>
      <c r="O210">
        <v>0.98</v>
      </c>
      <c r="P210" s="154" t="e">
        <f t="shared" si="19"/>
        <v>#VALUE!</v>
      </c>
      <c r="Q210">
        <v>0.98</v>
      </c>
      <c r="R210" s="154" t="e">
        <f t="shared" si="20"/>
        <v>#VALUE!</v>
      </c>
      <c r="S210">
        <v>0.98</v>
      </c>
      <c r="T210" s="154" t="e">
        <f t="shared" si="21"/>
        <v>#VALUE!</v>
      </c>
      <c r="U210">
        <v>0.98</v>
      </c>
      <c r="V210" s="154" t="e">
        <f t="shared" si="22"/>
        <v>#VALUE!</v>
      </c>
      <c r="W210">
        <v>0.98</v>
      </c>
      <c r="X210" s="157" t="e">
        <f t="shared" si="23"/>
        <v>#VALUE!</v>
      </c>
      <c r="Y210">
        <v>0.98</v>
      </c>
      <c r="Z210" s="154" t="e">
        <f t="shared" si="24"/>
        <v>#VALUE!</v>
      </c>
      <c r="AA210">
        <v>0.98</v>
      </c>
      <c r="AB210" s="154" t="e">
        <f t="shared" si="25"/>
        <v>#VALUE!</v>
      </c>
      <c r="AC210">
        <v>0.98</v>
      </c>
      <c r="AD210" s="154" t="e">
        <f t="shared" si="26"/>
        <v>#VALUE!</v>
      </c>
      <c r="AE210">
        <v>0.98</v>
      </c>
    </row>
    <row r="211" spans="12:31" ht="15" x14ac:dyDescent="0.2">
      <c r="L211" s="154" t="e">
        <f t="shared" si="17"/>
        <v>#VALUE!</v>
      </c>
      <c r="M211">
        <v>0.99</v>
      </c>
      <c r="N211" s="154" t="e">
        <f t="shared" si="18"/>
        <v>#VALUE!</v>
      </c>
      <c r="O211">
        <v>0.99</v>
      </c>
      <c r="P211" s="154" t="e">
        <f t="shared" si="19"/>
        <v>#VALUE!</v>
      </c>
      <c r="Q211">
        <v>0.99</v>
      </c>
      <c r="R211" s="154" t="e">
        <f t="shared" si="20"/>
        <v>#VALUE!</v>
      </c>
      <c r="S211">
        <v>0.99</v>
      </c>
      <c r="T211" s="154" t="e">
        <f t="shared" si="21"/>
        <v>#VALUE!</v>
      </c>
      <c r="U211">
        <v>0.99</v>
      </c>
      <c r="V211" s="154" t="e">
        <f t="shared" si="22"/>
        <v>#VALUE!</v>
      </c>
      <c r="W211">
        <v>0.99</v>
      </c>
      <c r="X211" s="157" t="e">
        <f t="shared" si="23"/>
        <v>#VALUE!</v>
      </c>
      <c r="Y211">
        <v>0.99</v>
      </c>
      <c r="Z211" s="154" t="e">
        <f t="shared" si="24"/>
        <v>#VALUE!</v>
      </c>
      <c r="AA211">
        <v>0.99</v>
      </c>
      <c r="AB211" s="154" t="e">
        <f t="shared" si="25"/>
        <v>#VALUE!</v>
      </c>
      <c r="AC211">
        <v>0.99</v>
      </c>
      <c r="AD211" s="154" t="e">
        <f t="shared" si="26"/>
        <v>#VALUE!</v>
      </c>
      <c r="AE211">
        <v>0.99</v>
      </c>
    </row>
    <row r="212" spans="12:31" ht="15" x14ac:dyDescent="0.2">
      <c r="L212" s="154" t="e">
        <f t="shared" si="17"/>
        <v>#VALUE!</v>
      </c>
      <c r="M212">
        <v>1</v>
      </c>
      <c r="N212" s="154" t="e">
        <f t="shared" si="18"/>
        <v>#VALUE!</v>
      </c>
      <c r="O212">
        <v>1</v>
      </c>
      <c r="P212" s="154" t="e">
        <f t="shared" si="19"/>
        <v>#VALUE!</v>
      </c>
      <c r="Q212">
        <v>1</v>
      </c>
      <c r="R212" s="154" t="e">
        <f t="shared" si="20"/>
        <v>#VALUE!</v>
      </c>
      <c r="S212">
        <v>1</v>
      </c>
      <c r="T212" s="154" t="e">
        <f t="shared" si="21"/>
        <v>#VALUE!</v>
      </c>
      <c r="U212">
        <v>1</v>
      </c>
      <c r="V212" s="154" t="e">
        <f t="shared" si="22"/>
        <v>#VALUE!</v>
      </c>
      <c r="W212">
        <v>1</v>
      </c>
      <c r="X212" s="157" t="e">
        <f t="shared" si="23"/>
        <v>#VALUE!</v>
      </c>
      <c r="Y212">
        <v>1</v>
      </c>
      <c r="Z212" s="154" t="e">
        <f t="shared" si="24"/>
        <v>#VALUE!</v>
      </c>
      <c r="AA212">
        <v>1</v>
      </c>
      <c r="AB212" s="154" t="e">
        <f t="shared" si="25"/>
        <v>#VALUE!</v>
      </c>
      <c r="AC212">
        <v>1</v>
      </c>
      <c r="AD212" s="154" t="e">
        <f t="shared" si="26"/>
        <v>#VALUE!</v>
      </c>
      <c r="AE212">
        <v>1</v>
      </c>
    </row>
    <row r="213" spans="12:31" ht="15" x14ac:dyDescent="0.2">
      <c r="L213" s="154" t="e">
        <f t="shared" si="17"/>
        <v>#VALUE!</v>
      </c>
      <c r="M213">
        <v>1.01</v>
      </c>
      <c r="N213" s="154" t="e">
        <f t="shared" si="18"/>
        <v>#VALUE!</v>
      </c>
      <c r="O213">
        <v>1.01</v>
      </c>
      <c r="P213" s="154" t="e">
        <f t="shared" si="19"/>
        <v>#VALUE!</v>
      </c>
      <c r="Q213">
        <v>1.01</v>
      </c>
      <c r="R213" s="154" t="e">
        <f t="shared" si="20"/>
        <v>#VALUE!</v>
      </c>
      <c r="S213">
        <v>1.01</v>
      </c>
      <c r="T213" s="154" t="e">
        <f t="shared" si="21"/>
        <v>#VALUE!</v>
      </c>
      <c r="U213">
        <v>1.01</v>
      </c>
      <c r="V213" s="154" t="e">
        <f t="shared" si="22"/>
        <v>#VALUE!</v>
      </c>
      <c r="W213">
        <v>1.01</v>
      </c>
      <c r="X213" s="157" t="e">
        <f t="shared" si="23"/>
        <v>#VALUE!</v>
      </c>
      <c r="Y213">
        <v>1.01</v>
      </c>
      <c r="Z213" s="154" t="e">
        <f t="shared" si="24"/>
        <v>#VALUE!</v>
      </c>
      <c r="AA213">
        <v>1.01</v>
      </c>
      <c r="AB213" s="154" t="e">
        <f t="shared" si="25"/>
        <v>#VALUE!</v>
      </c>
      <c r="AC213">
        <v>1.01</v>
      </c>
      <c r="AD213" s="154" t="e">
        <f t="shared" si="26"/>
        <v>#VALUE!</v>
      </c>
      <c r="AE213">
        <v>1.01</v>
      </c>
    </row>
    <row r="214" spans="12:31" ht="15" x14ac:dyDescent="0.2">
      <c r="L214" s="154" t="e">
        <f t="shared" si="17"/>
        <v>#VALUE!</v>
      </c>
      <c r="M214">
        <v>1.02</v>
      </c>
      <c r="N214" s="154" t="e">
        <f t="shared" si="18"/>
        <v>#VALUE!</v>
      </c>
      <c r="O214">
        <v>1.02</v>
      </c>
      <c r="P214" s="154" t="e">
        <f t="shared" si="19"/>
        <v>#VALUE!</v>
      </c>
      <c r="Q214">
        <v>1.02</v>
      </c>
      <c r="R214" s="154" t="e">
        <f t="shared" si="20"/>
        <v>#VALUE!</v>
      </c>
      <c r="S214">
        <v>1.02</v>
      </c>
      <c r="T214" s="154" t="e">
        <f t="shared" si="21"/>
        <v>#VALUE!</v>
      </c>
      <c r="U214">
        <v>1.02</v>
      </c>
      <c r="V214" s="154" t="e">
        <f t="shared" si="22"/>
        <v>#VALUE!</v>
      </c>
      <c r="W214">
        <v>1.02</v>
      </c>
      <c r="X214" s="157" t="e">
        <f t="shared" si="23"/>
        <v>#VALUE!</v>
      </c>
      <c r="Y214">
        <v>1.02</v>
      </c>
      <c r="Z214" s="154" t="e">
        <f t="shared" si="24"/>
        <v>#VALUE!</v>
      </c>
      <c r="AA214">
        <v>1.02</v>
      </c>
      <c r="AB214" s="154" t="e">
        <f t="shared" si="25"/>
        <v>#VALUE!</v>
      </c>
      <c r="AC214">
        <v>1.02</v>
      </c>
      <c r="AD214" s="154" t="e">
        <f t="shared" si="26"/>
        <v>#VALUE!</v>
      </c>
      <c r="AE214">
        <v>1.02</v>
      </c>
    </row>
    <row r="215" spans="12:31" ht="15" x14ac:dyDescent="0.2">
      <c r="L215" s="154" t="e">
        <f t="shared" si="17"/>
        <v>#VALUE!</v>
      </c>
      <c r="M215">
        <v>1.03</v>
      </c>
      <c r="N215" s="154" t="e">
        <f t="shared" si="18"/>
        <v>#VALUE!</v>
      </c>
      <c r="O215">
        <v>1.03</v>
      </c>
      <c r="P215" s="154" t="e">
        <f t="shared" si="19"/>
        <v>#VALUE!</v>
      </c>
      <c r="Q215">
        <v>1.03</v>
      </c>
      <c r="R215" s="154" t="e">
        <f t="shared" si="20"/>
        <v>#VALUE!</v>
      </c>
      <c r="S215">
        <v>1.03</v>
      </c>
      <c r="T215" s="154" t="e">
        <f t="shared" si="21"/>
        <v>#VALUE!</v>
      </c>
      <c r="U215">
        <v>1.03</v>
      </c>
      <c r="V215" s="154" t="e">
        <f t="shared" si="22"/>
        <v>#VALUE!</v>
      </c>
      <c r="W215">
        <v>1.03</v>
      </c>
      <c r="X215" s="157" t="e">
        <f t="shared" si="23"/>
        <v>#VALUE!</v>
      </c>
      <c r="Y215">
        <v>1.03</v>
      </c>
      <c r="Z215" s="154" t="e">
        <f t="shared" si="24"/>
        <v>#VALUE!</v>
      </c>
      <c r="AA215">
        <v>1.03</v>
      </c>
      <c r="AB215" s="154" t="e">
        <f t="shared" si="25"/>
        <v>#VALUE!</v>
      </c>
      <c r="AC215">
        <v>1.03</v>
      </c>
      <c r="AD215" s="154" t="e">
        <f t="shared" si="26"/>
        <v>#VALUE!</v>
      </c>
      <c r="AE215">
        <v>1.03</v>
      </c>
    </row>
    <row r="216" spans="12:31" ht="15" x14ac:dyDescent="0.2">
      <c r="L216" s="154" t="e">
        <f t="shared" si="17"/>
        <v>#VALUE!</v>
      </c>
      <c r="M216">
        <v>1.04</v>
      </c>
      <c r="N216" s="154" t="e">
        <f t="shared" si="18"/>
        <v>#VALUE!</v>
      </c>
      <c r="O216">
        <v>1.04</v>
      </c>
      <c r="P216" s="154" t="e">
        <f t="shared" si="19"/>
        <v>#VALUE!</v>
      </c>
      <c r="Q216">
        <v>1.04</v>
      </c>
      <c r="R216" s="154" t="e">
        <f t="shared" si="20"/>
        <v>#VALUE!</v>
      </c>
      <c r="S216">
        <v>1.04</v>
      </c>
      <c r="T216" s="154" t="e">
        <f t="shared" si="21"/>
        <v>#VALUE!</v>
      </c>
      <c r="U216">
        <v>1.04</v>
      </c>
      <c r="V216" s="154" t="e">
        <f t="shared" si="22"/>
        <v>#VALUE!</v>
      </c>
      <c r="W216">
        <v>1.04</v>
      </c>
      <c r="X216" s="157" t="e">
        <f t="shared" si="23"/>
        <v>#VALUE!</v>
      </c>
      <c r="Y216">
        <v>1.04</v>
      </c>
      <c r="Z216" s="154" t="e">
        <f t="shared" si="24"/>
        <v>#VALUE!</v>
      </c>
      <c r="AA216">
        <v>1.04</v>
      </c>
      <c r="AB216" s="154" t="e">
        <f t="shared" si="25"/>
        <v>#VALUE!</v>
      </c>
      <c r="AC216">
        <v>1.04</v>
      </c>
      <c r="AD216" s="154" t="e">
        <f t="shared" si="26"/>
        <v>#VALUE!</v>
      </c>
      <c r="AE216">
        <v>1.04</v>
      </c>
    </row>
    <row r="217" spans="12:31" ht="15" x14ac:dyDescent="0.2">
      <c r="L217" s="154" t="e">
        <f t="shared" si="17"/>
        <v>#VALUE!</v>
      </c>
      <c r="M217">
        <v>1.05</v>
      </c>
      <c r="N217" s="154" t="e">
        <f t="shared" si="18"/>
        <v>#VALUE!</v>
      </c>
      <c r="O217">
        <v>1.05</v>
      </c>
      <c r="P217" s="154" t="e">
        <f t="shared" si="19"/>
        <v>#VALUE!</v>
      </c>
      <c r="Q217">
        <v>1.05</v>
      </c>
      <c r="R217" s="154" t="e">
        <f t="shared" si="20"/>
        <v>#VALUE!</v>
      </c>
      <c r="S217">
        <v>1.05</v>
      </c>
      <c r="T217" s="154" t="e">
        <f t="shared" si="21"/>
        <v>#VALUE!</v>
      </c>
      <c r="U217">
        <v>1.05</v>
      </c>
      <c r="V217" s="154" t="e">
        <f t="shared" si="22"/>
        <v>#VALUE!</v>
      </c>
      <c r="W217">
        <v>1.05</v>
      </c>
      <c r="X217" s="157" t="e">
        <f t="shared" si="23"/>
        <v>#VALUE!</v>
      </c>
      <c r="Y217">
        <v>1.05</v>
      </c>
      <c r="Z217" s="154" t="e">
        <f t="shared" si="24"/>
        <v>#VALUE!</v>
      </c>
      <c r="AA217">
        <v>1.05</v>
      </c>
      <c r="AB217" s="154" t="e">
        <f t="shared" si="25"/>
        <v>#VALUE!</v>
      </c>
      <c r="AC217">
        <v>1.05</v>
      </c>
      <c r="AD217" s="154" t="e">
        <f t="shared" si="26"/>
        <v>#VALUE!</v>
      </c>
      <c r="AE217">
        <v>1.05</v>
      </c>
    </row>
    <row r="218" spans="12:31" ht="15" x14ac:dyDescent="0.2">
      <c r="L218" s="154" t="e">
        <f t="shared" si="17"/>
        <v>#VALUE!</v>
      </c>
      <c r="M218">
        <v>1.06</v>
      </c>
      <c r="N218" s="154" t="e">
        <f t="shared" si="18"/>
        <v>#VALUE!</v>
      </c>
      <c r="O218">
        <v>1.06</v>
      </c>
      <c r="P218" s="154" t="e">
        <f t="shared" si="19"/>
        <v>#VALUE!</v>
      </c>
      <c r="Q218">
        <v>1.06</v>
      </c>
      <c r="R218" s="154" t="e">
        <f t="shared" si="20"/>
        <v>#VALUE!</v>
      </c>
      <c r="S218">
        <v>1.06</v>
      </c>
      <c r="T218" s="154" t="e">
        <f t="shared" si="21"/>
        <v>#VALUE!</v>
      </c>
      <c r="U218">
        <v>1.06</v>
      </c>
      <c r="V218" s="154" t="e">
        <f t="shared" si="22"/>
        <v>#VALUE!</v>
      </c>
      <c r="W218">
        <v>1.06</v>
      </c>
      <c r="X218" s="157" t="e">
        <f t="shared" si="23"/>
        <v>#VALUE!</v>
      </c>
      <c r="Y218">
        <v>1.06</v>
      </c>
      <c r="Z218" s="154" t="e">
        <f t="shared" si="24"/>
        <v>#VALUE!</v>
      </c>
      <c r="AA218">
        <v>1.06</v>
      </c>
      <c r="AB218" s="154" t="e">
        <f t="shared" si="25"/>
        <v>#VALUE!</v>
      </c>
      <c r="AC218">
        <v>1.06</v>
      </c>
      <c r="AD218" s="154" t="e">
        <f t="shared" si="26"/>
        <v>#VALUE!</v>
      </c>
      <c r="AE218">
        <v>1.06</v>
      </c>
    </row>
    <row r="219" spans="12:31" ht="15" x14ac:dyDescent="0.2">
      <c r="L219" s="154" t="e">
        <f t="shared" si="17"/>
        <v>#VALUE!</v>
      </c>
      <c r="M219">
        <v>1.07</v>
      </c>
      <c r="N219" s="154" t="e">
        <f t="shared" si="18"/>
        <v>#VALUE!</v>
      </c>
      <c r="O219">
        <v>1.07</v>
      </c>
      <c r="P219" s="154" t="e">
        <f t="shared" si="19"/>
        <v>#VALUE!</v>
      </c>
      <c r="Q219">
        <v>1.07</v>
      </c>
      <c r="R219" s="154" t="e">
        <f t="shared" si="20"/>
        <v>#VALUE!</v>
      </c>
      <c r="S219">
        <v>1.07</v>
      </c>
      <c r="T219" s="154" t="e">
        <f t="shared" si="21"/>
        <v>#VALUE!</v>
      </c>
      <c r="U219">
        <v>1.07</v>
      </c>
      <c r="V219" s="154" t="e">
        <f t="shared" si="22"/>
        <v>#VALUE!</v>
      </c>
      <c r="W219">
        <v>1.07</v>
      </c>
      <c r="X219" s="157" t="e">
        <f t="shared" si="23"/>
        <v>#VALUE!</v>
      </c>
      <c r="Y219">
        <v>1.07</v>
      </c>
      <c r="Z219" s="154" t="e">
        <f t="shared" si="24"/>
        <v>#VALUE!</v>
      </c>
      <c r="AA219">
        <v>1.07</v>
      </c>
      <c r="AB219" s="154" t="e">
        <f t="shared" si="25"/>
        <v>#VALUE!</v>
      </c>
      <c r="AC219">
        <v>1.07</v>
      </c>
      <c r="AD219" s="154" t="e">
        <f t="shared" si="26"/>
        <v>#VALUE!</v>
      </c>
      <c r="AE219">
        <v>1.07</v>
      </c>
    </row>
    <row r="220" spans="12:31" ht="15" x14ac:dyDescent="0.2">
      <c r="L220" s="154" t="e">
        <f t="shared" si="17"/>
        <v>#VALUE!</v>
      </c>
      <c r="M220">
        <v>1.08</v>
      </c>
      <c r="N220" s="154" t="e">
        <f t="shared" si="18"/>
        <v>#VALUE!</v>
      </c>
      <c r="O220">
        <v>1.08</v>
      </c>
      <c r="P220" s="154" t="e">
        <f t="shared" si="19"/>
        <v>#VALUE!</v>
      </c>
      <c r="Q220">
        <v>1.08</v>
      </c>
      <c r="R220" s="154" t="e">
        <f t="shared" si="20"/>
        <v>#VALUE!</v>
      </c>
      <c r="S220">
        <v>1.08</v>
      </c>
      <c r="T220" s="154" t="e">
        <f t="shared" si="21"/>
        <v>#VALUE!</v>
      </c>
      <c r="U220">
        <v>1.08</v>
      </c>
      <c r="V220" s="154" t="e">
        <f t="shared" si="22"/>
        <v>#VALUE!</v>
      </c>
      <c r="W220">
        <v>1.08</v>
      </c>
      <c r="X220" s="157" t="e">
        <f t="shared" si="23"/>
        <v>#VALUE!</v>
      </c>
      <c r="Y220">
        <v>1.08</v>
      </c>
      <c r="Z220" s="154" t="e">
        <f t="shared" si="24"/>
        <v>#VALUE!</v>
      </c>
      <c r="AA220">
        <v>1.08</v>
      </c>
      <c r="AB220" s="154" t="e">
        <f t="shared" si="25"/>
        <v>#VALUE!</v>
      </c>
      <c r="AC220">
        <v>1.08</v>
      </c>
      <c r="AD220" s="154" t="e">
        <f t="shared" si="26"/>
        <v>#VALUE!</v>
      </c>
      <c r="AE220">
        <v>1.08</v>
      </c>
    </row>
    <row r="221" spans="12:31" ht="15" x14ac:dyDescent="0.2">
      <c r="L221" s="154" t="e">
        <f t="shared" si="17"/>
        <v>#VALUE!</v>
      </c>
      <c r="M221">
        <v>1.0900000000000001</v>
      </c>
      <c r="N221" s="154" t="e">
        <f t="shared" si="18"/>
        <v>#VALUE!</v>
      </c>
      <c r="O221">
        <v>1.0900000000000001</v>
      </c>
      <c r="P221" s="154" t="e">
        <f t="shared" si="19"/>
        <v>#VALUE!</v>
      </c>
      <c r="Q221">
        <v>1.0900000000000001</v>
      </c>
      <c r="R221" s="154" t="e">
        <f t="shared" si="20"/>
        <v>#VALUE!</v>
      </c>
      <c r="S221">
        <v>1.0900000000000001</v>
      </c>
      <c r="T221" s="154" t="e">
        <f t="shared" si="21"/>
        <v>#VALUE!</v>
      </c>
      <c r="U221">
        <v>1.0900000000000001</v>
      </c>
      <c r="V221" s="154" t="e">
        <f t="shared" si="22"/>
        <v>#VALUE!</v>
      </c>
      <c r="W221">
        <v>1.0900000000000001</v>
      </c>
      <c r="X221" s="157" t="e">
        <f t="shared" si="23"/>
        <v>#VALUE!</v>
      </c>
      <c r="Y221">
        <v>1.0900000000000001</v>
      </c>
      <c r="Z221" s="154" t="e">
        <f t="shared" si="24"/>
        <v>#VALUE!</v>
      </c>
      <c r="AA221">
        <v>1.0900000000000001</v>
      </c>
      <c r="AB221" s="154" t="e">
        <f t="shared" si="25"/>
        <v>#VALUE!</v>
      </c>
      <c r="AC221">
        <v>1.0900000000000001</v>
      </c>
      <c r="AD221" s="154" t="e">
        <f t="shared" si="26"/>
        <v>#VALUE!</v>
      </c>
      <c r="AE221">
        <v>1.0900000000000001</v>
      </c>
    </row>
    <row r="222" spans="12:31" ht="15" x14ac:dyDescent="0.2">
      <c r="L222" s="154" t="e">
        <f t="shared" si="17"/>
        <v>#VALUE!</v>
      </c>
      <c r="M222">
        <v>1.1000000000000001</v>
      </c>
      <c r="N222" s="154" t="e">
        <f t="shared" si="18"/>
        <v>#VALUE!</v>
      </c>
      <c r="O222">
        <v>1.1000000000000001</v>
      </c>
      <c r="P222" s="154" t="e">
        <f t="shared" si="19"/>
        <v>#VALUE!</v>
      </c>
      <c r="Q222">
        <v>1.1000000000000001</v>
      </c>
      <c r="R222" s="154" t="e">
        <f t="shared" si="20"/>
        <v>#VALUE!</v>
      </c>
      <c r="S222">
        <v>1.1000000000000001</v>
      </c>
      <c r="T222" s="154" t="e">
        <f t="shared" si="21"/>
        <v>#VALUE!</v>
      </c>
      <c r="U222">
        <v>1.1000000000000001</v>
      </c>
      <c r="V222" s="154" t="e">
        <f t="shared" si="22"/>
        <v>#VALUE!</v>
      </c>
      <c r="W222">
        <v>1.1000000000000001</v>
      </c>
      <c r="X222" s="157" t="e">
        <f t="shared" si="23"/>
        <v>#VALUE!</v>
      </c>
      <c r="Y222">
        <v>1.1000000000000001</v>
      </c>
      <c r="Z222" s="154" t="e">
        <f t="shared" si="24"/>
        <v>#VALUE!</v>
      </c>
      <c r="AA222">
        <v>1.1000000000000001</v>
      </c>
      <c r="AB222" s="154" t="e">
        <f t="shared" si="25"/>
        <v>#VALUE!</v>
      </c>
      <c r="AC222">
        <v>1.1000000000000001</v>
      </c>
      <c r="AD222" s="154" t="e">
        <f t="shared" si="26"/>
        <v>#VALUE!</v>
      </c>
      <c r="AE222">
        <v>1.1000000000000001</v>
      </c>
    </row>
    <row r="223" spans="12:31" ht="15" x14ac:dyDescent="0.2">
      <c r="L223" s="154" t="e">
        <f t="shared" si="17"/>
        <v>#VALUE!</v>
      </c>
      <c r="M223">
        <v>1.1100000000000001</v>
      </c>
      <c r="N223" s="154" t="e">
        <f t="shared" si="18"/>
        <v>#VALUE!</v>
      </c>
      <c r="O223">
        <v>1.1100000000000001</v>
      </c>
      <c r="P223" s="154" t="e">
        <f t="shared" si="19"/>
        <v>#VALUE!</v>
      </c>
      <c r="Q223">
        <v>1.1100000000000001</v>
      </c>
      <c r="R223" s="154" t="e">
        <f t="shared" si="20"/>
        <v>#VALUE!</v>
      </c>
      <c r="S223">
        <v>1.1100000000000001</v>
      </c>
      <c r="T223" s="154" t="e">
        <f t="shared" si="21"/>
        <v>#VALUE!</v>
      </c>
      <c r="U223">
        <v>1.1100000000000001</v>
      </c>
      <c r="V223" s="154" t="e">
        <f t="shared" si="22"/>
        <v>#VALUE!</v>
      </c>
      <c r="W223">
        <v>1.1100000000000001</v>
      </c>
      <c r="X223" s="157" t="e">
        <f t="shared" si="23"/>
        <v>#VALUE!</v>
      </c>
      <c r="Y223">
        <v>1.1100000000000001</v>
      </c>
      <c r="Z223" s="154" t="e">
        <f t="shared" si="24"/>
        <v>#VALUE!</v>
      </c>
      <c r="AA223">
        <v>1.1100000000000001</v>
      </c>
      <c r="AB223" s="154" t="e">
        <f t="shared" si="25"/>
        <v>#VALUE!</v>
      </c>
      <c r="AC223">
        <v>1.1100000000000001</v>
      </c>
      <c r="AD223" s="154" t="e">
        <f t="shared" si="26"/>
        <v>#VALUE!</v>
      </c>
      <c r="AE223">
        <v>1.1100000000000001</v>
      </c>
    </row>
    <row r="224" spans="12:31" ht="15" x14ac:dyDescent="0.2">
      <c r="L224" s="154" t="e">
        <f t="shared" si="17"/>
        <v>#VALUE!</v>
      </c>
      <c r="M224">
        <v>1.1200000000000001</v>
      </c>
      <c r="N224" s="154" t="e">
        <f t="shared" si="18"/>
        <v>#VALUE!</v>
      </c>
      <c r="O224">
        <v>1.1200000000000001</v>
      </c>
      <c r="P224" s="154" t="e">
        <f t="shared" si="19"/>
        <v>#VALUE!</v>
      </c>
      <c r="Q224">
        <v>1.1200000000000001</v>
      </c>
      <c r="R224" s="154" t="e">
        <f t="shared" si="20"/>
        <v>#VALUE!</v>
      </c>
      <c r="S224">
        <v>1.1200000000000001</v>
      </c>
      <c r="T224" s="154" t="e">
        <f t="shared" si="21"/>
        <v>#VALUE!</v>
      </c>
      <c r="U224">
        <v>1.1200000000000001</v>
      </c>
      <c r="V224" s="154" t="e">
        <f t="shared" si="22"/>
        <v>#VALUE!</v>
      </c>
      <c r="W224">
        <v>1.1200000000000001</v>
      </c>
      <c r="X224" s="157" t="e">
        <f t="shared" si="23"/>
        <v>#VALUE!</v>
      </c>
      <c r="Y224">
        <v>1.1200000000000001</v>
      </c>
      <c r="Z224" s="154" t="e">
        <f t="shared" si="24"/>
        <v>#VALUE!</v>
      </c>
      <c r="AA224">
        <v>1.1200000000000001</v>
      </c>
      <c r="AB224" s="154" t="e">
        <f t="shared" si="25"/>
        <v>#VALUE!</v>
      </c>
      <c r="AC224">
        <v>1.1200000000000001</v>
      </c>
      <c r="AD224" s="154" t="e">
        <f t="shared" si="26"/>
        <v>#VALUE!</v>
      </c>
      <c r="AE224">
        <v>1.1200000000000001</v>
      </c>
    </row>
    <row r="225" spans="12:31" ht="15" x14ac:dyDescent="0.2">
      <c r="L225" s="154" t="e">
        <f t="shared" si="17"/>
        <v>#VALUE!</v>
      </c>
      <c r="M225">
        <v>1.1299999999999999</v>
      </c>
      <c r="N225" s="154" t="e">
        <f t="shared" si="18"/>
        <v>#VALUE!</v>
      </c>
      <c r="O225">
        <v>1.1299999999999999</v>
      </c>
      <c r="P225" s="154" t="e">
        <f t="shared" si="19"/>
        <v>#VALUE!</v>
      </c>
      <c r="Q225">
        <v>1.1299999999999999</v>
      </c>
      <c r="R225" s="154" t="e">
        <f t="shared" si="20"/>
        <v>#VALUE!</v>
      </c>
      <c r="S225">
        <v>1.1299999999999999</v>
      </c>
      <c r="T225" s="154" t="e">
        <f t="shared" si="21"/>
        <v>#VALUE!</v>
      </c>
      <c r="U225">
        <v>1.1299999999999999</v>
      </c>
      <c r="V225" s="154" t="e">
        <f t="shared" si="22"/>
        <v>#VALUE!</v>
      </c>
      <c r="W225">
        <v>1.1299999999999999</v>
      </c>
      <c r="X225" s="157" t="e">
        <f t="shared" si="23"/>
        <v>#VALUE!</v>
      </c>
      <c r="Y225">
        <v>1.1299999999999999</v>
      </c>
      <c r="Z225" s="154" t="e">
        <f t="shared" si="24"/>
        <v>#VALUE!</v>
      </c>
      <c r="AA225">
        <v>1.1299999999999999</v>
      </c>
      <c r="AB225" s="154" t="e">
        <f t="shared" si="25"/>
        <v>#VALUE!</v>
      </c>
      <c r="AC225">
        <v>1.1299999999999999</v>
      </c>
      <c r="AD225" s="154" t="e">
        <f t="shared" si="26"/>
        <v>#VALUE!</v>
      </c>
      <c r="AE225">
        <v>1.1299999999999999</v>
      </c>
    </row>
    <row r="226" spans="12:31" ht="15" x14ac:dyDescent="0.2">
      <c r="L226" s="154" t="e">
        <f t="shared" si="17"/>
        <v>#VALUE!</v>
      </c>
      <c r="M226">
        <v>1.1399999999999999</v>
      </c>
      <c r="N226" s="154" t="e">
        <f t="shared" si="18"/>
        <v>#VALUE!</v>
      </c>
      <c r="O226">
        <v>1.1399999999999999</v>
      </c>
      <c r="P226" s="154" t="e">
        <f t="shared" si="19"/>
        <v>#VALUE!</v>
      </c>
      <c r="Q226">
        <v>1.1399999999999999</v>
      </c>
      <c r="R226" s="154" t="e">
        <f t="shared" si="20"/>
        <v>#VALUE!</v>
      </c>
      <c r="S226">
        <v>1.1399999999999999</v>
      </c>
      <c r="T226" s="154" t="e">
        <f t="shared" si="21"/>
        <v>#VALUE!</v>
      </c>
      <c r="U226">
        <v>1.1399999999999999</v>
      </c>
      <c r="V226" s="154" t="e">
        <f t="shared" si="22"/>
        <v>#VALUE!</v>
      </c>
      <c r="W226">
        <v>1.1399999999999999</v>
      </c>
      <c r="X226" s="157" t="e">
        <f t="shared" si="23"/>
        <v>#VALUE!</v>
      </c>
      <c r="Y226">
        <v>1.1399999999999999</v>
      </c>
      <c r="Z226" s="154" t="e">
        <f t="shared" si="24"/>
        <v>#VALUE!</v>
      </c>
      <c r="AA226">
        <v>1.1399999999999999</v>
      </c>
      <c r="AB226" s="154" t="e">
        <f t="shared" si="25"/>
        <v>#VALUE!</v>
      </c>
      <c r="AC226">
        <v>1.1399999999999999</v>
      </c>
      <c r="AD226" s="154" t="e">
        <f t="shared" si="26"/>
        <v>#VALUE!</v>
      </c>
      <c r="AE226">
        <v>1.1399999999999999</v>
      </c>
    </row>
    <row r="227" spans="12:31" ht="15" x14ac:dyDescent="0.2">
      <c r="L227" s="154" t="e">
        <f t="shared" si="17"/>
        <v>#VALUE!</v>
      </c>
      <c r="M227">
        <v>1.1499999999999999</v>
      </c>
      <c r="N227" s="154" t="e">
        <f t="shared" si="18"/>
        <v>#VALUE!</v>
      </c>
      <c r="O227">
        <v>1.1499999999999999</v>
      </c>
      <c r="P227" s="154" t="e">
        <f t="shared" si="19"/>
        <v>#VALUE!</v>
      </c>
      <c r="Q227">
        <v>1.1499999999999999</v>
      </c>
      <c r="R227" s="154" t="e">
        <f t="shared" si="20"/>
        <v>#VALUE!</v>
      </c>
      <c r="S227">
        <v>1.1499999999999999</v>
      </c>
      <c r="T227" s="154" t="e">
        <f t="shared" si="21"/>
        <v>#VALUE!</v>
      </c>
      <c r="U227">
        <v>1.1499999999999999</v>
      </c>
      <c r="V227" s="154" t="e">
        <f t="shared" si="22"/>
        <v>#VALUE!</v>
      </c>
      <c r="W227">
        <v>1.1499999999999999</v>
      </c>
      <c r="X227" s="157" t="e">
        <f t="shared" si="23"/>
        <v>#VALUE!</v>
      </c>
      <c r="Y227">
        <v>1.1499999999999999</v>
      </c>
      <c r="Z227" s="154" t="e">
        <f t="shared" si="24"/>
        <v>#VALUE!</v>
      </c>
      <c r="AA227">
        <v>1.1499999999999999</v>
      </c>
      <c r="AB227" s="154" t="e">
        <f t="shared" si="25"/>
        <v>#VALUE!</v>
      </c>
      <c r="AC227">
        <v>1.1499999999999999</v>
      </c>
      <c r="AD227" s="154" t="e">
        <f t="shared" si="26"/>
        <v>#VALUE!</v>
      </c>
      <c r="AE227">
        <v>1.1499999999999999</v>
      </c>
    </row>
    <row r="228" spans="12:31" ht="15" x14ac:dyDescent="0.2">
      <c r="L228" s="154" t="e">
        <f t="shared" si="17"/>
        <v>#VALUE!</v>
      </c>
      <c r="M228">
        <v>1.1599999999999999</v>
      </c>
      <c r="N228" s="154" t="e">
        <f t="shared" si="18"/>
        <v>#VALUE!</v>
      </c>
      <c r="O228">
        <v>1.1599999999999999</v>
      </c>
      <c r="P228" s="154" t="e">
        <f t="shared" si="19"/>
        <v>#VALUE!</v>
      </c>
      <c r="Q228">
        <v>1.1599999999999999</v>
      </c>
      <c r="R228" s="154" t="e">
        <f t="shared" si="20"/>
        <v>#VALUE!</v>
      </c>
      <c r="S228">
        <v>1.1599999999999999</v>
      </c>
      <c r="T228" s="154" t="e">
        <f t="shared" si="21"/>
        <v>#VALUE!</v>
      </c>
      <c r="U228">
        <v>1.1599999999999999</v>
      </c>
      <c r="V228" s="154" t="e">
        <f t="shared" si="22"/>
        <v>#VALUE!</v>
      </c>
      <c r="W228">
        <v>1.1599999999999999</v>
      </c>
      <c r="X228" s="157" t="e">
        <f t="shared" si="23"/>
        <v>#VALUE!</v>
      </c>
      <c r="Y228">
        <v>1.1599999999999999</v>
      </c>
      <c r="Z228" s="154" t="e">
        <f t="shared" si="24"/>
        <v>#VALUE!</v>
      </c>
      <c r="AA228">
        <v>1.1599999999999999</v>
      </c>
      <c r="AB228" s="154" t="e">
        <f t="shared" si="25"/>
        <v>#VALUE!</v>
      </c>
      <c r="AC228">
        <v>1.1599999999999999</v>
      </c>
      <c r="AD228" s="154" t="e">
        <f t="shared" si="26"/>
        <v>#VALUE!</v>
      </c>
      <c r="AE228">
        <v>1.1599999999999999</v>
      </c>
    </row>
    <row r="229" spans="12:31" ht="15" x14ac:dyDescent="0.2">
      <c r="L229" s="154" t="e">
        <f t="shared" si="17"/>
        <v>#VALUE!</v>
      </c>
      <c r="M229">
        <v>1.17</v>
      </c>
      <c r="N229" s="154" t="e">
        <f t="shared" si="18"/>
        <v>#VALUE!</v>
      </c>
      <c r="O229">
        <v>1.17</v>
      </c>
      <c r="P229" s="154" t="e">
        <f t="shared" si="19"/>
        <v>#VALUE!</v>
      </c>
      <c r="Q229">
        <v>1.17</v>
      </c>
      <c r="R229" s="154" t="e">
        <f t="shared" si="20"/>
        <v>#VALUE!</v>
      </c>
      <c r="S229">
        <v>1.17</v>
      </c>
      <c r="T229" s="154" t="e">
        <f t="shared" si="21"/>
        <v>#VALUE!</v>
      </c>
      <c r="U229">
        <v>1.17</v>
      </c>
      <c r="V229" s="154" t="e">
        <f t="shared" si="22"/>
        <v>#VALUE!</v>
      </c>
      <c r="W229">
        <v>1.17</v>
      </c>
      <c r="X229" s="157" t="e">
        <f t="shared" si="23"/>
        <v>#VALUE!</v>
      </c>
      <c r="Y229">
        <v>1.17</v>
      </c>
      <c r="Z229" s="154" t="e">
        <f t="shared" si="24"/>
        <v>#VALUE!</v>
      </c>
      <c r="AA229">
        <v>1.17</v>
      </c>
      <c r="AB229" s="154" t="e">
        <f t="shared" si="25"/>
        <v>#VALUE!</v>
      </c>
      <c r="AC229">
        <v>1.17</v>
      </c>
      <c r="AD229" s="154" t="e">
        <f t="shared" si="26"/>
        <v>#VALUE!</v>
      </c>
      <c r="AE229">
        <v>1.17</v>
      </c>
    </row>
    <row r="230" spans="12:31" ht="15" x14ac:dyDescent="0.2">
      <c r="L230" s="154" t="e">
        <f t="shared" si="17"/>
        <v>#VALUE!</v>
      </c>
      <c r="M230">
        <v>1.18</v>
      </c>
      <c r="N230" s="154" t="e">
        <f t="shared" si="18"/>
        <v>#VALUE!</v>
      </c>
      <c r="O230">
        <v>1.18</v>
      </c>
      <c r="P230" s="154" t="e">
        <f t="shared" si="19"/>
        <v>#VALUE!</v>
      </c>
      <c r="Q230">
        <v>1.18</v>
      </c>
      <c r="R230" s="154" t="e">
        <f t="shared" si="20"/>
        <v>#VALUE!</v>
      </c>
      <c r="S230">
        <v>1.18</v>
      </c>
      <c r="T230" s="154" t="e">
        <f t="shared" si="21"/>
        <v>#VALUE!</v>
      </c>
      <c r="U230">
        <v>1.18</v>
      </c>
      <c r="V230" s="154" t="e">
        <f t="shared" si="22"/>
        <v>#VALUE!</v>
      </c>
      <c r="W230">
        <v>1.18</v>
      </c>
      <c r="X230" s="157" t="e">
        <f t="shared" si="23"/>
        <v>#VALUE!</v>
      </c>
      <c r="Y230">
        <v>1.18</v>
      </c>
      <c r="Z230" s="154" t="e">
        <f t="shared" si="24"/>
        <v>#VALUE!</v>
      </c>
      <c r="AA230">
        <v>1.18</v>
      </c>
      <c r="AB230" s="154" t="e">
        <f t="shared" si="25"/>
        <v>#VALUE!</v>
      </c>
      <c r="AC230">
        <v>1.18</v>
      </c>
      <c r="AD230" s="154" t="e">
        <f t="shared" si="26"/>
        <v>#VALUE!</v>
      </c>
      <c r="AE230">
        <v>1.18</v>
      </c>
    </row>
    <row r="231" spans="12:31" ht="15" x14ac:dyDescent="0.2">
      <c r="L231" s="154" t="e">
        <f t="shared" si="17"/>
        <v>#VALUE!</v>
      </c>
      <c r="M231">
        <v>1.19</v>
      </c>
      <c r="N231" s="154" t="e">
        <f t="shared" si="18"/>
        <v>#VALUE!</v>
      </c>
      <c r="O231">
        <v>1.19</v>
      </c>
      <c r="P231" s="154" t="e">
        <f t="shared" si="19"/>
        <v>#VALUE!</v>
      </c>
      <c r="Q231">
        <v>1.19</v>
      </c>
      <c r="R231" s="154" t="e">
        <f t="shared" si="20"/>
        <v>#VALUE!</v>
      </c>
      <c r="S231">
        <v>1.19</v>
      </c>
      <c r="T231" s="154" t="e">
        <f t="shared" si="21"/>
        <v>#VALUE!</v>
      </c>
      <c r="U231">
        <v>1.19</v>
      </c>
      <c r="V231" s="154" t="e">
        <f t="shared" si="22"/>
        <v>#VALUE!</v>
      </c>
      <c r="W231">
        <v>1.19</v>
      </c>
      <c r="X231" s="157" t="e">
        <f t="shared" si="23"/>
        <v>#VALUE!</v>
      </c>
      <c r="Y231">
        <v>1.19</v>
      </c>
      <c r="Z231" s="154" t="e">
        <f t="shared" si="24"/>
        <v>#VALUE!</v>
      </c>
      <c r="AA231">
        <v>1.19</v>
      </c>
      <c r="AB231" s="154" t="e">
        <f t="shared" si="25"/>
        <v>#VALUE!</v>
      </c>
      <c r="AC231">
        <v>1.19</v>
      </c>
      <c r="AD231" s="154" t="e">
        <f t="shared" si="26"/>
        <v>#VALUE!</v>
      </c>
      <c r="AE231">
        <v>1.19</v>
      </c>
    </row>
    <row r="232" spans="12:31" ht="15" x14ac:dyDescent="0.2">
      <c r="L232" s="154" t="e">
        <f t="shared" si="17"/>
        <v>#VALUE!</v>
      </c>
      <c r="M232">
        <v>1.2</v>
      </c>
      <c r="N232" s="154" t="e">
        <f t="shared" si="18"/>
        <v>#VALUE!</v>
      </c>
      <c r="O232">
        <v>1.2</v>
      </c>
      <c r="P232" s="154" t="e">
        <f t="shared" si="19"/>
        <v>#VALUE!</v>
      </c>
      <c r="Q232">
        <v>1.2</v>
      </c>
      <c r="R232" s="154" t="e">
        <f t="shared" si="20"/>
        <v>#VALUE!</v>
      </c>
      <c r="S232">
        <v>1.2</v>
      </c>
      <c r="T232" s="154" t="e">
        <f t="shared" si="21"/>
        <v>#VALUE!</v>
      </c>
      <c r="U232">
        <v>1.2</v>
      </c>
      <c r="V232" s="154" t="e">
        <f t="shared" si="22"/>
        <v>#VALUE!</v>
      </c>
      <c r="W232">
        <v>1.2</v>
      </c>
      <c r="X232" s="157" t="e">
        <f t="shared" si="23"/>
        <v>#VALUE!</v>
      </c>
      <c r="Y232">
        <v>1.2</v>
      </c>
      <c r="Z232" s="154" t="e">
        <f t="shared" si="24"/>
        <v>#VALUE!</v>
      </c>
      <c r="AA232">
        <v>1.2</v>
      </c>
      <c r="AB232" s="154" t="e">
        <f t="shared" si="25"/>
        <v>#VALUE!</v>
      </c>
      <c r="AC232">
        <v>1.2</v>
      </c>
      <c r="AD232" s="154" t="e">
        <f t="shared" si="26"/>
        <v>#VALUE!</v>
      </c>
      <c r="AE232">
        <v>1.2</v>
      </c>
    </row>
    <row r="233" spans="12:31" ht="15" x14ac:dyDescent="0.2">
      <c r="L233" s="154" t="e">
        <f t="shared" si="17"/>
        <v>#VALUE!</v>
      </c>
      <c r="M233">
        <v>1.21</v>
      </c>
      <c r="N233" s="154" t="e">
        <f t="shared" si="18"/>
        <v>#VALUE!</v>
      </c>
      <c r="O233">
        <v>1.21</v>
      </c>
      <c r="P233" s="154" t="e">
        <f t="shared" si="19"/>
        <v>#VALUE!</v>
      </c>
      <c r="Q233">
        <v>1.21</v>
      </c>
      <c r="R233" s="154" t="e">
        <f t="shared" si="20"/>
        <v>#VALUE!</v>
      </c>
      <c r="S233">
        <v>1.21</v>
      </c>
      <c r="T233" s="154" t="e">
        <f t="shared" si="21"/>
        <v>#VALUE!</v>
      </c>
      <c r="U233">
        <v>1.21</v>
      </c>
      <c r="V233" s="154" t="e">
        <f t="shared" si="22"/>
        <v>#VALUE!</v>
      </c>
      <c r="W233">
        <v>1.21</v>
      </c>
      <c r="X233" s="157" t="e">
        <f t="shared" si="23"/>
        <v>#VALUE!</v>
      </c>
      <c r="Y233">
        <v>1.21</v>
      </c>
      <c r="Z233" s="154" t="e">
        <f t="shared" si="24"/>
        <v>#VALUE!</v>
      </c>
      <c r="AA233">
        <v>1.21</v>
      </c>
      <c r="AB233" s="154" t="e">
        <f t="shared" si="25"/>
        <v>#VALUE!</v>
      </c>
      <c r="AC233">
        <v>1.21</v>
      </c>
      <c r="AD233" s="154" t="e">
        <f t="shared" si="26"/>
        <v>#VALUE!</v>
      </c>
      <c r="AE233">
        <v>1.21</v>
      </c>
    </row>
    <row r="234" spans="12:31" ht="15" x14ac:dyDescent="0.2">
      <c r="L234" s="154" t="e">
        <f t="shared" si="17"/>
        <v>#VALUE!</v>
      </c>
      <c r="M234">
        <v>1.22</v>
      </c>
      <c r="N234" s="154" t="e">
        <f t="shared" si="18"/>
        <v>#VALUE!</v>
      </c>
      <c r="O234">
        <v>1.22</v>
      </c>
      <c r="P234" s="154" t="e">
        <f t="shared" si="19"/>
        <v>#VALUE!</v>
      </c>
      <c r="Q234">
        <v>1.22</v>
      </c>
      <c r="R234" s="154" t="e">
        <f t="shared" si="20"/>
        <v>#VALUE!</v>
      </c>
      <c r="S234">
        <v>1.22</v>
      </c>
      <c r="T234" s="154" t="e">
        <f t="shared" si="21"/>
        <v>#VALUE!</v>
      </c>
      <c r="U234">
        <v>1.22</v>
      </c>
      <c r="V234" s="154" t="e">
        <f t="shared" si="22"/>
        <v>#VALUE!</v>
      </c>
      <c r="W234">
        <v>1.22</v>
      </c>
      <c r="X234" s="157" t="e">
        <f t="shared" si="23"/>
        <v>#VALUE!</v>
      </c>
      <c r="Y234">
        <v>1.22</v>
      </c>
      <c r="Z234" s="154" t="e">
        <f t="shared" si="24"/>
        <v>#VALUE!</v>
      </c>
      <c r="AA234">
        <v>1.22</v>
      </c>
      <c r="AB234" s="154" t="e">
        <f t="shared" si="25"/>
        <v>#VALUE!</v>
      </c>
      <c r="AC234">
        <v>1.22</v>
      </c>
      <c r="AD234" s="154" t="e">
        <f t="shared" si="26"/>
        <v>#VALUE!</v>
      </c>
      <c r="AE234">
        <v>1.22</v>
      </c>
    </row>
    <row r="235" spans="12:31" ht="15" x14ac:dyDescent="0.2">
      <c r="L235" s="154" t="e">
        <f t="shared" si="17"/>
        <v>#VALUE!</v>
      </c>
      <c r="M235">
        <v>1.23</v>
      </c>
      <c r="N235" s="154" t="e">
        <f t="shared" si="18"/>
        <v>#VALUE!</v>
      </c>
      <c r="O235">
        <v>1.23</v>
      </c>
      <c r="P235" s="154" t="e">
        <f t="shared" si="19"/>
        <v>#VALUE!</v>
      </c>
      <c r="Q235">
        <v>1.23</v>
      </c>
      <c r="R235" s="154" t="e">
        <f t="shared" si="20"/>
        <v>#VALUE!</v>
      </c>
      <c r="S235">
        <v>1.23</v>
      </c>
      <c r="T235" s="154" t="e">
        <f t="shared" si="21"/>
        <v>#VALUE!</v>
      </c>
      <c r="U235">
        <v>1.23</v>
      </c>
      <c r="V235" s="154" t="e">
        <f t="shared" si="22"/>
        <v>#VALUE!</v>
      </c>
      <c r="W235">
        <v>1.23</v>
      </c>
      <c r="X235" s="157" t="e">
        <f t="shared" si="23"/>
        <v>#VALUE!</v>
      </c>
      <c r="Y235">
        <v>1.23</v>
      </c>
      <c r="Z235" s="154" t="e">
        <f t="shared" si="24"/>
        <v>#VALUE!</v>
      </c>
      <c r="AA235">
        <v>1.23</v>
      </c>
      <c r="AB235" s="154" t="e">
        <f t="shared" si="25"/>
        <v>#VALUE!</v>
      </c>
      <c r="AC235">
        <v>1.23</v>
      </c>
      <c r="AD235" s="154" t="e">
        <f t="shared" si="26"/>
        <v>#VALUE!</v>
      </c>
      <c r="AE235">
        <v>1.23</v>
      </c>
    </row>
    <row r="236" spans="12:31" ht="15" x14ac:dyDescent="0.2">
      <c r="L236" s="154" t="e">
        <f t="shared" si="17"/>
        <v>#VALUE!</v>
      </c>
      <c r="M236">
        <v>1.24</v>
      </c>
      <c r="N236" s="154" t="e">
        <f t="shared" si="18"/>
        <v>#VALUE!</v>
      </c>
      <c r="O236">
        <v>1.24</v>
      </c>
      <c r="P236" s="154" t="e">
        <f t="shared" si="19"/>
        <v>#VALUE!</v>
      </c>
      <c r="Q236">
        <v>1.24</v>
      </c>
      <c r="R236" s="154" t="e">
        <f t="shared" si="20"/>
        <v>#VALUE!</v>
      </c>
      <c r="S236">
        <v>1.24</v>
      </c>
      <c r="T236" s="154" t="e">
        <f t="shared" si="21"/>
        <v>#VALUE!</v>
      </c>
      <c r="U236">
        <v>1.24</v>
      </c>
      <c r="V236" s="154" t="e">
        <f t="shared" si="22"/>
        <v>#VALUE!</v>
      </c>
      <c r="W236">
        <v>1.24</v>
      </c>
      <c r="X236" s="157" t="e">
        <f t="shared" si="23"/>
        <v>#VALUE!</v>
      </c>
      <c r="Y236">
        <v>1.24</v>
      </c>
      <c r="Z236" s="154" t="e">
        <f t="shared" si="24"/>
        <v>#VALUE!</v>
      </c>
      <c r="AA236">
        <v>1.24</v>
      </c>
      <c r="AB236" s="154" t="e">
        <f t="shared" si="25"/>
        <v>#VALUE!</v>
      </c>
      <c r="AC236">
        <v>1.24</v>
      </c>
      <c r="AD236" s="154" t="e">
        <f t="shared" si="26"/>
        <v>#VALUE!</v>
      </c>
      <c r="AE236">
        <v>1.24</v>
      </c>
    </row>
    <row r="237" spans="12:31" ht="15" x14ac:dyDescent="0.2">
      <c r="L237" s="154" t="e">
        <f t="shared" si="17"/>
        <v>#VALUE!</v>
      </c>
      <c r="M237">
        <v>1.25</v>
      </c>
      <c r="N237" s="154" t="e">
        <f t="shared" si="18"/>
        <v>#VALUE!</v>
      </c>
      <c r="O237">
        <v>1.25</v>
      </c>
      <c r="P237" s="154" t="e">
        <f t="shared" si="19"/>
        <v>#VALUE!</v>
      </c>
      <c r="Q237">
        <v>1.25</v>
      </c>
      <c r="R237" s="154" t="e">
        <f t="shared" si="20"/>
        <v>#VALUE!</v>
      </c>
      <c r="S237">
        <v>1.25</v>
      </c>
      <c r="T237" s="154" t="e">
        <f t="shared" si="21"/>
        <v>#VALUE!</v>
      </c>
      <c r="U237">
        <v>1.25</v>
      </c>
      <c r="V237" s="154" t="e">
        <f t="shared" si="22"/>
        <v>#VALUE!</v>
      </c>
      <c r="W237">
        <v>1.25</v>
      </c>
      <c r="X237" s="157" t="e">
        <f t="shared" si="23"/>
        <v>#VALUE!</v>
      </c>
      <c r="Y237">
        <v>1.25</v>
      </c>
      <c r="Z237" s="154" t="e">
        <f t="shared" si="24"/>
        <v>#VALUE!</v>
      </c>
      <c r="AA237">
        <v>1.25</v>
      </c>
      <c r="AB237" s="154" t="e">
        <f t="shared" si="25"/>
        <v>#VALUE!</v>
      </c>
      <c r="AC237">
        <v>1.25</v>
      </c>
      <c r="AD237" s="154" t="e">
        <f t="shared" si="26"/>
        <v>#VALUE!</v>
      </c>
      <c r="AE237">
        <v>1.25</v>
      </c>
    </row>
    <row r="238" spans="12:31" ht="15" x14ac:dyDescent="0.2">
      <c r="L238" s="154" t="e">
        <f t="shared" si="17"/>
        <v>#VALUE!</v>
      </c>
      <c r="M238">
        <v>1.26</v>
      </c>
      <c r="N238" s="154" t="e">
        <f t="shared" si="18"/>
        <v>#VALUE!</v>
      </c>
      <c r="O238">
        <v>1.26</v>
      </c>
      <c r="P238" s="154" t="e">
        <f t="shared" si="19"/>
        <v>#VALUE!</v>
      </c>
      <c r="Q238">
        <v>1.26</v>
      </c>
      <c r="R238" s="154" t="e">
        <f t="shared" si="20"/>
        <v>#VALUE!</v>
      </c>
      <c r="S238">
        <v>1.26</v>
      </c>
      <c r="T238" s="154" t="e">
        <f t="shared" si="21"/>
        <v>#VALUE!</v>
      </c>
      <c r="U238">
        <v>1.26</v>
      </c>
      <c r="V238" s="154" t="e">
        <f t="shared" si="22"/>
        <v>#VALUE!</v>
      </c>
      <c r="W238">
        <v>1.26</v>
      </c>
      <c r="X238" s="157" t="e">
        <f t="shared" si="23"/>
        <v>#VALUE!</v>
      </c>
      <c r="Y238">
        <v>1.26</v>
      </c>
      <c r="Z238" s="154" t="e">
        <f t="shared" si="24"/>
        <v>#VALUE!</v>
      </c>
      <c r="AA238">
        <v>1.26</v>
      </c>
      <c r="AB238" s="154" t="e">
        <f t="shared" si="25"/>
        <v>#VALUE!</v>
      </c>
      <c r="AC238">
        <v>1.26</v>
      </c>
      <c r="AD238" s="154" t="e">
        <f t="shared" si="26"/>
        <v>#VALUE!</v>
      </c>
      <c r="AE238">
        <v>1.26</v>
      </c>
    </row>
    <row r="239" spans="12:31" ht="15" x14ac:dyDescent="0.2">
      <c r="L239" s="154" t="e">
        <f t="shared" si="17"/>
        <v>#VALUE!</v>
      </c>
      <c r="M239">
        <v>1.27</v>
      </c>
      <c r="N239" s="154" t="e">
        <f t="shared" si="18"/>
        <v>#VALUE!</v>
      </c>
      <c r="O239">
        <v>1.27</v>
      </c>
      <c r="P239" s="154" t="e">
        <f t="shared" si="19"/>
        <v>#VALUE!</v>
      </c>
      <c r="Q239">
        <v>1.27</v>
      </c>
      <c r="R239" s="154" t="e">
        <f t="shared" si="20"/>
        <v>#VALUE!</v>
      </c>
      <c r="S239">
        <v>1.27</v>
      </c>
      <c r="T239" s="154" t="e">
        <f t="shared" si="21"/>
        <v>#VALUE!</v>
      </c>
      <c r="U239">
        <v>1.27</v>
      </c>
      <c r="V239" s="154" t="e">
        <f t="shared" si="22"/>
        <v>#VALUE!</v>
      </c>
      <c r="W239">
        <v>1.27</v>
      </c>
      <c r="X239" s="157" t="e">
        <f t="shared" si="23"/>
        <v>#VALUE!</v>
      </c>
      <c r="Y239">
        <v>1.27</v>
      </c>
      <c r="Z239" s="154" t="e">
        <f t="shared" si="24"/>
        <v>#VALUE!</v>
      </c>
      <c r="AA239">
        <v>1.27</v>
      </c>
      <c r="AB239" s="154" t="e">
        <f t="shared" si="25"/>
        <v>#VALUE!</v>
      </c>
      <c r="AC239">
        <v>1.27</v>
      </c>
      <c r="AD239" s="154" t="e">
        <f t="shared" si="26"/>
        <v>#VALUE!</v>
      </c>
      <c r="AE239">
        <v>1.27</v>
      </c>
    </row>
    <row r="240" spans="12:31" ht="15" x14ac:dyDescent="0.2">
      <c r="L240" s="154" t="e">
        <f t="shared" si="17"/>
        <v>#VALUE!</v>
      </c>
      <c r="M240">
        <v>1.28</v>
      </c>
      <c r="N240" s="154" t="e">
        <f t="shared" si="18"/>
        <v>#VALUE!</v>
      </c>
      <c r="O240">
        <v>1.28</v>
      </c>
      <c r="P240" s="154" t="e">
        <f t="shared" si="19"/>
        <v>#VALUE!</v>
      </c>
      <c r="Q240">
        <v>1.28</v>
      </c>
      <c r="R240" s="154" t="e">
        <f t="shared" si="20"/>
        <v>#VALUE!</v>
      </c>
      <c r="S240">
        <v>1.28</v>
      </c>
      <c r="T240" s="154" t="e">
        <f t="shared" si="21"/>
        <v>#VALUE!</v>
      </c>
      <c r="U240">
        <v>1.28</v>
      </c>
      <c r="V240" s="154" t="e">
        <f t="shared" si="22"/>
        <v>#VALUE!</v>
      </c>
      <c r="W240">
        <v>1.28</v>
      </c>
      <c r="X240" s="157" t="e">
        <f t="shared" si="23"/>
        <v>#VALUE!</v>
      </c>
      <c r="Y240">
        <v>1.28</v>
      </c>
      <c r="Z240" s="154" t="e">
        <f t="shared" si="24"/>
        <v>#VALUE!</v>
      </c>
      <c r="AA240">
        <v>1.28</v>
      </c>
      <c r="AB240" s="154" t="e">
        <f t="shared" si="25"/>
        <v>#VALUE!</v>
      </c>
      <c r="AC240">
        <v>1.28</v>
      </c>
      <c r="AD240" s="154" t="e">
        <f t="shared" si="26"/>
        <v>#VALUE!</v>
      </c>
      <c r="AE240">
        <v>1.28</v>
      </c>
    </row>
    <row r="241" spans="12:31" ht="15" x14ac:dyDescent="0.2">
      <c r="L241" s="154" t="e">
        <f t="shared" ref="L241:L304" si="27">((1.486/$D$33)*((((PI()*($D$46/12)^2)/4)-((($D$46/12)/2)^2*((2*ACOS(((($D$46/12)/2)-(($D$46/12)-(M241/12)))/(($D$46/12)/2)))-SIN(2*ACOS(((($D$46/12)/2)-(($D$46/12)-(M241/12)))/(($D$46/12)/2))))/2))/((PI()*($D$46/12))-((2*ACOS(((($D$46/12)/2)-(($D$46/12)-(M241/12)))/(($D$46/12)/2)))*(($D$46/12)/2))))^(2/3)*$H$17^0.5)*(((PI()*($D$46/12)^2)/4)-((($D$46/12)/2)^2*((2*ACOS(((($D$46/12)/2)-(($D$46/12)-(M241/12)))/(($D$46/12)/2)))-SIN(2*ACOS(((($D$46/12)/2)-(($D$46/12)-(M241/12)))/(($D$46/12)/2))))/2))</f>
        <v>#VALUE!</v>
      </c>
      <c r="M241">
        <v>1.29</v>
      </c>
      <c r="N241" s="154" t="e">
        <f t="shared" ref="N241:N304" si="28">((1.486/$D$34)*((((PI()*($D$47/12)^2)/4)-((($D$47/12)/2)^2*((2*ACOS(((($D$47/12)/2)-(($D$47/12)-(O241/12)))/(($D$47/12)/2)))-SIN(2*ACOS(((($D$47/12)/2)-(($D$47/12)-(O241/12)))/(($D$47/12)/2))))/2))/((PI()*($D$47/12))-((2*ACOS(((($D$47/12)/2)-(($D$47/12)-(O241/12)))/(($D$47/12)/2)))*(($D$47/12)/2))))^(2/3)*$H$18^0.5)*(((PI()*($D$47/12)^2)/4)-((($D$47/12)/2)^2*((2*ACOS(((($D$47/12)/2)-(($D$47/12)-(O241/12)))/(($D$47/12)/2)))-SIN(2*ACOS(((($D$47/12)/2)-(($D$47/12)-(O241/12)))/(($D$47/12)/2))))/2))</f>
        <v>#VALUE!</v>
      </c>
      <c r="O241">
        <v>1.29</v>
      </c>
      <c r="P241" s="154" t="e">
        <f t="shared" ref="P241:P304" si="29">((1.486/$D$35)*((((PI()*($D$48/12)^2)/4)-((($D$48/12)/2)^2*((2*ACOS(((($D$48/12)/2)-(($D$48/12)-(Q241/12)))/(($D$48/12)/2)))-SIN(2*ACOS(((($D$48/12)/2)-(($D$48/12)-(Q241/12)))/(($D$48/12)/2))))/2))/((PI()*($D$48/12))-((2*ACOS(((($D$48/12)/2)-(($D$48/12)-(Q241/12)))/(($D$48/12)/2)))*(($D$48/12)/2))))^(2/3)*$H$19^0.5)*(((PI()*($D$48/12)^2)/4)-((($D$48/12)/2)^2*((2*ACOS(((($D$48/12)/2)-(($D$48/12)-(Q241/12)))/(($D$48/12)/2)))-SIN(2*ACOS(((($D$48/12)/2)-(($D$48/12)-(Q241/12)))/(($D$48/12)/2))))/2))</f>
        <v>#VALUE!</v>
      </c>
      <c r="Q241">
        <v>1.29</v>
      </c>
      <c r="R241" s="154" t="e">
        <f t="shared" ref="R241:R304" si="30">((1.486/$D$36)*((((PI()*($D$49/12)^2)/4)-((($D$49/12)/2)^2*((2*ACOS(((($D$49/12)/2)-(($D$49/12)-(S241/12)))/(($D$49/12)/2)))-SIN(2*ACOS(((($D$49/12)/2)-(($D$49/12)-(S241/12)))/(($D$49/12)/2))))/2))/((PI()*($D$49/12))-((2*ACOS(((($D$49/12)/2)-(($D$49/12)-(S241/12)))/(($D$49/12)/2)))*(($D$49/12)/2))))^(2/3)*$H$20^0.5)*(((PI()*($D$49/12)^2)/4)-((($D$49/12)/2)^2*((2*ACOS(((($D$49/12)/2)-(($D$49/12)-(S241/12)))/(($D$49/12)/2)))-SIN(2*ACOS(((($D$49/12)/2)-(($D$49/12)-(S241/12)))/(($D$49/12)/2))))/2))</f>
        <v>#VALUE!</v>
      </c>
      <c r="S241">
        <v>1.29</v>
      </c>
      <c r="T241" s="154" t="e">
        <f t="shared" ref="T241:T304" si="31">((1.486/$D$37)*((((PI()*($D$50/12)^2)/4)-((($D$50/12)/2)^2*((2*ACOS(((($D$50/12)/2)-(($D$50/12)-(U241/12)))/(($D$50/12)/2)))-SIN(2*ACOS(((($D$50/12)/2)-(($D$50/12)-(U241/12)))/(($D$50/12)/2))))/2))/((PI()*($D$50/12))-((2*ACOS(((($D$50/12)/2)-(($D$50/12)-(U241/12)))/(($D$50/12)/2)))*(($D$50/12)/2))))^(2/3)*$H$21^0.5)*(((PI()*($D$50/12)^2)/4)-((($D$50/12)/2)^2*((2*ACOS(((($D$50/12)/2)-(($D$50/12)-(U241/12)))/(($D$50/12)/2)))-SIN(2*ACOS(((($D$50/12)/2)-(($D$50/12)-(U241/12)))/(($D$50/12)/2))))/2))</f>
        <v>#VALUE!</v>
      </c>
      <c r="U241">
        <v>1.29</v>
      </c>
      <c r="V241" s="154" t="e">
        <f t="shared" ref="V241:V304" si="32">((1.486/$D$38)*((((PI()*($D$51/12)^2)/4)-((($D$51/12)/2)^2*((2*ACOS(((($D$51/12)/2)-(($D$51/12)-(W241/12)))/(($D$51/12)/2)))-SIN(2*ACOS(((($D$51/12)/2)-(($D$51/12)-(W241/12)))/(($D$51/12)/2))))/2))/((PI()*($D$51/12))-((2*ACOS(((($D$51/12)/2)-(($D$51/12)-(W241/12)))/(($D$51/12)/2)))*(($D$51/12)/2))))^(2/3)*$H$22^0.5)*(((PI()*($D$51/12)^2)/4)-((($D$51/12)/2)^2*((2*ACOS(((($D$51/12)/2)-(($D$51/12)-(W241/12)))/(($D$51/12)/2)))-SIN(2*ACOS(((($D$51/12)/2)-(($D$51/12)-(W241/12)))/(($D$51/12)/2))))/2))</f>
        <v>#VALUE!</v>
      </c>
      <c r="W241">
        <v>1.29</v>
      </c>
      <c r="X241" s="157" t="e">
        <f t="shared" ref="X241:X304" si="33">((1.486/$D$39)*((((PI()*($D$52/12)^2)/4)-((($D$52/12)/2)^2*((2*ACOS(((($D$52/12)/2)-(($D$52/12)-(Y241/12)))/(($D$52/12)/2)))-SIN(2*ACOS(((($D$52/12)/2)-(($D$52/12)-(Y241/12)))/(($D$52/12)/2))))/2))/((PI()*($D$52/12))-((2*ACOS(((($D$52/12)/2)-(($D$52/12)-(Y241/12)))/(($D$52/12)/2)))*(($D$52/12)/2))))^(2/3)*$H$23^0.5)*(((PI()*($D$52/12)^2)/4)-((($D$52/12)/2)^2*((2*ACOS(((($D$52/12)/2)-(($D$52/12)-(Y241/12)))/(($D$52/12)/2)))-SIN(2*ACOS(((($D$52/12)/2)-(($D$52/12)-(Y241/12)))/(($D$52/12)/2))))/2))</f>
        <v>#VALUE!</v>
      </c>
      <c r="Y241">
        <v>1.29</v>
      </c>
      <c r="Z241" s="154" t="e">
        <f t="shared" ref="Z241:Z304" si="34">((1.486/$D$40)*((((PI()*($D$53/12)^2)/4)-((($D$53/12)/2)^2*((2*ACOS(((($D$53/12)/2)-(($D$53/12)-(AA241/12)))/(($D$53/12)/2)))-SIN(2*ACOS(((($D$53/12)/2)-(($D$53/12)-(AA241/12)))/(($D$53/12)/2))))/2))/((PI()*($D$53/12))-((2*ACOS(((($D$53/12)/2)-(($D$53/12)-(AA241/12)))/(($D$53/12)/2)))*(($D$53/12)/2))))^(2/3)*$H$24^0.5)*(((PI()*($D$53/12)^2)/4)-((($D$53/12)/2)^2*((2*ACOS(((($D$53/12)/2)-(($D$53/12)-(AA241/12)))/(($D$53/12)/2)))-SIN(2*ACOS(((($D$53/12)/2)-(($D$53/12)-(AA241/12)))/(($D$53/12)/2))))/2))</f>
        <v>#VALUE!</v>
      </c>
      <c r="AA241">
        <v>1.29</v>
      </c>
      <c r="AB241" s="154" t="e">
        <f t="shared" ref="AB241:AB304" si="35">((1.486/$D$41)*((((PI()*($D$54/12)^2)/4)-((($D$54/12)/2)^2*((2*ACOS(((($D$54/12)/2)-(($D$54/12)-(AC241/12)))/(($D$54/12)/2)))-SIN(2*ACOS(((($D$54/12)/2)-(($D$54/12)-(AC241/12)))/(($D$54/12)/2))))/2))/((PI()*($D$54/12))-((2*ACOS(((($D$54/12)/2)-(($D$54/12)-(AC241/12)))/(($D$54/12)/2)))*(($D$54/12)/2))))^(2/3)*$H$25^0.5)*(((PI()*($D$54/12)^2)/4)-((($D$54/12)/2)^2*((2*ACOS(((($D$54/12)/2)-(($D$54/12)-(AC241/12)))/(($D$54/12)/2)))-SIN(2*ACOS(((($D$54/12)/2)-(($D$54/12)-(AC241/12)))/(($D$54/12)/2))))/2))</f>
        <v>#VALUE!</v>
      </c>
      <c r="AC241">
        <v>1.29</v>
      </c>
      <c r="AD241" s="154" t="e">
        <f t="shared" ref="AD241:AD304" si="36">((1.486/$D$42)*((((PI()*($D$55/12)^2)/4)-((($D$55/12)/2)^2*((2*ACOS(((($D$55/12)/2)-(($D$55/12)-(AE241/12)))/(($D$55/12)/2)))-SIN(2*ACOS(((($D$55/12)/2)-(($D$55/12)-(AE241/12)))/(($D$55/12)/2))))/2))/((PI()*($D$55/12))-((2*ACOS(((($D$55/12)/2)-(($D$55/12)-(AE241/12)))/(($D$55/12)/2)))*(($D$55/12)/2))))^(2/3)*$H$26^0.5)*(((PI()*($D$55/12)^2)/4)-((($D$55/12)/2)^2*((2*ACOS(((($D$55/12)/2)-(($D$55/12)-(AE241/12)))/(($D$55/12)/2)))-SIN(2*ACOS(((($D$55/12)/2)-(($D$55/12)-(AE241/12)))/(($D$55/12)/2))))/2))</f>
        <v>#VALUE!</v>
      </c>
      <c r="AE241">
        <v>1.29</v>
      </c>
    </row>
    <row r="242" spans="12:31" ht="15" x14ac:dyDescent="0.2">
      <c r="L242" s="154" t="e">
        <f t="shared" si="27"/>
        <v>#VALUE!</v>
      </c>
      <c r="M242">
        <v>1.3</v>
      </c>
      <c r="N242" s="154" t="e">
        <f t="shared" si="28"/>
        <v>#VALUE!</v>
      </c>
      <c r="O242">
        <v>1.3</v>
      </c>
      <c r="P242" s="154" t="e">
        <f t="shared" si="29"/>
        <v>#VALUE!</v>
      </c>
      <c r="Q242">
        <v>1.3</v>
      </c>
      <c r="R242" s="154" t="e">
        <f t="shared" si="30"/>
        <v>#VALUE!</v>
      </c>
      <c r="S242">
        <v>1.3</v>
      </c>
      <c r="T242" s="154" t="e">
        <f t="shared" si="31"/>
        <v>#VALUE!</v>
      </c>
      <c r="U242">
        <v>1.3</v>
      </c>
      <c r="V242" s="154" t="e">
        <f t="shared" si="32"/>
        <v>#VALUE!</v>
      </c>
      <c r="W242">
        <v>1.3</v>
      </c>
      <c r="X242" s="157" t="e">
        <f t="shared" si="33"/>
        <v>#VALUE!</v>
      </c>
      <c r="Y242">
        <v>1.3</v>
      </c>
      <c r="Z242" s="154" t="e">
        <f t="shared" si="34"/>
        <v>#VALUE!</v>
      </c>
      <c r="AA242">
        <v>1.3</v>
      </c>
      <c r="AB242" s="154" t="e">
        <f t="shared" si="35"/>
        <v>#VALUE!</v>
      </c>
      <c r="AC242">
        <v>1.3</v>
      </c>
      <c r="AD242" s="154" t="e">
        <f t="shared" si="36"/>
        <v>#VALUE!</v>
      </c>
      <c r="AE242">
        <v>1.3</v>
      </c>
    </row>
    <row r="243" spans="12:31" ht="15" x14ac:dyDescent="0.2">
      <c r="L243" s="154" t="e">
        <f t="shared" si="27"/>
        <v>#VALUE!</v>
      </c>
      <c r="M243">
        <v>1.31</v>
      </c>
      <c r="N243" s="154" t="e">
        <f t="shared" si="28"/>
        <v>#VALUE!</v>
      </c>
      <c r="O243">
        <v>1.31</v>
      </c>
      <c r="P243" s="154" t="e">
        <f t="shared" si="29"/>
        <v>#VALUE!</v>
      </c>
      <c r="Q243">
        <v>1.31</v>
      </c>
      <c r="R243" s="154" t="e">
        <f t="shared" si="30"/>
        <v>#VALUE!</v>
      </c>
      <c r="S243">
        <v>1.31</v>
      </c>
      <c r="T243" s="154" t="e">
        <f t="shared" si="31"/>
        <v>#VALUE!</v>
      </c>
      <c r="U243">
        <v>1.31</v>
      </c>
      <c r="V243" s="154" t="e">
        <f t="shared" si="32"/>
        <v>#VALUE!</v>
      </c>
      <c r="W243">
        <v>1.31</v>
      </c>
      <c r="X243" s="157" t="e">
        <f t="shared" si="33"/>
        <v>#VALUE!</v>
      </c>
      <c r="Y243">
        <v>1.31</v>
      </c>
      <c r="Z243" s="154" t="e">
        <f t="shared" si="34"/>
        <v>#VALUE!</v>
      </c>
      <c r="AA243">
        <v>1.31</v>
      </c>
      <c r="AB243" s="154" t="e">
        <f t="shared" si="35"/>
        <v>#VALUE!</v>
      </c>
      <c r="AC243">
        <v>1.31</v>
      </c>
      <c r="AD243" s="154" t="e">
        <f t="shared" si="36"/>
        <v>#VALUE!</v>
      </c>
      <c r="AE243">
        <v>1.31</v>
      </c>
    </row>
    <row r="244" spans="12:31" ht="15" x14ac:dyDescent="0.2">
      <c r="L244" s="154" t="e">
        <f t="shared" si="27"/>
        <v>#VALUE!</v>
      </c>
      <c r="M244">
        <v>1.32</v>
      </c>
      <c r="N244" s="154" t="e">
        <f t="shared" si="28"/>
        <v>#VALUE!</v>
      </c>
      <c r="O244">
        <v>1.32</v>
      </c>
      <c r="P244" s="154" t="e">
        <f t="shared" si="29"/>
        <v>#VALUE!</v>
      </c>
      <c r="Q244">
        <v>1.32</v>
      </c>
      <c r="R244" s="154" t="e">
        <f t="shared" si="30"/>
        <v>#VALUE!</v>
      </c>
      <c r="S244">
        <v>1.32</v>
      </c>
      <c r="T244" s="154" t="e">
        <f t="shared" si="31"/>
        <v>#VALUE!</v>
      </c>
      <c r="U244">
        <v>1.32</v>
      </c>
      <c r="V244" s="154" t="e">
        <f t="shared" si="32"/>
        <v>#VALUE!</v>
      </c>
      <c r="W244">
        <v>1.32</v>
      </c>
      <c r="X244" s="157" t="e">
        <f t="shared" si="33"/>
        <v>#VALUE!</v>
      </c>
      <c r="Y244">
        <v>1.32</v>
      </c>
      <c r="Z244" s="154" t="e">
        <f t="shared" si="34"/>
        <v>#VALUE!</v>
      </c>
      <c r="AA244">
        <v>1.32</v>
      </c>
      <c r="AB244" s="154" t="e">
        <f t="shared" si="35"/>
        <v>#VALUE!</v>
      </c>
      <c r="AC244">
        <v>1.32</v>
      </c>
      <c r="AD244" s="154" t="e">
        <f t="shared" si="36"/>
        <v>#VALUE!</v>
      </c>
      <c r="AE244">
        <v>1.32</v>
      </c>
    </row>
    <row r="245" spans="12:31" ht="15" x14ac:dyDescent="0.2">
      <c r="L245" s="154" t="e">
        <f t="shared" si="27"/>
        <v>#VALUE!</v>
      </c>
      <c r="M245">
        <v>1.33</v>
      </c>
      <c r="N245" s="154" t="e">
        <f t="shared" si="28"/>
        <v>#VALUE!</v>
      </c>
      <c r="O245">
        <v>1.33</v>
      </c>
      <c r="P245" s="154" t="e">
        <f t="shared" si="29"/>
        <v>#VALUE!</v>
      </c>
      <c r="Q245">
        <v>1.33</v>
      </c>
      <c r="R245" s="154" t="e">
        <f t="shared" si="30"/>
        <v>#VALUE!</v>
      </c>
      <c r="S245">
        <v>1.33</v>
      </c>
      <c r="T245" s="154" t="e">
        <f t="shared" si="31"/>
        <v>#VALUE!</v>
      </c>
      <c r="U245">
        <v>1.33</v>
      </c>
      <c r="V245" s="154" t="e">
        <f t="shared" si="32"/>
        <v>#VALUE!</v>
      </c>
      <c r="W245">
        <v>1.33</v>
      </c>
      <c r="X245" s="157" t="e">
        <f t="shared" si="33"/>
        <v>#VALUE!</v>
      </c>
      <c r="Y245">
        <v>1.33</v>
      </c>
      <c r="Z245" s="154" t="e">
        <f t="shared" si="34"/>
        <v>#VALUE!</v>
      </c>
      <c r="AA245">
        <v>1.33</v>
      </c>
      <c r="AB245" s="154" t="e">
        <f t="shared" si="35"/>
        <v>#VALUE!</v>
      </c>
      <c r="AC245">
        <v>1.33</v>
      </c>
      <c r="AD245" s="154" t="e">
        <f t="shared" si="36"/>
        <v>#VALUE!</v>
      </c>
      <c r="AE245">
        <v>1.33</v>
      </c>
    </row>
    <row r="246" spans="12:31" ht="15" x14ac:dyDescent="0.2">
      <c r="L246" s="154" t="e">
        <f t="shared" si="27"/>
        <v>#VALUE!</v>
      </c>
      <c r="M246">
        <v>1.34</v>
      </c>
      <c r="N246" s="154" t="e">
        <f t="shared" si="28"/>
        <v>#VALUE!</v>
      </c>
      <c r="O246">
        <v>1.34</v>
      </c>
      <c r="P246" s="154" t="e">
        <f t="shared" si="29"/>
        <v>#VALUE!</v>
      </c>
      <c r="Q246">
        <v>1.34</v>
      </c>
      <c r="R246" s="154" t="e">
        <f t="shared" si="30"/>
        <v>#VALUE!</v>
      </c>
      <c r="S246">
        <v>1.34</v>
      </c>
      <c r="T246" s="154" t="e">
        <f t="shared" si="31"/>
        <v>#VALUE!</v>
      </c>
      <c r="U246">
        <v>1.34</v>
      </c>
      <c r="V246" s="154" t="e">
        <f t="shared" si="32"/>
        <v>#VALUE!</v>
      </c>
      <c r="W246">
        <v>1.34</v>
      </c>
      <c r="X246" s="157" t="e">
        <f t="shared" si="33"/>
        <v>#VALUE!</v>
      </c>
      <c r="Y246">
        <v>1.34</v>
      </c>
      <c r="Z246" s="154" t="e">
        <f t="shared" si="34"/>
        <v>#VALUE!</v>
      </c>
      <c r="AA246">
        <v>1.34</v>
      </c>
      <c r="AB246" s="154" t="e">
        <f t="shared" si="35"/>
        <v>#VALUE!</v>
      </c>
      <c r="AC246">
        <v>1.34</v>
      </c>
      <c r="AD246" s="154" t="e">
        <f t="shared" si="36"/>
        <v>#VALUE!</v>
      </c>
      <c r="AE246">
        <v>1.34</v>
      </c>
    </row>
    <row r="247" spans="12:31" ht="15" x14ac:dyDescent="0.2">
      <c r="L247" s="154" t="e">
        <f t="shared" si="27"/>
        <v>#VALUE!</v>
      </c>
      <c r="M247">
        <v>1.35</v>
      </c>
      <c r="N247" s="154" t="e">
        <f t="shared" si="28"/>
        <v>#VALUE!</v>
      </c>
      <c r="O247">
        <v>1.35</v>
      </c>
      <c r="P247" s="154" t="e">
        <f t="shared" si="29"/>
        <v>#VALUE!</v>
      </c>
      <c r="Q247">
        <v>1.35</v>
      </c>
      <c r="R247" s="154" t="e">
        <f t="shared" si="30"/>
        <v>#VALUE!</v>
      </c>
      <c r="S247">
        <v>1.35</v>
      </c>
      <c r="T247" s="154" t="e">
        <f t="shared" si="31"/>
        <v>#VALUE!</v>
      </c>
      <c r="U247">
        <v>1.35</v>
      </c>
      <c r="V247" s="154" t="e">
        <f t="shared" si="32"/>
        <v>#VALUE!</v>
      </c>
      <c r="W247">
        <v>1.35</v>
      </c>
      <c r="X247" s="157" t="e">
        <f t="shared" si="33"/>
        <v>#VALUE!</v>
      </c>
      <c r="Y247">
        <v>1.35</v>
      </c>
      <c r="Z247" s="154" t="e">
        <f t="shared" si="34"/>
        <v>#VALUE!</v>
      </c>
      <c r="AA247">
        <v>1.35</v>
      </c>
      <c r="AB247" s="154" t="e">
        <f t="shared" si="35"/>
        <v>#VALUE!</v>
      </c>
      <c r="AC247">
        <v>1.35</v>
      </c>
      <c r="AD247" s="154" t="e">
        <f t="shared" si="36"/>
        <v>#VALUE!</v>
      </c>
      <c r="AE247">
        <v>1.35</v>
      </c>
    </row>
    <row r="248" spans="12:31" ht="15" x14ac:dyDescent="0.2">
      <c r="L248" s="154" t="e">
        <f t="shared" si="27"/>
        <v>#VALUE!</v>
      </c>
      <c r="M248">
        <v>1.36</v>
      </c>
      <c r="N248" s="154" t="e">
        <f t="shared" si="28"/>
        <v>#VALUE!</v>
      </c>
      <c r="O248">
        <v>1.36</v>
      </c>
      <c r="P248" s="154" t="e">
        <f t="shared" si="29"/>
        <v>#VALUE!</v>
      </c>
      <c r="Q248">
        <v>1.36</v>
      </c>
      <c r="R248" s="154" t="e">
        <f t="shared" si="30"/>
        <v>#VALUE!</v>
      </c>
      <c r="S248">
        <v>1.36</v>
      </c>
      <c r="T248" s="154" t="e">
        <f t="shared" si="31"/>
        <v>#VALUE!</v>
      </c>
      <c r="U248">
        <v>1.36</v>
      </c>
      <c r="V248" s="154" t="e">
        <f t="shared" si="32"/>
        <v>#VALUE!</v>
      </c>
      <c r="W248">
        <v>1.36</v>
      </c>
      <c r="X248" s="157" t="e">
        <f t="shared" si="33"/>
        <v>#VALUE!</v>
      </c>
      <c r="Y248">
        <v>1.36</v>
      </c>
      <c r="Z248" s="154" t="e">
        <f t="shared" si="34"/>
        <v>#VALUE!</v>
      </c>
      <c r="AA248">
        <v>1.36</v>
      </c>
      <c r="AB248" s="154" t="e">
        <f t="shared" si="35"/>
        <v>#VALUE!</v>
      </c>
      <c r="AC248">
        <v>1.36</v>
      </c>
      <c r="AD248" s="154" t="e">
        <f t="shared" si="36"/>
        <v>#VALUE!</v>
      </c>
      <c r="AE248">
        <v>1.36</v>
      </c>
    </row>
    <row r="249" spans="12:31" ht="15" x14ac:dyDescent="0.2">
      <c r="L249" s="154" t="e">
        <f t="shared" si="27"/>
        <v>#VALUE!</v>
      </c>
      <c r="M249">
        <v>1.37</v>
      </c>
      <c r="N249" s="154" t="e">
        <f t="shared" si="28"/>
        <v>#VALUE!</v>
      </c>
      <c r="O249">
        <v>1.37</v>
      </c>
      <c r="P249" s="154" t="e">
        <f t="shared" si="29"/>
        <v>#VALUE!</v>
      </c>
      <c r="Q249">
        <v>1.37</v>
      </c>
      <c r="R249" s="154" t="e">
        <f t="shared" si="30"/>
        <v>#VALUE!</v>
      </c>
      <c r="S249">
        <v>1.37</v>
      </c>
      <c r="T249" s="154" t="e">
        <f t="shared" si="31"/>
        <v>#VALUE!</v>
      </c>
      <c r="U249">
        <v>1.37</v>
      </c>
      <c r="V249" s="154" t="e">
        <f t="shared" si="32"/>
        <v>#VALUE!</v>
      </c>
      <c r="W249">
        <v>1.37</v>
      </c>
      <c r="X249" s="157" t="e">
        <f t="shared" si="33"/>
        <v>#VALUE!</v>
      </c>
      <c r="Y249">
        <v>1.37</v>
      </c>
      <c r="Z249" s="154" t="e">
        <f t="shared" si="34"/>
        <v>#VALUE!</v>
      </c>
      <c r="AA249">
        <v>1.37</v>
      </c>
      <c r="AB249" s="154" t="e">
        <f t="shared" si="35"/>
        <v>#VALUE!</v>
      </c>
      <c r="AC249">
        <v>1.37</v>
      </c>
      <c r="AD249" s="154" t="e">
        <f t="shared" si="36"/>
        <v>#VALUE!</v>
      </c>
      <c r="AE249">
        <v>1.37</v>
      </c>
    </row>
    <row r="250" spans="12:31" ht="15" x14ac:dyDescent="0.2">
      <c r="L250" s="154" t="e">
        <f t="shared" si="27"/>
        <v>#VALUE!</v>
      </c>
      <c r="M250">
        <v>1.38</v>
      </c>
      <c r="N250" s="154" t="e">
        <f t="shared" si="28"/>
        <v>#VALUE!</v>
      </c>
      <c r="O250">
        <v>1.38</v>
      </c>
      <c r="P250" s="154" t="e">
        <f t="shared" si="29"/>
        <v>#VALUE!</v>
      </c>
      <c r="Q250">
        <v>1.38</v>
      </c>
      <c r="R250" s="154" t="e">
        <f t="shared" si="30"/>
        <v>#VALUE!</v>
      </c>
      <c r="S250">
        <v>1.38</v>
      </c>
      <c r="T250" s="154" t="e">
        <f t="shared" si="31"/>
        <v>#VALUE!</v>
      </c>
      <c r="U250">
        <v>1.38</v>
      </c>
      <c r="V250" s="154" t="e">
        <f t="shared" si="32"/>
        <v>#VALUE!</v>
      </c>
      <c r="W250">
        <v>1.38</v>
      </c>
      <c r="X250" s="157" t="e">
        <f t="shared" si="33"/>
        <v>#VALUE!</v>
      </c>
      <c r="Y250">
        <v>1.38</v>
      </c>
      <c r="Z250" s="154" t="e">
        <f t="shared" si="34"/>
        <v>#VALUE!</v>
      </c>
      <c r="AA250">
        <v>1.38</v>
      </c>
      <c r="AB250" s="154" t="e">
        <f t="shared" si="35"/>
        <v>#VALUE!</v>
      </c>
      <c r="AC250">
        <v>1.38</v>
      </c>
      <c r="AD250" s="154" t="e">
        <f t="shared" si="36"/>
        <v>#VALUE!</v>
      </c>
      <c r="AE250">
        <v>1.38</v>
      </c>
    </row>
    <row r="251" spans="12:31" ht="15" x14ac:dyDescent="0.2">
      <c r="L251" s="154" t="e">
        <f t="shared" si="27"/>
        <v>#VALUE!</v>
      </c>
      <c r="M251">
        <v>1.39</v>
      </c>
      <c r="N251" s="154" t="e">
        <f t="shared" si="28"/>
        <v>#VALUE!</v>
      </c>
      <c r="O251">
        <v>1.39</v>
      </c>
      <c r="P251" s="154" t="e">
        <f t="shared" si="29"/>
        <v>#VALUE!</v>
      </c>
      <c r="Q251">
        <v>1.39</v>
      </c>
      <c r="R251" s="154" t="e">
        <f t="shared" si="30"/>
        <v>#VALUE!</v>
      </c>
      <c r="S251">
        <v>1.39</v>
      </c>
      <c r="T251" s="154" t="e">
        <f t="shared" si="31"/>
        <v>#VALUE!</v>
      </c>
      <c r="U251">
        <v>1.39</v>
      </c>
      <c r="V251" s="154" t="e">
        <f t="shared" si="32"/>
        <v>#VALUE!</v>
      </c>
      <c r="W251">
        <v>1.39</v>
      </c>
      <c r="X251" s="157" t="e">
        <f t="shared" si="33"/>
        <v>#VALUE!</v>
      </c>
      <c r="Y251">
        <v>1.39</v>
      </c>
      <c r="Z251" s="154" t="e">
        <f t="shared" si="34"/>
        <v>#VALUE!</v>
      </c>
      <c r="AA251">
        <v>1.39</v>
      </c>
      <c r="AB251" s="154" t="e">
        <f t="shared" si="35"/>
        <v>#VALUE!</v>
      </c>
      <c r="AC251">
        <v>1.39</v>
      </c>
      <c r="AD251" s="154" t="e">
        <f t="shared" si="36"/>
        <v>#VALUE!</v>
      </c>
      <c r="AE251">
        <v>1.39</v>
      </c>
    </row>
    <row r="252" spans="12:31" ht="15" x14ac:dyDescent="0.2">
      <c r="L252" s="154" t="e">
        <f t="shared" si="27"/>
        <v>#VALUE!</v>
      </c>
      <c r="M252">
        <v>1.4</v>
      </c>
      <c r="N252" s="154" t="e">
        <f t="shared" si="28"/>
        <v>#VALUE!</v>
      </c>
      <c r="O252">
        <v>1.4</v>
      </c>
      <c r="P252" s="154" t="e">
        <f t="shared" si="29"/>
        <v>#VALUE!</v>
      </c>
      <c r="Q252">
        <v>1.4</v>
      </c>
      <c r="R252" s="154" t="e">
        <f t="shared" si="30"/>
        <v>#VALUE!</v>
      </c>
      <c r="S252">
        <v>1.4</v>
      </c>
      <c r="T252" s="154" t="e">
        <f t="shared" si="31"/>
        <v>#VALUE!</v>
      </c>
      <c r="U252">
        <v>1.4</v>
      </c>
      <c r="V252" s="154" t="e">
        <f t="shared" si="32"/>
        <v>#VALUE!</v>
      </c>
      <c r="W252">
        <v>1.4</v>
      </c>
      <c r="X252" s="157" t="e">
        <f t="shared" si="33"/>
        <v>#VALUE!</v>
      </c>
      <c r="Y252">
        <v>1.4</v>
      </c>
      <c r="Z252" s="154" t="e">
        <f t="shared" si="34"/>
        <v>#VALUE!</v>
      </c>
      <c r="AA252">
        <v>1.4</v>
      </c>
      <c r="AB252" s="154" t="e">
        <f t="shared" si="35"/>
        <v>#VALUE!</v>
      </c>
      <c r="AC252">
        <v>1.4</v>
      </c>
      <c r="AD252" s="154" t="e">
        <f t="shared" si="36"/>
        <v>#VALUE!</v>
      </c>
      <c r="AE252">
        <v>1.4</v>
      </c>
    </row>
    <row r="253" spans="12:31" ht="15" x14ac:dyDescent="0.2">
      <c r="L253" s="154" t="e">
        <f t="shared" si="27"/>
        <v>#VALUE!</v>
      </c>
      <c r="M253">
        <v>1.41</v>
      </c>
      <c r="N253" s="154" t="e">
        <f t="shared" si="28"/>
        <v>#VALUE!</v>
      </c>
      <c r="O253">
        <v>1.41</v>
      </c>
      <c r="P253" s="154" t="e">
        <f t="shared" si="29"/>
        <v>#VALUE!</v>
      </c>
      <c r="Q253">
        <v>1.41</v>
      </c>
      <c r="R253" s="154" t="e">
        <f t="shared" si="30"/>
        <v>#VALUE!</v>
      </c>
      <c r="S253">
        <v>1.41</v>
      </c>
      <c r="T253" s="154" t="e">
        <f t="shared" si="31"/>
        <v>#VALUE!</v>
      </c>
      <c r="U253">
        <v>1.41</v>
      </c>
      <c r="V253" s="154" t="e">
        <f t="shared" si="32"/>
        <v>#VALUE!</v>
      </c>
      <c r="W253">
        <v>1.41</v>
      </c>
      <c r="X253" s="157" t="e">
        <f t="shared" si="33"/>
        <v>#VALUE!</v>
      </c>
      <c r="Y253">
        <v>1.41</v>
      </c>
      <c r="Z253" s="154" t="e">
        <f t="shared" si="34"/>
        <v>#VALUE!</v>
      </c>
      <c r="AA253">
        <v>1.41</v>
      </c>
      <c r="AB253" s="154" t="e">
        <f t="shared" si="35"/>
        <v>#VALUE!</v>
      </c>
      <c r="AC253">
        <v>1.41</v>
      </c>
      <c r="AD253" s="154" t="e">
        <f t="shared" si="36"/>
        <v>#VALUE!</v>
      </c>
      <c r="AE253">
        <v>1.41</v>
      </c>
    </row>
    <row r="254" spans="12:31" ht="15" x14ac:dyDescent="0.2">
      <c r="L254" s="154" t="e">
        <f t="shared" si="27"/>
        <v>#VALUE!</v>
      </c>
      <c r="M254">
        <v>1.42</v>
      </c>
      <c r="N254" s="154" t="e">
        <f t="shared" si="28"/>
        <v>#VALUE!</v>
      </c>
      <c r="O254">
        <v>1.42</v>
      </c>
      <c r="P254" s="154" t="e">
        <f t="shared" si="29"/>
        <v>#VALUE!</v>
      </c>
      <c r="Q254">
        <v>1.42</v>
      </c>
      <c r="R254" s="154" t="e">
        <f t="shared" si="30"/>
        <v>#VALUE!</v>
      </c>
      <c r="S254">
        <v>1.42</v>
      </c>
      <c r="T254" s="154" t="e">
        <f t="shared" si="31"/>
        <v>#VALUE!</v>
      </c>
      <c r="U254">
        <v>1.42</v>
      </c>
      <c r="V254" s="154" t="e">
        <f t="shared" si="32"/>
        <v>#VALUE!</v>
      </c>
      <c r="W254">
        <v>1.42</v>
      </c>
      <c r="X254" s="157" t="e">
        <f t="shared" si="33"/>
        <v>#VALUE!</v>
      </c>
      <c r="Y254">
        <v>1.42</v>
      </c>
      <c r="Z254" s="154" t="e">
        <f t="shared" si="34"/>
        <v>#VALUE!</v>
      </c>
      <c r="AA254">
        <v>1.42</v>
      </c>
      <c r="AB254" s="154" t="e">
        <f t="shared" si="35"/>
        <v>#VALUE!</v>
      </c>
      <c r="AC254">
        <v>1.42</v>
      </c>
      <c r="AD254" s="154" t="e">
        <f t="shared" si="36"/>
        <v>#VALUE!</v>
      </c>
      <c r="AE254">
        <v>1.42</v>
      </c>
    </row>
    <row r="255" spans="12:31" ht="15" x14ac:dyDescent="0.2">
      <c r="L255" s="154" t="e">
        <f t="shared" si="27"/>
        <v>#VALUE!</v>
      </c>
      <c r="M255">
        <v>1.43</v>
      </c>
      <c r="N255" s="154" t="e">
        <f t="shared" si="28"/>
        <v>#VALUE!</v>
      </c>
      <c r="O255">
        <v>1.43</v>
      </c>
      <c r="P255" s="154" t="e">
        <f t="shared" si="29"/>
        <v>#VALUE!</v>
      </c>
      <c r="Q255">
        <v>1.43</v>
      </c>
      <c r="R255" s="154" t="e">
        <f t="shared" si="30"/>
        <v>#VALUE!</v>
      </c>
      <c r="S255">
        <v>1.43</v>
      </c>
      <c r="T255" s="154" t="e">
        <f t="shared" si="31"/>
        <v>#VALUE!</v>
      </c>
      <c r="U255">
        <v>1.43</v>
      </c>
      <c r="V255" s="154" t="e">
        <f t="shared" si="32"/>
        <v>#VALUE!</v>
      </c>
      <c r="W255">
        <v>1.43</v>
      </c>
      <c r="X255" s="157" t="e">
        <f t="shared" si="33"/>
        <v>#VALUE!</v>
      </c>
      <c r="Y255">
        <v>1.43</v>
      </c>
      <c r="Z255" s="154" t="e">
        <f t="shared" si="34"/>
        <v>#VALUE!</v>
      </c>
      <c r="AA255">
        <v>1.43</v>
      </c>
      <c r="AB255" s="154" t="e">
        <f t="shared" si="35"/>
        <v>#VALUE!</v>
      </c>
      <c r="AC255">
        <v>1.43</v>
      </c>
      <c r="AD255" s="154" t="e">
        <f t="shared" si="36"/>
        <v>#VALUE!</v>
      </c>
      <c r="AE255">
        <v>1.43</v>
      </c>
    </row>
    <row r="256" spans="12:31" ht="15" x14ac:dyDescent="0.2">
      <c r="L256" s="154" t="e">
        <f t="shared" si="27"/>
        <v>#VALUE!</v>
      </c>
      <c r="M256">
        <v>1.44</v>
      </c>
      <c r="N256" s="154" t="e">
        <f t="shared" si="28"/>
        <v>#VALUE!</v>
      </c>
      <c r="O256">
        <v>1.44</v>
      </c>
      <c r="P256" s="154" t="e">
        <f t="shared" si="29"/>
        <v>#VALUE!</v>
      </c>
      <c r="Q256">
        <v>1.44</v>
      </c>
      <c r="R256" s="154" t="e">
        <f t="shared" si="30"/>
        <v>#VALUE!</v>
      </c>
      <c r="S256">
        <v>1.44</v>
      </c>
      <c r="T256" s="154" t="e">
        <f t="shared" si="31"/>
        <v>#VALUE!</v>
      </c>
      <c r="U256">
        <v>1.44</v>
      </c>
      <c r="V256" s="154" t="e">
        <f t="shared" si="32"/>
        <v>#VALUE!</v>
      </c>
      <c r="W256">
        <v>1.44</v>
      </c>
      <c r="X256" s="157" t="e">
        <f t="shared" si="33"/>
        <v>#VALUE!</v>
      </c>
      <c r="Y256">
        <v>1.44</v>
      </c>
      <c r="Z256" s="154" t="e">
        <f t="shared" si="34"/>
        <v>#VALUE!</v>
      </c>
      <c r="AA256">
        <v>1.44</v>
      </c>
      <c r="AB256" s="154" t="e">
        <f t="shared" si="35"/>
        <v>#VALUE!</v>
      </c>
      <c r="AC256">
        <v>1.44</v>
      </c>
      <c r="AD256" s="154" t="e">
        <f t="shared" si="36"/>
        <v>#VALUE!</v>
      </c>
      <c r="AE256">
        <v>1.44</v>
      </c>
    </row>
    <row r="257" spans="12:31" ht="15" x14ac:dyDescent="0.2">
      <c r="L257" s="154" t="e">
        <f t="shared" si="27"/>
        <v>#VALUE!</v>
      </c>
      <c r="M257">
        <v>1.45</v>
      </c>
      <c r="N257" s="154" t="e">
        <f t="shared" si="28"/>
        <v>#VALUE!</v>
      </c>
      <c r="O257">
        <v>1.45</v>
      </c>
      <c r="P257" s="154" t="e">
        <f t="shared" si="29"/>
        <v>#VALUE!</v>
      </c>
      <c r="Q257">
        <v>1.45</v>
      </c>
      <c r="R257" s="154" t="e">
        <f t="shared" si="30"/>
        <v>#VALUE!</v>
      </c>
      <c r="S257">
        <v>1.45</v>
      </c>
      <c r="T257" s="154" t="e">
        <f t="shared" si="31"/>
        <v>#VALUE!</v>
      </c>
      <c r="U257">
        <v>1.45</v>
      </c>
      <c r="V257" s="154" t="e">
        <f t="shared" si="32"/>
        <v>#VALUE!</v>
      </c>
      <c r="W257">
        <v>1.45</v>
      </c>
      <c r="X257" s="157" t="e">
        <f t="shared" si="33"/>
        <v>#VALUE!</v>
      </c>
      <c r="Y257">
        <v>1.45</v>
      </c>
      <c r="Z257" s="154" t="e">
        <f t="shared" si="34"/>
        <v>#VALUE!</v>
      </c>
      <c r="AA257">
        <v>1.45</v>
      </c>
      <c r="AB257" s="154" t="e">
        <f t="shared" si="35"/>
        <v>#VALUE!</v>
      </c>
      <c r="AC257">
        <v>1.45</v>
      </c>
      <c r="AD257" s="154" t="e">
        <f t="shared" si="36"/>
        <v>#VALUE!</v>
      </c>
      <c r="AE257">
        <v>1.45</v>
      </c>
    </row>
    <row r="258" spans="12:31" ht="15" x14ac:dyDescent="0.2">
      <c r="L258" s="154" t="e">
        <f t="shared" si="27"/>
        <v>#VALUE!</v>
      </c>
      <c r="M258">
        <v>1.46</v>
      </c>
      <c r="N258" s="154" t="e">
        <f t="shared" si="28"/>
        <v>#VALUE!</v>
      </c>
      <c r="O258">
        <v>1.46</v>
      </c>
      <c r="P258" s="154" t="e">
        <f t="shared" si="29"/>
        <v>#VALUE!</v>
      </c>
      <c r="Q258">
        <v>1.46</v>
      </c>
      <c r="R258" s="154" t="e">
        <f t="shared" si="30"/>
        <v>#VALUE!</v>
      </c>
      <c r="S258">
        <v>1.46</v>
      </c>
      <c r="T258" s="154" t="e">
        <f t="shared" si="31"/>
        <v>#VALUE!</v>
      </c>
      <c r="U258">
        <v>1.46</v>
      </c>
      <c r="V258" s="154" t="e">
        <f t="shared" si="32"/>
        <v>#VALUE!</v>
      </c>
      <c r="W258">
        <v>1.46</v>
      </c>
      <c r="X258" s="157" t="e">
        <f t="shared" si="33"/>
        <v>#VALUE!</v>
      </c>
      <c r="Y258">
        <v>1.46</v>
      </c>
      <c r="Z258" s="154" t="e">
        <f t="shared" si="34"/>
        <v>#VALUE!</v>
      </c>
      <c r="AA258">
        <v>1.46</v>
      </c>
      <c r="AB258" s="154" t="e">
        <f t="shared" si="35"/>
        <v>#VALUE!</v>
      </c>
      <c r="AC258">
        <v>1.46</v>
      </c>
      <c r="AD258" s="154" t="e">
        <f t="shared" si="36"/>
        <v>#VALUE!</v>
      </c>
      <c r="AE258">
        <v>1.46</v>
      </c>
    </row>
    <row r="259" spans="12:31" ht="15" x14ac:dyDescent="0.2">
      <c r="L259" s="154" t="e">
        <f t="shared" si="27"/>
        <v>#VALUE!</v>
      </c>
      <c r="M259">
        <v>1.47</v>
      </c>
      <c r="N259" s="154" t="e">
        <f t="shared" si="28"/>
        <v>#VALUE!</v>
      </c>
      <c r="O259">
        <v>1.47</v>
      </c>
      <c r="P259" s="154" t="e">
        <f t="shared" si="29"/>
        <v>#VALUE!</v>
      </c>
      <c r="Q259">
        <v>1.47</v>
      </c>
      <c r="R259" s="154" t="e">
        <f t="shared" si="30"/>
        <v>#VALUE!</v>
      </c>
      <c r="S259">
        <v>1.47</v>
      </c>
      <c r="T259" s="154" t="e">
        <f t="shared" si="31"/>
        <v>#VALUE!</v>
      </c>
      <c r="U259">
        <v>1.47</v>
      </c>
      <c r="V259" s="154" t="e">
        <f t="shared" si="32"/>
        <v>#VALUE!</v>
      </c>
      <c r="W259">
        <v>1.47</v>
      </c>
      <c r="X259" s="157" t="e">
        <f t="shared" si="33"/>
        <v>#VALUE!</v>
      </c>
      <c r="Y259">
        <v>1.47</v>
      </c>
      <c r="Z259" s="154" t="e">
        <f t="shared" si="34"/>
        <v>#VALUE!</v>
      </c>
      <c r="AA259">
        <v>1.47</v>
      </c>
      <c r="AB259" s="154" t="e">
        <f t="shared" si="35"/>
        <v>#VALUE!</v>
      </c>
      <c r="AC259">
        <v>1.47</v>
      </c>
      <c r="AD259" s="154" t="e">
        <f t="shared" si="36"/>
        <v>#VALUE!</v>
      </c>
      <c r="AE259">
        <v>1.47</v>
      </c>
    </row>
    <row r="260" spans="12:31" ht="15" x14ac:dyDescent="0.2">
      <c r="L260" s="154" t="e">
        <f t="shared" si="27"/>
        <v>#VALUE!</v>
      </c>
      <c r="M260">
        <v>1.48</v>
      </c>
      <c r="N260" s="154" t="e">
        <f t="shared" si="28"/>
        <v>#VALUE!</v>
      </c>
      <c r="O260">
        <v>1.48</v>
      </c>
      <c r="P260" s="154" t="e">
        <f t="shared" si="29"/>
        <v>#VALUE!</v>
      </c>
      <c r="Q260">
        <v>1.48</v>
      </c>
      <c r="R260" s="154" t="e">
        <f t="shared" si="30"/>
        <v>#VALUE!</v>
      </c>
      <c r="S260">
        <v>1.48</v>
      </c>
      <c r="T260" s="154" t="e">
        <f t="shared" si="31"/>
        <v>#VALUE!</v>
      </c>
      <c r="U260">
        <v>1.48</v>
      </c>
      <c r="V260" s="154" t="e">
        <f t="shared" si="32"/>
        <v>#VALUE!</v>
      </c>
      <c r="W260">
        <v>1.48</v>
      </c>
      <c r="X260" s="157" t="e">
        <f t="shared" si="33"/>
        <v>#VALUE!</v>
      </c>
      <c r="Y260">
        <v>1.48</v>
      </c>
      <c r="Z260" s="154" t="e">
        <f t="shared" si="34"/>
        <v>#VALUE!</v>
      </c>
      <c r="AA260">
        <v>1.48</v>
      </c>
      <c r="AB260" s="154" t="e">
        <f t="shared" si="35"/>
        <v>#VALUE!</v>
      </c>
      <c r="AC260">
        <v>1.48</v>
      </c>
      <c r="AD260" s="154" t="e">
        <f t="shared" si="36"/>
        <v>#VALUE!</v>
      </c>
      <c r="AE260">
        <v>1.48</v>
      </c>
    </row>
    <row r="261" spans="12:31" ht="15" x14ac:dyDescent="0.2">
      <c r="L261" s="154" t="e">
        <f t="shared" si="27"/>
        <v>#VALUE!</v>
      </c>
      <c r="M261">
        <v>1.49</v>
      </c>
      <c r="N261" s="154" t="e">
        <f t="shared" si="28"/>
        <v>#VALUE!</v>
      </c>
      <c r="O261">
        <v>1.49</v>
      </c>
      <c r="P261" s="154" t="e">
        <f t="shared" si="29"/>
        <v>#VALUE!</v>
      </c>
      <c r="Q261">
        <v>1.49</v>
      </c>
      <c r="R261" s="154" t="e">
        <f t="shared" si="30"/>
        <v>#VALUE!</v>
      </c>
      <c r="S261">
        <v>1.49</v>
      </c>
      <c r="T261" s="154" t="e">
        <f t="shared" si="31"/>
        <v>#VALUE!</v>
      </c>
      <c r="U261">
        <v>1.49</v>
      </c>
      <c r="V261" s="154" t="e">
        <f t="shared" si="32"/>
        <v>#VALUE!</v>
      </c>
      <c r="W261">
        <v>1.49</v>
      </c>
      <c r="X261" s="157" t="e">
        <f t="shared" si="33"/>
        <v>#VALUE!</v>
      </c>
      <c r="Y261">
        <v>1.49</v>
      </c>
      <c r="Z261" s="154" t="e">
        <f t="shared" si="34"/>
        <v>#VALUE!</v>
      </c>
      <c r="AA261">
        <v>1.49</v>
      </c>
      <c r="AB261" s="154" t="e">
        <f t="shared" si="35"/>
        <v>#VALUE!</v>
      </c>
      <c r="AC261">
        <v>1.49</v>
      </c>
      <c r="AD261" s="154" t="e">
        <f t="shared" si="36"/>
        <v>#VALUE!</v>
      </c>
      <c r="AE261">
        <v>1.49</v>
      </c>
    </row>
    <row r="262" spans="12:31" ht="15" x14ac:dyDescent="0.2">
      <c r="L262" s="154" t="e">
        <f t="shared" si="27"/>
        <v>#VALUE!</v>
      </c>
      <c r="M262">
        <v>1.5</v>
      </c>
      <c r="N262" s="154" t="e">
        <f t="shared" si="28"/>
        <v>#VALUE!</v>
      </c>
      <c r="O262">
        <v>1.5</v>
      </c>
      <c r="P262" s="154" t="e">
        <f t="shared" si="29"/>
        <v>#VALUE!</v>
      </c>
      <c r="Q262">
        <v>1.5</v>
      </c>
      <c r="R262" s="154" t="e">
        <f t="shared" si="30"/>
        <v>#VALUE!</v>
      </c>
      <c r="S262">
        <v>1.5</v>
      </c>
      <c r="T262" s="154" t="e">
        <f t="shared" si="31"/>
        <v>#VALUE!</v>
      </c>
      <c r="U262">
        <v>1.5</v>
      </c>
      <c r="V262" s="154" t="e">
        <f t="shared" si="32"/>
        <v>#VALUE!</v>
      </c>
      <c r="W262">
        <v>1.5</v>
      </c>
      <c r="X262" s="157" t="e">
        <f t="shared" si="33"/>
        <v>#VALUE!</v>
      </c>
      <c r="Y262">
        <v>1.5</v>
      </c>
      <c r="Z262" s="154" t="e">
        <f t="shared" si="34"/>
        <v>#VALUE!</v>
      </c>
      <c r="AA262">
        <v>1.5</v>
      </c>
      <c r="AB262" s="154" t="e">
        <f t="shared" si="35"/>
        <v>#VALUE!</v>
      </c>
      <c r="AC262">
        <v>1.5</v>
      </c>
      <c r="AD262" s="154" t="e">
        <f t="shared" si="36"/>
        <v>#VALUE!</v>
      </c>
      <c r="AE262">
        <v>1.5</v>
      </c>
    </row>
    <row r="263" spans="12:31" ht="15" x14ac:dyDescent="0.2">
      <c r="L263" s="154" t="e">
        <f t="shared" si="27"/>
        <v>#VALUE!</v>
      </c>
      <c r="M263">
        <v>1.51</v>
      </c>
      <c r="N263" s="154" t="e">
        <f t="shared" si="28"/>
        <v>#VALUE!</v>
      </c>
      <c r="O263">
        <v>1.51</v>
      </c>
      <c r="P263" s="154" t="e">
        <f t="shared" si="29"/>
        <v>#VALUE!</v>
      </c>
      <c r="Q263">
        <v>1.51</v>
      </c>
      <c r="R263" s="154" t="e">
        <f t="shared" si="30"/>
        <v>#VALUE!</v>
      </c>
      <c r="S263">
        <v>1.51</v>
      </c>
      <c r="T263" s="154" t="e">
        <f t="shared" si="31"/>
        <v>#VALUE!</v>
      </c>
      <c r="U263">
        <v>1.51</v>
      </c>
      <c r="V263" s="154" t="e">
        <f t="shared" si="32"/>
        <v>#VALUE!</v>
      </c>
      <c r="W263">
        <v>1.51</v>
      </c>
      <c r="X263" s="157" t="e">
        <f t="shared" si="33"/>
        <v>#VALUE!</v>
      </c>
      <c r="Y263">
        <v>1.51</v>
      </c>
      <c r="Z263" s="154" t="e">
        <f t="shared" si="34"/>
        <v>#VALUE!</v>
      </c>
      <c r="AA263">
        <v>1.51</v>
      </c>
      <c r="AB263" s="154" t="e">
        <f t="shared" si="35"/>
        <v>#VALUE!</v>
      </c>
      <c r="AC263">
        <v>1.51</v>
      </c>
      <c r="AD263" s="154" t="e">
        <f t="shared" si="36"/>
        <v>#VALUE!</v>
      </c>
      <c r="AE263">
        <v>1.51</v>
      </c>
    </row>
    <row r="264" spans="12:31" ht="15" x14ac:dyDescent="0.2">
      <c r="L264" s="154" t="e">
        <f t="shared" si="27"/>
        <v>#VALUE!</v>
      </c>
      <c r="M264">
        <v>1.52</v>
      </c>
      <c r="N264" s="154" t="e">
        <f t="shared" si="28"/>
        <v>#VALUE!</v>
      </c>
      <c r="O264">
        <v>1.52</v>
      </c>
      <c r="P264" s="154" t="e">
        <f t="shared" si="29"/>
        <v>#VALUE!</v>
      </c>
      <c r="Q264">
        <v>1.52</v>
      </c>
      <c r="R264" s="154" t="e">
        <f t="shared" si="30"/>
        <v>#VALUE!</v>
      </c>
      <c r="S264">
        <v>1.52</v>
      </c>
      <c r="T264" s="154" t="e">
        <f t="shared" si="31"/>
        <v>#VALUE!</v>
      </c>
      <c r="U264">
        <v>1.52</v>
      </c>
      <c r="V264" s="154" t="e">
        <f t="shared" si="32"/>
        <v>#VALUE!</v>
      </c>
      <c r="W264">
        <v>1.52</v>
      </c>
      <c r="X264" s="157" t="e">
        <f t="shared" si="33"/>
        <v>#VALUE!</v>
      </c>
      <c r="Y264">
        <v>1.52</v>
      </c>
      <c r="Z264" s="154" t="e">
        <f t="shared" si="34"/>
        <v>#VALUE!</v>
      </c>
      <c r="AA264">
        <v>1.52</v>
      </c>
      <c r="AB264" s="154" t="e">
        <f t="shared" si="35"/>
        <v>#VALUE!</v>
      </c>
      <c r="AC264">
        <v>1.52</v>
      </c>
      <c r="AD264" s="154" t="e">
        <f t="shared" si="36"/>
        <v>#VALUE!</v>
      </c>
      <c r="AE264">
        <v>1.52</v>
      </c>
    </row>
    <row r="265" spans="12:31" ht="15" x14ac:dyDescent="0.2">
      <c r="L265" s="154" t="e">
        <f t="shared" si="27"/>
        <v>#VALUE!</v>
      </c>
      <c r="M265">
        <v>1.53</v>
      </c>
      <c r="N265" s="154" t="e">
        <f t="shared" si="28"/>
        <v>#VALUE!</v>
      </c>
      <c r="O265">
        <v>1.53</v>
      </c>
      <c r="P265" s="154" t="e">
        <f t="shared" si="29"/>
        <v>#VALUE!</v>
      </c>
      <c r="Q265">
        <v>1.53</v>
      </c>
      <c r="R265" s="154" t="e">
        <f t="shared" si="30"/>
        <v>#VALUE!</v>
      </c>
      <c r="S265">
        <v>1.53</v>
      </c>
      <c r="T265" s="154" t="e">
        <f t="shared" si="31"/>
        <v>#VALUE!</v>
      </c>
      <c r="U265">
        <v>1.53</v>
      </c>
      <c r="V265" s="154" t="e">
        <f t="shared" si="32"/>
        <v>#VALUE!</v>
      </c>
      <c r="W265">
        <v>1.53</v>
      </c>
      <c r="X265" s="157" t="e">
        <f t="shared" si="33"/>
        <v>#VALUE!</v>
      </c>
      <c r="Y265">
        <v>1.53</v>
      </c>
      <c r="Z265" s="154" t="e">
        <f t="shared" si="34"/>
        <v>#VALUE!</v>
      </c>
      <c r="AA265">
        <v>1.53</v>
      </c>
      <c r="AB265" s="154" t="e">
        <f t="shared" si="35"/>
        <v>#VALUE!</v>
      </c>
      <c r="AC265">
        <v>1.53</v>
      </c>
      <c r="AD265" s="154" t="e">
        <f t="shared" si="36"/>
        <v>#VALUE!</v>
      </c>
      <c r="AE265">
        <v>1.53</v>
      </c>
    </row>
    <row r="266" spans="12:31" ht="15" x14ac:dyDescent="0.2">
      <c r="L266" s="154" t="e">
        <f t="shared" si="27"/>
        <v>#VALUE!</v>
      </c>
      <c r="M266">
        <v>1.54</v>
      </c>
      <c r="N266" s="154" t="e">
        <f t="shared" si="28"/>
        <v>#VALUE!</v>
      </c>
      <c r="O266">
        <v>1.54</v>
      </c>
      <c r="P266" s="154" t="e">
        <f t="shared" si="29"/>
        <v>#VALUE!</v>
      </c>
      <c r="Q266">
        <v>1.54</v>
      </c>
      <c r="R266" s="154" t="e">
        <f t="shared" si="30"/>
        <v>#VALUE!</v>
      </c>
      <c r="S266">
        <v>1.54</v>
      </c>
      <c r="T266" s="154" t="e">
        <f t="shared" si="31"/>
        <v>#VALUE!</v>
      </c>
      <c r="U266">
        <v>1.54</v>
      </c>
      <c r="V266" s="154" t="e">
        <f t="shared" si="32"/>
        <v>#VALUE!</v>
      </c>
      <c r="W266">
        <v>1.54</v>
      </c>
      <c r="X266" s="157" t="e">
        <f t="shared" si="33"/>
        <v>#VALUE!</v>
      </c>
      <c r="Y266">
        <v>1.54</v>
      </c>
      <c r="Z266" s="154" t="e">
        <f t="shared" si="34"/>
        <v>#VALUE!</v>
      </c>
      <c r="AA266">
        <v>1.54</v>
      </c>
      <c r="AB266" s="154" t="e">
        <f t="shared" si="35"/>
        <v>#VALUE!</v>
      </c>
      <c r="AC266">
        <v>1.54</v>
      </c>
      <c r="AD266" s="154" t="e">
        <f t="shared" si="36"/>
        <v>#VALUE!</v>
      </c>
      <c r="AE266">
        <v>1.54</v>
      </c>
    </row>
    <row r="267" spans="12:31" ht="15" x14ac:dyDescent="0.2">
      <c r="L267" s="154" t="e">
        <f t="shared" si="27"/>
        <v>#VALUE!</v>
      </c>
      <c r="M267">
        <v>1.55</v>
      </c>
      <c r="N267" s="154" t="e">
        <f t="shared" si="28"/>
        <v>#VALUE!</v>
      </c>
      <c r="O267">
        <v>1.55</v>
      </c>
      <c r="P267" s="154" t="e">
        <f t="shared" si="29"/>
        <v>#VALUE!</v>
      </c>
      <c r="Q267">
        <v>1.55</v>
      </c>
      <c r="R267" s="154" t="e">
        <f t="shared" si="30"/>
        <v>#VALUE!</v>
      </c>
      <c r="S267">
        <v>1.55</v>
      </c>
      <c r="T267" s="154" t="e">
        <f t="shared" si="31"/>
        <v>#VALUE!</v>
      </c>
      <c r="U267">
        <v>1.55</v>
      </c>
      <c r="V267" s="154" t="e">
        <f t="shared" si="32"/>
        <v>#VALUE!</v>
      </c>
      <c r="W267">
        <v>1.55</v>
      </c>
      <c r="X267" s="157" t="e">
        <f t="shared" si="33"/>
        <v>#VALUE!</v>
      </c>
      <c r="Y267">
        <v>1.55</v>
      </c>
      <c r="Z267" s="154" t="e">
        <f t="shared" si="34"/>
        <v>#VALUE!</v>
      </c>
      <c r="AA267">
        <v>1.55</v>
      </c>
      <c r="AB267" s="154" t="e">
        <f t="shared" si="35"/>
        <v>#VALUE!</v>
      </c>
      <c r="AC267">
        <v>1.55</v>
      </c>
      <c r="AD267" s="154" t="e">
        <f t="shared" si="36"/>
        <v>#VALUE!</v>
      </c>
      <c r="AE267">
        <v>1.55</v>
      </c>
    </row>
    <row r="268" spans="12:31" ht="15" x14ac:dyDescent="0.2">
      <c r="L268" s="154" t="e">
        <f t="shared" si="27"/>
        <v>#VALUE!</v>
      </c>
      <c r="M268">
        <v>1.56</v>
      </c>
      <c r="N268" s="154" t="e">
        <f t="shared" si="28"/>
        <v>#VALUE!</v>
      </c>
      <c r="O268">
        <v>1.56</v>
      </c>
      <c r="P268" s="154" t="e">
        <f t="shared" si="29"/>
        <v>#VALUE!</v>
      </c>
      <c r="Q268">
        <v>1.56</v>
      </c>
      <c r="R268" s="154" t="e">
        <f t="shared" si="30"/>
        <v>#VALUE!</v>
      </c>
      <c r="S268">
        <v>1.56</v>
      </c>
      <c r="T268" s="154" t="e">
        <f t="shared" si="31"/>
        <v>#VALUE!</v>
      </c>
      <c r="U268">
        <v>1.56</v>
      </c>
      <c r="V268" s="154" t="e">
        <f t="shared" si="32"/>
        <v>#VALUE!</v>
      </c>
      <c r="W268">
        <v>1.56</v>
      </c>
      <c r="X268" s="157" t="e">
        <f t="shared" si="33"/>
        <v>#VALUE!</v>
      </c>
      <c r="Y268">
        <v>1.56</v>
      </c>
      <c r="Z268" s="154" t="e">
        <f t="shared" si="34"/>
        <v>#VALUE!</v>
      </c>
      <c r="AA268">
        <v>1.56</v>
      </c>
      <c r="AB268" s="154" t="e">
        <f t="shared" si="35"/>
        <v>#VALUE!</v>
      </c>
      <c r="AC268">
        <v>1.56</v>
      </c>
      <c r="AD268" s="154" t="e">
        <f t="shared" si="36"/>
        <v>#VALUE!</v>
      </c>
      <c r="AE268">
        <v>1.56</v>
      </c>
    </row>
    <row r="269" spans="12:31" ht="15" x14ac:dyDescent="0.2">
      <c r="L269" s="154" t="e">
        <f t="shared" si="27"/>
        <v>#VALUE!</v>
      </c>
      <c r="M269">
        <v>1.57</v>
      </c>
      <c r="N269" s="154" t="e">
        <f t="shared" si="28"/>
        <v>#VALUE!</v>
      </c>
      <c r="O269">
        <v>1.57</v>
      </c>
      <c r="P269" s="154" t="e">
        <f t="shared" si="29"/>
        <v>#VALUE!</v>
      </c>
      <c r="Q269">
        <v>1.57</v>
      </c>
      <c r="R269" s="154" t="e">
        <f t="shared" si="30"/>
        <v>#VALUE!</v>
      </c>
      <c r="S269">
        <v>1.57</v>
      </c>
      <c r="T269" s="154" t="e">
        <f t="shared" si="31"/>
        <v>#VALUE!</v>
      </c>
      <c r="U269">
        <v>1.57</v>
      </c>
      <c r="V269" s="154" t="e">
        <f t="shared" si="32"/>
        <v>#VALUE!</v>
      </c>
      <c r="W269">
        <v>1.57</v>
      </c>
      <c r="X269" s="157" t="e">
        <f t="shared" si="33"/>
        <v>#VALUE!</v>
      </c>
      <c r="Y269">
        <v>1.57</v>
      </c>
      <c r="Z269" s="154" t="e">
        <f t="shared" si="34"/>
        <v>#VALUE!</v>
      </c>
      <c r="AA269">
        <v>1.57</v>
      </c>
      <c r="AB269" s="154" t="e">
        <f t="shared" si="35"/>
        <v>#VALUE!</v>
      </c>
      <c r="AC269">
        <v>1.57</v>
      </c>
      <c r="AD269" s="154" t="e">
        <f t="shared" si="36"/>
        <v>#VALUE!</v>
      </c>
      <c r="AE269">
        <v>1.57</v>
      </c>
    </row>
    <row r="270" spans="12:31" ht="15" x14ac:dyDescent="0.2">
      <c r="L270" s="154" t="e">
        <f t="shared" si="27"/>
        <v>#VALUE!</v>
      </c>
      <c r="M270">
        <v>1.58</v>
      </c>
      <c r="N270" s="154" t="e">
        <f t="shared" si="28"/>
        <v>#VALUE!</v>
      </c>
      <c r="O270">
        <v>1.58</v>
      </c>
      <c r="P270" s="154" t="e">
        <f t="shared" si="29"/>
        <v>#VALUE!</v>
      </c>
      <c r="Q270">
        <v>1.58</v>
      </c>
      <c r="R270" s="154" t="e">
        <f t="shared" si="30"/>
        <v>#VALUE!</v>
      </c>
      <c r="S270">
        <v>1.58</v>
      </c>
      <c r="T270" s="154" t="e">
        <f t="shared" si="31"/>
        <v>#VALUE!</v>
      </c>
      <c r="U270">
        <v>1.58</v>
      </c>
      <c r="V270" s="154" t="e">
        <f t="shared" si="32"/>
        <v>#VALUE!</v>
      </c>
      <c r="W270">
        <v>1.58</v>
      </c>
      <c r="X270" s="157" t="e">
        <f t="shared" si="33"/>
        <v>#VALUE!</v>
      </c>
      <c r="Y270">
        <v>1.58</v>
      </c>
      <c r="Z270" s="154" t="e">
        <f t="shared" si="34"/>
        <v>#VALUE!</v>
      </c>
      <c r="AA270">
        <v>1.58</v>
      </c>
      <c r="AB270" s="154" t="e">
        <f t="shared" si="35"/>
        <v>#VALUE!</v>
      </c>
      <c r="AC270">
        <v>1.58</v>
      </c>
      <c r="AD270" s="154" t="e">
        <f t="shared" si="36"/>
        <v>#VALUE!</v>
      </c>
      <c r="AE270">
        <v>1.58</v>
      </c>
    </row>
    <row r="271" spans="12:31" ht="15" x14ac:dyDescent="0.2">
      <c r="L271" s="154" t="e">
        <f t="shared" si="27"/>
        <v>#VALUE!</v>
      </c>
      <c r="M271">
        <v>1.59</v>
      </c>
      <c r="N271" s="154" t="e">
        <f t="shared" si="28"/>
        <v>#VALUE!</v>
      </c>
      <c r="O271">
        <v>1.59</v>
      </c>
      <c r="P271" s="154" t="e">
        <f t="shared" si="29"/>
        <v>#VALUE!</v>
      </c>
      <c r="Q271">
        <v>1.59</v>
      </c>
      <c r="R271" s="154" t="e">
        <f t="shared" si="30"/>
        <v>#VALUE!</v>
      </c>
      <c r="S271">
        <v>1.59</v>
      </c>
      <c r="T271" s="154" t="e">
        <f t="shared" si="31"/>
        <v>#VALUE!</v>
      </c>
      <c r="U271">
        <v>1.59</v>
      </c>
      <c r="V271" s="154" t="e">
        <f t="shared" si="32"/>
        <v>#VALUE!</v>
      </c>
      <c r="W271">
        <v>1.59</v>
      </c>
      <c r="X271" s="157" t="e">
        <f t="shared" si="33"/>
        <v>#VALUE!</v>
      </c>
      <c r="Y271">
        <v>1.59</v>
      </c>
      <c r="Z271" s="154" t="e">
        <f t="shared" si="34"/>
        <v>#VALUE!</v>
      </c>
      <c r="AA271">
        <v>1.59</v>
      </c>
      <c r="AB271" s="154" t="e">
        <f t="shared" si="35"/>
        <v>#VALUE!</v>
      </c>
      <c r="AC271">
        <v>1.59</v>
      </c>
      <c r="AD271" s="154" t="e">
        <f t="shared" si="36"/>
        <v>#VALUE!</v>
      </c>
      <c r="AE271">
        <v>1.59</v>
      </c>
    </row>
    <row r="272" spans="12:31" ht="15" x14ac:dyDescent="0.2">
      <c r="L272" s="154" t="e">
        <f t="shared" si="27"/>
        <v>#VALUE!</v>
      </c>
      <c r="M272">
        <v>1.6</v>
      </c>
      <c r="N272" s="154" t="e">
        <f t="shared" si="28"/>
        <v>#VALUE!</v>
      </c>
      <c r="O272">
        <v>1.6</v>
      </c>
      <c r="P272" s="154" t="e">
        <f t="shared" si="29"/>
        <v>#VALUE!</v>
      </c>
      <c r="Q272">
        <v>1.6</v>
      </c>
      <c r="R272" s="154" t="e">
        <f t="shared" si="30"/>
        <v>#VALUE!</v>
      </c>
      <c r="S272">
        <v>1.6</v>
      </c>
      <c r="T272" s="154" t="e">
        <f t="shared" si="31"/>
        <v>#VALUE!</v>
      </c>
      <c r="U272">
        <v>1.6</v>
      </c>
      <c r="V272" s="154" t="e">
        <f t="shared" si="32"/>
        <v>#VALUE!</v>
      </c>
      <c r="W272">
        <v>1.6</v>
      </c>
      <c r="X272" s="157" t="e">
        <f t="shared" si="33"/>
        <v>#VALUE!</v>
      </c>
      <c r="Y272">
        <v>1.6</v>
      </c>
      <c r="Z272" s="154" t="e">
        <f t="shared" si="34"/>
        <v>#VALUE!</v>
      </c>
      <c r="AA272">
        <v>1.6</v>
      </c>
      <c r="AB272" s="154" t="e">
        <f t="shared" si="35"/>
        <v>#VALUE!</v>
      </c>
      <c r="AC272">
        <v>1.6</v>
      </c>
      <c r="AD272" s="154" t="e">
        <f t="shared" si="36"/>
        <v>#VALUE!</v>
      </c>
      <c r="AE272">
        <v>1.6</v>
      </c>
    </row>
    <row r="273" spans="12:31" ht="15" x14ac:dyDescent="0.2">
      <c r="L273" s="154" t="e">
        <f t="shared" si="27"/>
        <v>#VALUE!</v>
      </c>
      <c r="M273">
        <v>1.61</v>
      </c>
      <c r="N273" s="154" t="e">
        <f t="shared" si="28"/>
        <v>#VALUE!</v>
      </c>
      <c r="O273">
        <v>1.61</v>
      </c>
      <c r="P273" s="154" t="e">
        <f t="shared" si="29"/>
        <v>#VALUE!</v>
      </c>
      <c r="Q273">
        <v>1.61</v>
      </c>
      <c r="R273" s="154" t="e">
        <f t="shared" si="30"/>
        <v>#VALUE!</v>
      </c>
      <c r="S273">
        <v>1.61</v>
      </c>
      <c r="T273" s="154" t="e">
        <f t="shared" si="31"/>
        <v>#VALUE!</v>
      </c>
      <c r="U273">
        <v>1.61</v>
      </c>
      <c r="V273" s="154" t="e">
        <f t="shared" si="32"/>
        <v>#VALUE!</v>
      </c>
      <c r="W273">
        <v>1.61</v>
      </c>
      <c r="X273" s="157" t="e">
        <f t="shared" si="33"/>
        <v>#VALUE!</v>
      </c>
      <c r="Y273">
        <v>1.61</v>
      </c>
      <c r="Z273" s="154" t="e">
        <f t="shared" si="34"/>
        <v>#VALUE!</v>
      </c>
      <c r="AA273">
        <v>1.61</v>
      </c>
      <c r="AB273" s="154" t="e">
        <f t="shared" si="35"/>
        <v>#VALUE!</v>
      </c>
      <c r="AC273">
        <v>1.61</v>
      </c>
      <c r="AD273" s="154" t="e">
        <f t="shared" si="36"/>
        <v>#VALUE!</v>
      </c>
      <c r="AE273">
        <v>1.61</v>
      </c>
    </row>
    <row r="274" spans="12:31" ht="15" x14ac:dyDescent="0.2">
      <c r="L274" s="154" t="e">
        <f t="shared" si="27"/>
        <v>#VALUE!</v>
      </c>
      <c r="M274">
        <v>1.62</v>
      </c>
      <c r="N274" s="154" t="e">
        <f t="shared" si="28"/>
        <v>#VALUE!</v>
      </c>
      <c r="O274">
        <v>1.62</v>
      </c>
      <c r="P274" s="154" t="e">
        <f t="shared" si="29"/>
        <v>#VALUE!</v>
      </c>
      <c r="Q274">
        <v>1.62</v>
      </c>
      <c r="R274" s="154" t="e">
        <f t="shared" si="30"/>
        <v>#VALUE!</v>
      </c>
      <c r="S274">
        <v>1.62</v>
      </c>
      <c r="T274" s="154" t="e">
        <f t="shared" si="31"/>
        <v>#VALUE!</v>
      </c>
      <c r="U274">
        <v>1.62</v>
      </c>
      <c r="V274" s="154" t="e">
        <f t="shared" si="32"/>
        <v>#VALUE!</v>
      </c>
      <c r="W274">
        <v>1.62</v>
      </c>
      <c r="X274" s="157" t="e">
        <f t="shared" si="33"/>
        <v>#VALUE!</v>
      </c>
      <c r="Y274">
        <v>1.62</v>
      </c>
      <c r="Z274" s="154" t="e">
        <f t="shared" si="34"/>
        <v>#VALUE!</v>
      </c>
      <c r="AA274">
        <v>1.62</v>
      </c>
      <c r="AB274" s="154" t="e">
        <f t="shared" si="35"/>
        <v>#VALUE!</v>
      </c>
      <c r="AC274">
        <v>1.62</v>
      </c>
      <c r="AD274" s="154" t="e">
        <f t="shared" si="36"/>
        <v>#VALUE!</v>
      </c>
      <c r="AE274">
        <v>1.62</v>
      </c>
    </row>
    <row r="275" spans="12:31" ht="15" x14ac:dyDescent="0.2">
      <c r="L275" s="154" t="e">
        <f t="shared" si="27"/>
        <v>#VALUE!</v>
      </c>
      <c r="M275">
        <v>1.63</v>
      </c>
      <c r="N275" s="154" t="e">
        <f t="shared" si="28"/>
        <v>#VALUE!</v>
      </c>
      <c r="O275">
        <v>1.63</v>
      </c>
      <c r="P275" s="154" t="e">
        <f t="shared" si="29"/>
        <v>#VALUE!</v>
      </c>
      <c r="Q275">
        <v>1.63</v>
      </c>
      <c r="R275" s="154" t="e">
        <f t="shared" si="30"/>
        <v>#VALUE!</v>
      </c>
      <c r="S275">
        <v>1.63</v>
      </c>
      <c r="T275" s="154" t="e">
        <f t="shared" si="31"/>
        <v>#VALUE!</v>
      </c>
      <c r="U275">
        <v>1.63</v>
      </c>
      <c r="V275" s="154" t="e">
        <f t="shared" si="32"/>
        <v>#VALUE!</v>
      </c>
      <c r="W275">
        <v>1.63</v>
      </c>
      <c r="X275" s="157" t="e">
        <f t="shared" si="33"/>
        <v>#VALUE!</v>
      </c>
      <c r="Y275">
        <v>1.63</v>
      </c>
      <c r="Z275" s="154" t="e">
        <f t="shared" si="34"/>
        <v>#VALUE!</v>
      </c>
      <c r="AA275">
        <v>1.63</v>
      </c>
      <c r="AB275" s="154" t="e">
        <f t="shared" si="35"/>
        <v>#VALUE!</v>
      </c>
      <c r="AC275">
        <v>1.63</v>
      </c>
      <c r="AD275" s="154" t="e">
        <f t="shared" si="36"/>
        <v>#VALUE!</v>
      </c>
      <c r="AE275">
        <v>1.63</v>
      </c>
    </row>
    <row r="276" spans="12:31" ht="15" x14ac:dyDescent="0.2">
      <c r="L276" s="154" t="e">
        <f t="shared" si="27"/>
        <v>#VALUE!</v>
      </c>
      <c r="M276">
        <v>1.64</v>
      </c>
      <c r="N276" s="154" t="e">
        <f t="shared" si="28"/>
        <v>#VALUE!</v>
      </c>
      <c r="O276">
        <v>1.64</v>
      </c>
      <c r="P276" s="154" t="e">
        <f t="shared" si="29"/>
        <v>#VALUE!</v>
      </c>
      <c r="Q276">
        <v>1.64</v>
      </c>
      <c r="R276" s="154" t="e">
        <f t="shared" si="30"/>
        <v>#VALUE!</v>
      </c>
      <c r="S276">
        <v>1.64</v>
      </c>
      <c r="T276" s="154" t="e">
        <f t="shared" si="31"/>
        <v>#VALUE!</v>
      </c>
      <c r="U276">
        <v>1.64</v>
      </c>
      <c r="V276" s="154" t="e">
        <f t="shared" si="32"/>
        <v>#VALUE!</v>
      </c>
      <c r="W276">
        <v>1.64</v>
      </c>
      <c r="X276" s="157" t="e">
        <f t="shared" si="33"/>
        <v>#VALUE!</v>
      </c>
      <c r="Y276">
        <v>1.64</v>
      </c>
      <c r="Z276" s="154" t="e">
        <f t="shared" si="34"/>
        <v>#VALUE!</v>
      </c>
      <c r="AA276">
        <v>1.64</v>
      </c>
      <c r="AB276" s="154" t="e">
        <f t="shared" si="35"/>
        <v>#VALUE!</v>
      </c>
      <c r="AC276">
        <v>1.64</v>
      </c>
      <c r="AD276" s="154" t="e">
        <f t="shared" si="36"/>
        <v>#VALUE!</v>
      </c>
      <c r="AE276">
        <v>1.64</v>
      </c>
    </row>
    <row r="277" spans="12:31" ht="15" x14ac:dyDescent="0.2">
      <c r="L277" s="154" t="e">
        <f t="shared" si="27"/>
        <v>#VALUE!</v>
      </c>
      <c r="M277">
        <v>1.65</v>
      </c>
      <c r="N277" s="154" t="e">
        <f t="shared" si="28"/>
        <v>#VALUE!</v>
      </c>
      <c r="O277">
        <v>1.65</v>
      </c>
      <c r="P277" s="154" t="e">
        <f t="shared" si="29"/>
        <v>#VALUE!</v>
      </c>
      <c r="Q277">
        <v>1.65</v>
      </c>
      <c r="R277" s="154" t="e">
        <f t="shared" si="30"/>
        <v>#VALUE!</v>
      </c>
      <c r="S277">
        <v>1.65</v>
      </c>
      <c r="T277" s="154" t="e">
        <f t="shared" si="31"/>
        <v>#VALUE!</v>
      </c>
      <c r="U277">
        <v>1.65</v>
      </c>
      <c r="V277" s="154" t="e">
        <f t="shared" si="32"/>
        <v>#VALUE!</v>
      </c>
      <c r="W277">
        <v>1.65</v>
      </c>
      <c r="X277" s="157" t="e">
        <f t="shared" si="33"/>
        <v>#VALUE!</v>
      </c>
      <c r="Y277">
        <v>1.65</v>
      </c>
      <c r="Z277" s="154" t="e">
        <f t="shared" si="34"/>
        <v>#VALUE!</v>
      </c>
      <c r="AA277">
        <v>1.65</v>
      </c>
      <c r="AB277" s="154" t="e">
        <f t="shared" si="35"/>
        <v>#VALUE!</v>
      </c>
      <c r="AC277">
        <v>1.65</v>
      </c>
      <c r="AD277" s="154" t="e">
        <f t="shared" si="36"/>
        <v>#VALUE!</v>
      </c>
      <c r="AE277">
        <v>1.65</v>
      </c>
    </row>
    <row r="278" spans="12:31" ht="15" x14ac:dyDescent="0.2">
      <c r="L278" s="154" t="e">
        <f t="shared" si="27"/>
        <v>#VALUE!</v>
      </c>
      <c r="M278">
        <v>1.66</v>
      </c>
      <c r="N278" s="154" t="e">
        <f t="shared" si="28"/>
        <v>#VALUE!</v>
      </c>
      <c r="O278">
        <v>1.66</v>
      </c>
      <c r="P278" s="154" t="e">
        <f t="shared" si="29"/>
        <v>#VALUE!</v>
      </c>
      <c r="Q278">
        <v>1.66</v>
      </c>
      <c r="R278" s="154" t="e">
        <f t="shared" si="30"/>
        <v>#VALUE!</v>
      </c>
      <c r="S278">
        <v>1.66</v>
      </c>
      <c r="T278" s="154" t="e">
        <f t="shared" si="31"/>
        <v>#VALUE!</v>
      </c>
      <c r="U278">
        <v>1.66</v>
      </c>
      <c r="V278" s="154" t="e">
        <f t="shared" si="32"/>
        <v>#VALUE!</v>
      </c>
      <c r="W278">
        <v>1.66</v>
      </c>
      <c r="X278" s="157" t="e">
        <f t="shared" si="33"/>
        <v>#VALUE!</v>
      </c>
      <c r="Y278">
        <v>1.66</v>
      </c>
      <c r="Z278" s="154" t="e">
        <f t="shared" si="34"/>
        <v>#VALUE!</v>
      </c>
      <c r="AA278">
        <v>1.66</v>
      </c>
      <c r="AB278" s="154" t="e">
        <f t="shared" si="35"/>
        <v>#VALUE!</v>
      </c>
      <c r="AC278">
        <v>1.66</v>
      </c>
      <c r="AD278" s="154" t="e">
        <f t="shared" si="36"/>
        <v>#VALUE!</v>
      </c>
      <c r="AE278">
        <v>1.66</v>
      </c>
    </row>
    <row r="279" spans="12:31" ht="15" x14ac:dyDescent="0.2">
      <c r="L279" s="154" t="e">
        <f t="shared" si="27"/>
        <v>#VALUE!</v>
      </c>
      <c r="M279">
        <v>1.67</v>
      </c>
      <c r="N279" s="154" t="e">
        <f t="shared" si="28"/>
        <v>#VALUE!</v>
      </c>
      <c r="O279">
        <v>1.67</v>
      </c>
      <c r="P279" s="154" t="e">
        <f t="shared" si="29"/>
        <v>#VALUE!</v>
      </c>
      <c r="Q279">
        <v>1.67</v>
      </c>
      <c r="R279" s="154" t="e">
        <f t="shared" si="30"/>
        <v>#VALUE!</v>
      </c>
      <c r="S279">
        <v>1.67</v>
      </c>
      <c r="T279" s="154" t="e">
        <f t="shared" si="31"/>
        <v>#VALUE!</v>
      </c>
      <c r="U279">
        <v>1.67</v>
      </c>
      <c r="V279" s="154" t="e">
        <f t="shared" si="32"/>
        <v>#VALUE!</v>
      </c>
      <c r="W279">
        <v>1.67</v>
      </c>
      <c r="X279" s="157" t="e">
        <f t="shared" si="33"/>
        <v>#VALUE!</v>
      </c>
      <c r="Y279">
        <v>1.67</v>
      </c>
      <c r="Z279" s="154" t="e">
        <f t="shared" si="34"/>
        <v>#VALUE!</v>
      </c>
      <c r="AA279">
        <v>1.67</v>
      </c>
      <c r="AB279" s="154" t="e">
        <f t="shared" si="35"/>
        <v>#VALUE!</v>
      </c>
      <c r="AC279">
        <v>1.67</v>
      </c>
      <c r="AD279" s="154" t="e">
        <f t="shared" si="36"/>
        <v>#VALUE!</v>
      </c>
      <c r="AE279">
        <v>1.67</v>
      </c>
    </row>
    <row r="280" spans="12:31" ht="15" x14ac:dyDescent="0.2">
      <c r="L280" s="154" t="e">
        <f t="shared" si="27"/>
        <v>#VALUE!</v>
      </c>
      <c r="M280">
        <v>1.68</v>
      </c>
      <c r="N280" s="154" t="e">
        <f t="shared" si="28"/>
        <v>#VALUE!</v>
      </c>
      <c r="O280">
        <v>1.68</v>
      </c>
      <c r="P280" s="154" t="e">
        <f t="shared" si="29"/>
        <v>#VALUE!</v>
      </c>
      <c r="Q280">
        <v>1.68</v>
      </c>
      <c r="R280" s="154" t="e">
        <f t="shared" si="30"/>
        <v>#VALUE!</v>
      </c>
      <c r="S280">
        <v>1.68</v>
      </c>
      <c r="T280" s="154" t="e">
        <f t="shared" si="31"/>
        <v>#VALUE!</v>
      </c>
      <c r="U280">
        <v>1.68</v>
      </c>
      <c r="V280" s="154" t="e">
        <f t="shared" si="32"/>
        <v>#VALUE!</v>
      </c>
      <c r="W280">
        <v>1.68</v>
      </c>
      <c r="X280" s="157" t="e">
        <f t="shared" si="33"/>
        <v>#VALUE!</v>
      </c>
      <c r="Y280">
        <v>1.68</v>
      </c>
      <c r="Z280" s="154" t="e">
        <f t="shared" si="34"/>
        <v>#VALUE!</v>
      </c>
      <c r="AA280">
        <v>1.68</v>
      </c>
      <c r="AB280" s="154" t="e">
        <f t="shared" si="35"/>
        <v>#VALUE!</v>
      </c>
      <c r="AC280">
        <v>1.68</v>
      </c>
      <c r="AD280" s="154" t="e">
        <f t="shared" si="36"/>
        <v>#VALUE!</v>
      </c>
      <c r="AE280">
        <v>1.68</v>
      </c>
    </row>
    <row r="281" spans="12:31" ht="15" x14ac:dyDescent="0.2">
      <c r="L281" s="154" t="e">
        <f t="shared" si="27"/>
        <v>#VALUE!</v>
      </c>
      <c r="M281">
        <v>1.69</v>
      </c>
      <c r="N281" s="154" t="e">
        <f t="shared" si="28"/>
        <v>#VALUE!</v>
      </c>
      <c r="O281">
        <v>1.69</v>
      </c>
      <c r="P281" s="154" t="e">
        <f t="shared" si="29"/>
        <v>#VALUE!</v>
      </c>
      <c r="Q281">
        <v>1.69</v>
      </c>
      <c r="R281" s="154" t="e">
        <f t="shared" si="30"/>
        <v>#VALUE!</v>
      </c>
      <c r="S281">
        <v>1.69</v>
      </c>
      <c r="T281" s="154" t="e">
        <f t="shared" si="31"/>
        <v>#VALUE!</v>
      </c>
      <c r="U281">
        <v>1.69</v>
      </c>
      <c r="V281" s="154" t="e">
        <f t="shared" si="32"/>
        <v>#VALUE!</v>
      </c>
      <c r="W281">
        <v>1.69</v>
      </c>
      <c r="X281" s="157" t="e">
        <f t="shared" si="33"/>
        <v>#VALUE!</v>
      </c>
      <c r="Y281">
        <v>1.69</v>
      </c>
      <c r="Z281" s="154" t="e">
        <f t="shared" si="34"/>
        <v>#VALUE!</v>
      </c>
      <c r="AA281">
        <v>1.69</v>
      </c>
      <c r="AB281" s="154" t="e">
        <f t="shared" si="35"/>
        <v>#VALUE!</v>
      </c>
      <c r="AC281">
        <v>1.69</v>
      </c>
      <c r="AD281" s="154" t="e">
        <f t="shared" si="36"/>
        <v>#VALUE!</v>
      </c>
      <c r="AE281">
        <v>1.69</v>
      </c>
    </row>
    <row r="282" spans="12:31" ht="15" x14ac:dyDescent="0.2">
      <c r="L282" s="154" t="e">
        <f t="shared" si="27"/>
        <v>#VALUE!</v>
      </c>
      <c r="M282">
        <v>1.7</v>
      </c>
      <c r="N282" s="154" t="e">
        <f t="shared" si="28"/>
        <v>#VALUE!</v>
      </c>
      <c r="O282">
        <v>1.7</v>
      </c>
      <c r="P282" s="154" t="e">
        <f t="shared" si="29"/>
        <v>#VALUE!</v>
      </c>
      <c r="Q282">
        <v>1.7</v>
      </c>
      <c r="R282" s="154" t="e">
        <f t="shared" si="30"/>
        <v>#VALUE!</v>
      </c>
      <c r="S282">
        <v>1.7</v>
      </c>
      <c r="T282" s="154" t="e">
        <f t="shared" si="31"/>
        <v>#VALUE!</v>
      </c>
      <c r="U282">
        <v>1.7</v>
      </c>
      <c r="V282" s="154" t="e">
        <f t="shared" si="32"/>
        <v>#VALUE!</v>
      </c>
      <c r="W282">
        <v>1.7</v>
      </c>
      <c r="X282" s="157" t="e">
        <f t="shared" si="33"/>
        <v>#VALUE!</v>
      </c>
      <c r="Y282">
        <v>1.7</v>
      </c>
      <c r="Z282" s="154" t="e">
        <f t="shared" si="34"/>
        <v>#VALUE!</v>
      </c>
      <c r="AA282">
        <v>1.7</v>
      </c>
      <c r="AB282" s="154" t="e">
        <f t="shared" si="35"/>
        <v>#VALUE!</v>
      </c>
      <c r="AC282">
        <v>1.7</v>
      </c>
      <c r="AD282" s="154" t="e">
        <f t="shared" si="36"/>
        <v>#VALUE!</v>
      </c>
      <c r="AE282">
        <v>1.7</v>
      </c>
    </row>
    <row r="283" spans="12:31" ht="15" x14ac:dyDescent="0.2">
      <c r="L283" s="154" t="e">
        <f t="shared" si="27"/>
        <v>#VALUE!</v>
      </c>
      <c r="M283">
        <v>1.71</v>
      </c>
      <c r="N283" s="154" t="e">
        <f t="shared" si="28"/>
        <v>#VALUE!</v>
      </c>
      <c r="O283">
        <v>1.71</v>
      </c>
      <c r="P283" s="154" t="e">
        <f t="shared" si="29"/>
        <v>#VALUE!</v>
      </c>
      <c r="Q283">
        <v>1.71</v>
      </c>
      <c r="R283" s="154" t="e">
        <f t="shared" si="30"/>
        <v>#VALUE!</v>
      </c>
      <c r="S283">
        <v>1.71</v>
      </c>
      <c r="T283" s="154" t="e">
        <f t="shared" si="31"/>
        <v>#VALUE!</v>
      </c>
      <c r="U283">
        <v>1.71</v>
      </c>
      <c r="V283" s="154" t="e">
        <f t="shared" si="32"/>
        <v>#VALUE!</v>
      </c>
      <c r="W283">
        <v>1.71</v>
      </c>
      <c r="X283" s="157" t="e">
        <f t="shared" si="33"/>
        <v>#VALUE!</v>
      </c>
      <c r="Y283">
        <v>1.71</v>
      </c>
      <c r="Z283" s="154" t="e">
        <f t="shared" si="34"/>
        <v>#VALUE!</v>
      </c>
      <c r="AA283">
        <v>1.71</v>
      </c>
      <c r="AB283" s="154" t="e">
        <f t="shared" si="35"/>
        <v>#VALUE!</v>
      </c>
      <c r="AC283">
        <v>1.71</v>
      </c>
      <c r="AD283" s="154" t="e">
        <f t="shared" si="36"/>
        <v>#VALUE!</v>
      </c>
      <c r="AE283">
        <v>1.71</v>
      </c>
    </row>
    <row r="284" spans="12:31" ht="15" x14ac:dyDescent="0.2">
      <c r="L284" s="154" t="e">
        <f t="shared" si="27"/>
        <v>#VALUE!</v>
      </c>
      <c r="M284">
        <v>1.72</v>
      </c>
      <c r="N284" s="154" t="e">
        <f t="shared" si="28"/>
        <v>#VALUE!</v>
      </c>
      <c r="O284">
        <v>1.72</v>
      </c>
      <c r="P284" s="154" t="e">
        <f t="shared" si="29"/>
        <v>#VALUE!</v>
      </c>
      <c r="Q284">
        <v>1.72</v>
      </c>
      <c r="R284" s="154" t="e">
        <f t="shared" si="30"/>
        <v>#VALUE!</v>
      </c>
      <c r="S284">
        <v>1.72</v>
      </c>
      <c r="T284" s="154" t="e">
        <f t="shared" si="31"/>
        <v>#VALUE!</v>
      </c>
      <c r="U284">
        <v>1.72</v>
      </c>
      <c r="V284" s="154" t="e">
        <f t="shared" si="32"/>
        <v>#VALUE!</v>
      </c>
      <c r="W284">
        <v>1.72</v>
      </c>
      <c r="X284" s="157" t="e">
        <f t="shared" si="33"/>
        <v>#VALUE!</v>
      </c>
      <c r="Y284">
        <v>1.72</v>
      </c>
      <c r="Z284" s="154" t="e">
        <f t="shared" si="34"/>
        <v>#VALUE!</v>
      </c>
      <c r="AA284">
        <v>1.72</v>
      </c>
      <c r="AB284" s="154" t="e">
        <f t="shared" si="35"/>
        <v>#VALUE!</v>
      </c>
      <c r="AC284">
        <v>1.72</v>
      </c>
      <c r="AD284" s="154" t="e">
        <f t="shared" si="36"/>
        <v>#VALUE!</v>
      </c>
      <c r="AE284">
        <v>1.72</v>
      </c>
    </row>
    <row r="285" spans="12:31" ht="15" x14ac:dyDescent="0.2">
      <c r="L285" s="154" t="e">
        <f t="shared" si="27"/>
        <v>#VALUE!</v>
      </c>
      <c r="M285">
        <v>1.73</v>
      </c>
      <c r="N285" s="154" t="e">
        <f t="shared" si="28"/>
        <v>#VALUE!</v>
      </c>
      <c r="O285">
        <v>1.73</v>
      </c>
      <c r="P285" s="154" t="e">
        <f t="shared" si="29"/>
        <v>#VALUE!</v>
      </c>
      <c r="Q285">
        <v>1.73</v>
      </c>
      <c r="R285" s="154" t="e">
        <f t="shared" si="30"/>
        <v>#VALUE!</v>
      </c>
      <c r="S285">
        <v>1.73</v>
      </c>
      <c r="T285" s="154" t="e">
        <f t="shared" si="31"/>
        <v>#VALUE!</v>
      </c>
      <c r="U285">
        <v>1.73</v>
      </c>
      <c r="V285" s="154" t="e">
        <f t="shared" si="32"/>
        <v>#VALUE!</v>
      </c>
      <c r="W285">
        <v>1.73</v>
      </c>
      <c r="X285" s="157" t="e">
        <f t="shared" si="33"/>
        <v>#VALUE!</v>
      </c>
      <c r="Y285">
        <v>1.73</v>
      </c>
      <c r="Z285" s="154" t="e">
        <f t="shared" si="34"/>
        <v>#VALUE!</v>
      </c>
      <c r="AA285">
        <v>1.73</v>
      </c>
      <c r="AB285" s="154" t="e">
        <f t="shared" si="35"/>
        <v>#VALUE!</v>
      </c>
      <c r="AC285">
        <v>1.73</v>
      </c>
      <c r="AD285" s="154" t="e">
        <f t="shared" si="36"/>
        <v>#VALUE!</v>
      </c>
      <c r="AE285">
        <v>1.73</v>
      </c>
    </row>
    <row r="286" spans="12:31" ht="15" x14ac:dyDescent="0.2">
      <c r="L286" s="154" t="e">
        <f t="shared" si="27"/>
        <v>#VALUE!</v>
      </c>
      <c r="M286">
        <v>1.74</v>
      </c>
      <c r="N286" s="154" t="e">
        <f t="shared" si="28"/>
        <v>#VALUE!</v>
      </c>
      <c r="O286">
        <v>1.74</v>
      </c>
      <c r="P286" s="154" t="e">
        <f t="shared" si="29"/>
        <v>#VALUE!</v>
      </c>
      <c r="Q286">
        <v>1.74</v>
      </c>
      <c r="R286" s="154" t="e">
        <f t="shared" si="30"/>
        <v>#VALUE!</v>
      </c>
      <c r="S286">
        <v>1.74</v>
      </c>
      <c r="T286" s="154" t="e">
        <f t="shared" si="31"/>
        <v>#VALUE!</v>
      </c>
      <c r="U286">
        <v>1.74</v>
      </c>
      <c r="V286" s="154" t="e">
        <f t="shared" si="32"/>
        <v>#VALUE!</v>
      </c>
      <c r="W286">
        <v>1.74</v>
      </c>
      <c r="X286" s="157" t="e">
        <f t="shared" si="33"/>
        <v>#VALUE!</v>
      </c>
      <c r="Y286">
        <v>1.74</v>
      </c>
      <c r="Z286" s="154" t="e">
        <f t="shared" si="34"/>
        <v>#VALUE!</v>
      </c>
      <c r="AA286">
        <v>1.74</v>
      </c>
      <c r="AB286" s="154" t="e">
        <f t="shared" si="35"/>
        <v>#VALUE!</v>
      </c>
      <c r="AC286">
        <v>1.74</v>
      </c>
      <c r="AD286" s="154" t="e">
        <f t="shared" si="36"/>
        <v>#VALUE!</v>
      </c>
      <c r="AE286">
        <v>1.74</v>
      </c>
    </row>
    <row r="287" spans="12:31" ht="15" x14ac:dyDescent="0.2">
      <c r="L287" s="154" t="e">
        <f t="shared" si="27"/>
        <v>#VALUE!</v>
      </c>
      <c r="M287">
        <v>1.75</v>
      </c>
      <c r="N287" s="154" t="e">
        <f t="shared" si="28"/>
        <v>#VALUE!</v>
      </c>
      <c r="O287">
        <v>1.75</v>
      </c>
      <c r="P287" s="154" t="e">
        <f t="shared" si="29"/>
        <v>#VALUE!</v>
      </c>
      <c r="Q287">
        <v>1.75</v>
      </c>
      <c r="R287" s="154" t="e">
        <f t="shared" si="30"/>
        <v>#VALUE!</v>
      </c>
      <c r="S287">
        <v>1.75</v>
      </c>
      <c r="T287" s="154" t="e">
        <f t="shared" si="31"/>
        <v>#VALUE!</v>
      </c>
      <c r="U287">
        <v>1.75</v>
      </c>
      <c r="V287" s="154" t="e">
        <f t="shared" si="32"/>
        <v>#VALUE!</v>
      </c>
      <c r="W287">
        <v>1.75</v>
      </c>
      <c r="X287" s="157" t="e">
        <f t="shared" si="33"/>
        <v>#VALUE!</v>
      </c>
      <c r="Y287">
        <v>1.75</v>
      </c>
      <c r="Z287" s="154" t="e">
        <f t="shared" si="34"/>
        <v>#VALUE!</v>
      </c>
      <c r="AA287">
        <v>1.75</v>
      </c>
      <c r="AB287" s="154" t="e">
        <f t="shared" si="35"/>
        <v>#VALUE!</v>
      </c>
      <c r="AC287">
        <v>1.75</v>
      </c>
      <c r="AD287" s="154" t="e">
        <f t="shared" si="36"/>
        <v>#VALUE!</v>
      </c>
      <c r="AE287">
        <v>1.75</v>
      </c>
    </row>
    <row r="288" spans="12:31" ht="15" x14ac:dyDescent="0.2">
      <c r="L288" s="154" t="e">
        <f t="shared" si="27"/>
        <v>#VALUE!</v>
      </c>
      <c r="M288">
        <v>1.76</v>
      </c>
      <c r="N288" s="154" t="e">
        <f t="shared" si="28"/>
        <v>#VALUE!</v>
      </c>
      <c r="O288">
        <v>1.76</v>
      </c>
      <c r="P288" s="154" t="e">
        <f t="shared" si="29"/>
        <v>#VALUE!</v>
      </c>
      <c r="Q288">
        <v>1.76</v>
      </c>
      <c r="R288" s="154" t="e">
        <f t="shared" si="30"/>
        <v>#VALUE!</v>
      </c>
      <c r="S288">
        <v>1.76</v>
      </c>
      <c r="T288" s="154" t="e">
        <f t="shared" si="31"/>
        <v>#VALUE!</v>
      </c>
      <c r="U288">
        <v>1.76</v>
      </c>
      <c r="V288" s="154" t="e">
        <f t="shared" si="32"/>
        <v>#VALUE!</v>
      </c>
      <c r="W288">
        <v>1.76</v>
      </c>
      <c r="X288" s="157" t="e">
        <f t="shared" si="33"/>
        <v>#VALUE!</v>
      </c>
      <c r="Y288">
        <v>1.76</v>
      </c>
      <c r="Z288" s="154" t="e">
        <f t="shared" si="34"/>
        <v>#VALUE!</v>
      </c>
      <c r="AA288">
        <v>1.76</v>
      </c>
      <c r="AB288" s="154" t="e">
        <f t="shared" si="35"/>
        <v>#VALUE!</v>
      </c>
      <c r="AC288">
        <v>1.76</v>
      </c>
      <c r="AD288" s="154" t="e">
        <f t="shared" si="36"/>
        <v>#VALUE!</v>
      </c>
      <c r="AE288">
        <v>1.76</v>
      </c>
    </row>
    <row r="289" spans="12:31" ht="15" x14ac:dyDescent="0.2">
      <c r="L289" s="154" t="e">
        <f t="shared" si="27"/>
        <v>#VALUE!</v>
      </c>
      <c r="M289">
        <v>1.77</v>
      </c>
      <c r="N289" s="154" t="e">
        <f t="shared" si="28"/>
        <v>#VALUE!</v>
      </c>
      <c r="O289">
        <v>1.77</v>
      </c>
      <c r="P289" s="154" t="e">
        <f t="shared" si="29"/>
        <v>#VALUE!</v>
      </c>
      <c r="Q289">
        <v>1.77</v>
      </c>
      <c r="R289" s="154" t="e">
        <f t="shared" si="30"/>
        <v>#VALUE!</v>
      </c>
      <c r="S289">
        <v>1.77</v>
      </c>
      <c r="T289" s="154" t="e">
        <f t="shared" si="31"/>
        <v>#VALUE!</v>
      </c>
      <c r="U289">
        <v>1.77</v>
      </c>
      <c r="V289" s="154" t="e">
        <f t="shared" si="32"/>
        <v>#VALUE!</v>
      </c>
      <c r="W289">
        <v>1.77</v>
      </c>
      <c r="X289" s="157" t="e">
        <f t="shared" si="33"/>
        <v>#VALUE!</v>
      </c>
      <c r="Y289">
        <v>1.77</v>
      </c>
      <c r="Z289" s="154" t="e">
        <f t="shared" si="34"/>
        <v>#VALUE!</v>
      </c>
      <c r="AA289">
        <v>1.77</v>
      </c>
      <c r="AB289" s="154" t="e">
        <f t="shared" si="35"/>
        <v>#VALUE!</v>
      </c>
      <c r="AC289">
        <v>1.77</v>
      </c>
      <c r="AD289" s="154" t="e">
        <f t="shared" si="36"/>
        <v>#VALUE!</v>
      </c>
      <c r="AE289">
        <v>1.77</v>
      </c>
    </row>
    <row r="290" spans="12:31" ht="15" x14ac:dyDescent="0.2">
      <c r="L290" s="154" t="e">
        <f t="shared" si="27"/>
        <v>#VALUE!</v>
      </c>
      <c r="M290">
        <v>1.78</v>
      </c>
      <c r="N290" s="154" t="e">
        <f t="shared" si="28"/>
        <v>#VALUE!</v>
      </c>
      <c r="O290">
        <v>1.78</v>
      </c>
      <c r="P290" s="154" t="e">
        <f t="shared" si="29"/>
        <v>#VALUE!</v>
      </c>
      <c r="Q290">
        <v>1.78</v>
      </c>
      <c r="R290" s="154" t="e">
        <f t="shared" si="30"/>
        <v>#VALUE!</v>
      </c>
      <c r="S290">
        <v>1.78</v>
      </c>
      <c r="T290" s="154" t="e">
        <f t="shared" si="31"/>
        <v>#VALUE!</v>
      </c>
      <c r="U290">
        <v>1.78</v>
      </c>
      <c r="V290" s="154" t="e">
        <f t="shared" si="32"/>
        <v>#VALUE!</v>
      </c>
      <c r="W290">
        <v>1.78</v>
      </c>
      <c r="X290" s="157" t="e">
        <f t="shared" si="33"/>
        <v>#VALUE!</v>
      </c>
      <c r="Y290">
        <v>1.78</v>
      </c>
      <c r="Z290" s="154" t="e">
        <f t="shared" si="34"/>
        <v>#VALUE!</v>
      </c>
      <c r="AA290">
        <v>1.78</v>
      </c>
      <c r="AB290" s="154" t="e">
        <f t="shared" si="35"/>
        <v>#VALUE!</v>
      </c>
      <c r="AC290">
        <v>1.78</v>
      </c>
      <c r="AD290" s="154" t="e">
        <f t="shared" si="36"/>
        <v>#VALUE!</v>
      </c>
      <c r="AE290">
        <v>1.78</v>
      </c>
    </row>
    <row r="291" spans="12:31" ht="15" x14ac:dyDescent="0.2">
      <c r="L291" s="154" t="e">
        <f t="shared" si="27"/>
        <v>#VALUE!</v>
      </c>
      <c r="M291">
        <v>1.79</v>
      </c>
      <c r="N291" s="154" t="e">
        <f t="shared" si="28"/>
        <v>#VALUE!</v>
      </c>
      <c r="O291">
        <v>1.79</v>
      </c>
      <c r="P291" s="154" t="e">
        <f t="shared" si="29"/>
        <v>#VALUE!</v>
      </c>
      <c r="Q291">
        <v>1.79</v>
      </c>
      <c r="R291" s="154" t="e">
        <f t="shared" si="30"/>
        <v>#VALUE!</v>
      </c>
      <c r="S291">
        <v>1.79</v>
      </c>
      <c r="T291" s="154" t="e">
        <f t="shared" si="31"/>
        <v>#VALUE!</v>
      </c>
      <c r="U291">
        <v>1.79</v>
      </c>
      <c r="V291" s="154" t="e">
        <f t="shared" si="32"/>
        <v>#VALUE!</v>
      </c>
      <c r="W291">
        <v>1.79</v>
      </c>
      <c r="X291" s="157" t="e">
        <f t="shared" si="33"/>
        <v>#VALUE!</v>
      </c>
      <c r="Y291">
        <v>1.79</v>
      </c>
      <c r="Z291" s="154" t="e">
        <f t="shared" si="34"/>
        <v>#VALUE!</v>
      </c>
      <c r="AA291">
        <v>1.79</v>
      </c>
      <c r="AB291" s="154" t="e">
        <f t="shared" si="35"/>
        <v>#VALUE!</v>
      </c>
      <c r="AC291">
        <v>1.79</v>
      </c>
      <c r="AD291" s="154" t="e">
        <f t="shared" si="36"/>
        <v>#VALUE!</v>
      </c>
      <c r="AE291">
        <v>1.79</v>
      </c>
    </row>
    <row r="292" spans="12:31" ht="15" x14ac:dyDescent="0.2">
      <c r="L292" s="154" t="e">
        <f t="shared" si="27"/>
        <v>#VALUE!</v>
      </c>
      <c r="M292">
        <v>1.8</v>
      </c>
      <c r="N292" s="154" t="e">
        <f t="shared" si="28"/>
        <v>#VALUE!</v>
      </c>
      <c r="O292">
        <v>1.8</v>
      </c>
      <c r="P292" s="154" t="e">
        <f t="shared" si="29"/>
        <v>#VALUE!</v>
      </c>
      <c r="Q292">
        <v>1.8</v>
      </c>
      <c r="R292" s="154" t="e">
        <f t="shared" si="30"/>
        <v>#VALUE!</v>
      </c>
      <c r="S292">
        <v>1.8</v>
      </c>
      <c r="T292" s="154" t="e">
        <f t="shared" si="31"/>
        <v>#VALUE!</v>
      </c>
      <c r="U292">
        <v>1.8</v>
      </c>
      <c r="V292" s="154" t="e">
        <f t="shared" si="32"/>
        <v>#VALUE!</v>
      </c>
      <c r="W292">
        <v>1.8</v>
      </c>
      <c r="X292" s="157" t="e">
        <f t="shared" si="33"/>
        <v>#VALUE!</v>
      </c>
      <c r="Y292">
        <v>1.8</v>
      </c>
      <c r="Z292" s="154" t="e">
        <f t="shared" si="34"/>
        <v>#VALUE!</v>
      </c>
      <c r="AA292">
        <v>1.8</v>
      </c>
      <c r="AB292" s="154" t="e">
        <f t="shared" si="35"/>
        <v>#VALUE!</v>
      </c>
      <c r="AC292">
        <v>1.8</v>
      </c>
      <c r="AD292" s="154" t="e">
        <f t="shared" si="36"/>
        <v>#VALUE!</v>
      </c>
      <c r="AE292">
        <v>1.8</v>
      </c>
    </row>
    <row r="293" spans="12:31" ht="15" x14ac:dyDescent="0.2">
      <c r="L293" s="154" t="e">
        <f t="shared" si="27"/>
        <v>#VALUE!</v>
      </c>
      <c r="M293">
        <v>1.81</v>
      </c>
      <c r="N293" s="154" t="e">
        <f t="shared" si="28"/>
        <v>#VALUE!</v>
      </c>
      <c r="O293">
        <v>1.81</v>
      </c>
      <c r="P293" s="154" t="e">
        <f t="shared" si="29"/>
        <v>#VALUE!</v>
      </c>
      <c r="Q293">
        <v>1.81</v>
      </c>
      <c r="R293" s="154" t="e">
        <f t="shared" si="30"/>
        <v>#VALUE!</v>
      </c>
      <c r="S293">
        <v>1.81</v>
      </c>
      <c r="T293" s="154" t="e">
        <f t="shared" si="31"/>
        <v>#VALUE!</v>
      </c>
      <c r="U293">
        <v>1.81</v>
      </c>
      <c r="V293" s="154" t="e">
        <f t="shared" si="32"/>
        <v>#VALUE!</v>
      </c>
      <c r="W293">
        <v>1.81</v>
      </c>
      <c r="X293" s="157" t="e">
        <f t="shared" si="33"/>
        <v>#VALUE!</v>
      </c>
      <c r="Y293">
        <v>1.81</v>
      </c>
      <c r="Z293" s="154" t="e">
        <f t="shared" si="34"/>
        <v>#VALUE!</v>
      </c>
      <c r="AA293">
        <v>1.81</v>
      </c>
      <c r="AB293" s="154" t="e">
        <f t="shared" si="35"/>
        <v>#VALUE!</v>
      </c>
      <c r="AC293">
        <v>1.81</v>
      </c>
      <c r="AD293" s="154" t="e">
        <f t="shared" si="36"/>
        <v>#VALUE!</v>
      </c>
      <c r="AE293">
        <v>1.81</v>
      </c>
    </row>
    <row r="294" spans="12:31" ht="15" x14ac:dyDescent="0.2">
      <c r="L294" s="154" t="e">
        <f t="shared" si="27"/>
        <v>#VALUE!</v>
      </c>
      <c r="M294">
        <v>1.82</v>
      </c>
      <c r="N294" s="154" t="e">
        <f t="shared" si="28"/>
        <v>#VALUE!</v>
      </c>
      <c r="O294">
        <v>1.82</v>
      </c>
      <c r="P294" s="154" t="e">
        <f t="shared" si="29"/>
        <v>#VALUE!</v>
      </c>
      <c r="Q294">
        <v>1.82</v>
      </c>
      <c r="R294" s="154" t="e">
        <f t="shared" si="30"/>
        <v>#VALUE!</v>
      </c>
      <c r="S294">
        <v>1.82</v>
      </c>
      <c r="T294" s="154" t="e">
        <f t="shared" si="31"/>
        <v>#VALUE!</v>
      </c>
      <c r="U294">
        <v>1.82</v>
      </c>
      <c r="V294" s="154" t="e">
        <f t="shared" si="32"/>
        <v>#VALUE!</v>
      </c>
      <c r="W294">
        <v>1.82</v>
      </c>
      <c r="X294" s="157" t="e">
        <f t="shared" si="33"/>
        <v>#VALUE!</v>
      </c>
      <c r="Y294">
        <v>1.82</v>
      </c>
      <c r="Z294" s="154" t="e">
        <f t="shared" si="34"/>
        <v>#VALUE!</v>
      </c>
      <c r="AA294">
        <v>1.82</v>
      </c>
      <c r="AB294" s="154" t="e">
        <f t="shared" si="35"/>
        <v>#VALUE!</v>
      </c>
      <c r="AC294">
        <v>1.82</v>
      </c>
      <c r="AD294" s="154" t="e">
        <f t="shared" si="36"/>
        <v>#VALUE!</v>
      </c>
      <c r="AE294">
        <v>1.82</v>
      </c>
    </row>
    <row r="295" spans="12:31" ht="15" x14ac:dyDescent="0.2">
      <c r="L295" s="154" t="e">
        <f t="shared" si="27"/>
        <v>#VALUE!</v>
      </c>
      <c r="M295">
        <v>1.83</v>
      </c>
      <c r="N295" s="154" t="e">
        <f t="shared" si="28"/>
        <v>#VALUE!</v>
      </c>
      <c r="O295">
        <v>1.83</v>
      </c>
      <c r="P295" s="154" t="e">
        <f t="shared" si="29"/>
        <v>#VALUE!</v>
      </c>
      <c r="Q295">
        <v>1.83</v>
      </c>
      <c r="R295" s="154" t="e">
        <f t="shared" si="30"/>
        <v>#VALUE!</v>
      </c>
      <c r="S295">
        <v>1.83</v>
      </c>
      <c r="T295" s="154" t="e">
        <f t="shared" si="31"/>
        <v>#VALUE!</v>
      </c>
      <c r="U295">
        <v>1.83</v>
      </c>
      <c r="V295" s="154" t="e">
        <f t="shared" si="32"/>
        <v>#VALUE!</v>
      </c>
      <c r="W295">
        <v>1.83</v>
      </c>
      <c r="X295" s="157" t="e">
        <f t="shared" si="33"/>
        <v>#VALUE!</v>
      </c>
      <c r="Y295">
        <v>1.83</v>
      </c>
      <c r="Z295" s="154" t="e">
        <f t="shared" si="34"/>
        <v>#VALUE!</v>
      </c>
      <c r="AA295">
        <v>1.83</v>
      </c>
      <c r="AB295" s="154" t="e">
        <f t="shared" si="35"/>
        <v>#VALUE!</v>
      </c>
      <c r="AC295">
        <v>1.83</v>
      </c>
      <c r="AD295" s="154" t="e">
        <f t="shared" si="36"/>
        <v>#VALUE!</v>
      </c>
      <c r="AE295">
        <v>1.83</v>
      </c>
    </row>
    <row r="296" spans="12:31" ht="15" x14ac:dyDescent="0.2">
      <c r="L296" s="154" t="e">
        <f t="shared" si="27"/>
        <v>#VALUE!</v>
      </c>
      <c r="M296">
        <v>1.84</v>
      </c>
      <c r="N296" s="154" t="e">
        <f t="shared" si="28"/>
        <v>#VALUE!</v>
      </c>
      <c r="O296">
        <v>1.84</v>
      </c>
      <c r="P296" s="154" t="e">
        <f t="shared" si="29"/>
        <v>#VALUE!</v>
      </c>
      <c r="Q296">
        <v>1.84</v>
      </c>
      <c r="R296" s="154" t="e">
        <f t="shared" si="30"/>
        <v>#VALUE!</v>
      </c>
      <c r="S296">
        <v>1.84</v>
      </c>
      <c r="T296" s="154" t="e">
        <f t="shared" si="31"/>
        <v>#VALUE!</v>
      </c>
      <c r="U296">
        <v>1.84</v>
      </c>
      <c r="V296" s="154" t="e">
        <f t="shared" si="32"/>
        <v>#VALUE!</v>
      </c>
      <c r="W296">
        <v>1.84</v>
      </c>
      <c r="X296" s="157" t="e">
        <f t="shared" si="33"/>
        <v>#VALUE!</v>
      </c>
      <c r="Y296">
        <v>1.84</v>
      </c>
      <c r="Z296" s="154" t="e">
        <f t="shared" si="34"/>
        <v>#VALUE!</v>
      </c>
      <c r="AA296">
        <v>1.84</v>
      </c>
      <c r="AB296" s="154" t="e">
        <f t="shared" si="35"/>
        <v>#VALUE!</v>
      </c>
      <c r="AC296">
        <v>1.84</v>
      </c>
      <c r="AD296" s="154" t="e">
        <f t="shared" si="36"/>
        <v>#VALUE!</v>
      </c>
      <c r="AE296">
        <v>1.84</v>
      </c>
    </row>
    <row r="297" spans="12:31" ht="15" x14ac:dyDescent="0.2">
      <c r="L297" s="154" t="e">
        <f t="shared" si="27"/>
        <v>#VALUE!</v>
      </c>
      <c r="M297">
        <v>1.85</v>
      </c>
      <c r="N297" s="154" t="e">
        <f t="shared" si="28"/>
        <v>#VALUE!</v>
      </c>
      <c r="O297">
        <v>1.85</v>
      </c>
      <c r="P297" s="154" t="e">
        <f t="shared" si="29"/>
        <v>#VALUE!</v>
      </c>
      <c r="Q297">
        <v>1.85</v>
      </c>
      <c r="R297" s="154" t="e">
        <f t="shared" si="30"/>
        <v>#VALUE!</v>
      </c>
      <c r="S297">
        <v>1.85</v>
      </c>
      <c r="T297" s="154" t="e">
        <f t="shared" si="31"/>
        <v>#VALUE!</v>
      </c>
      <c r="U297">
        <v>1.85</v>
      </c>
      <c r="V297" s="154" t="e">
        <f t="shared" si="32"/>
        <v>#VALUE!</v>
      </c>
      <c r="W297">
        <v>1.85</v>
      </c>
      <c r="X297" s="157" t="e">
        <f t="shared" si="33"/>
        <v>#VALUE!</v>
      </c>
      <c r="Y297">
        <v>1.85</v>
      </c>
      <c r="Z297" s="154" t="e">
        <f t="shared" si="34"/>
        <v>#VALUE!</v>
      </c>
      <c r="AA297">
        <v>1.85</v>
      </c>
      <c r="AB297" s="154" t="e">
        <f t="shared" si="35"/>
        <v>#VALUE!</v>
      </c>
      <c r="AC297">
        <v>1.85</v>
      </c>
      <c r="AD297" s="154" t="e">
        <f t="shared" si="36"/>
        <v>#VALUE!</v>
      </c>
      <c r="AE297">
        <v>1.85</v>
      </c>
    </row>
    <row r="298" spans="12:31" ht="15" x14ac:dyDescent="0.2">
      <c r="L298" s="154" t="e">
        <f t="shared" si="27"/>
        <v>#VALUE!</v>
      </c>
      <c r="M298">
        <v>1.86</v>
      </c>
      <c r="N298" s="154" t="e">
        <f t="shared" si="28"/>
        <v>#VALUE!</v>
      </c>
      <c r="O298">
        <v>1.86</v>
      </c>
      <c r="P298" s="154" t="e">
        <f t="shared" si="29"/>
        <v>#VALUE!</v>
      </c>
      <c r="Q298">
        <v>1.86</v>
      </c>
      <c r="R298" s="154" t="e">
        <f t="shared" si="30"/>
        <v>#VALUE!</v>
      </c>
      <c r="S298">
        <v>1.86</v>
      </c>
      <c r="T298" s="154" t="e">
        <f t="shared" si="31"/>
        <v>#VALUE!</v>
      </c>
      <c r="U298">
        <v>1.86</v>
      </c>
      <c r="V298" s="154" t="e">
        <f t="shared" si="32"/>
        <v>#VALUE!</v>
      </c>
      <c r="W298">
        <v>1.86</v>
      </c>
      <c r="X298" s="157" t="e">
        <f t="shared" si="33"/>
        <v>#VALUE!</v>
      </c>
      <c r="Y298">
        <v>1.86</v>
      </c>
      <c r="Z298" s="154" t="e">
        <f t="shared" si="34"/>
        <v>#VALUE!</v>
      </c>
      <c r="AA298">
        <v>1.86</v>
      </c>
      <c r="AB298" s="154" t="e">
        <f t="shared" si="35"/>
        <v>#VALUE!</v>
      </c>
      <c r="AC298">
        <v>1.86</v>
      </c>
      <c r="AD298" s="154" t="e">
        <f t="shared" si="36"/>
        <v>#VALUE!</v>
      </c>
      <c r="AE298">
        <v>1.86</v>
      </c>
    </row>
    <row r="299" spans="12:31" ht="15" x14ac:dyDescent="0.2">
      <c r="L299" s="154" t="e">
        <f t="shared" si="27"/>
        <v>#VALUE!</v>
      </c>
      <c r="M299">
        <v>1.87</v>
      </c>
      <c r="N299" s="154" t="e">
        <f t="shared" si="28"/>
        <v>#VALUE!</v>
      </c>
      <c r="O299">
        <v>1.87</v>
      </c>
      <c r="P299" s="154" t="e">
        <f t="shared" si="29"/>
        <v>#VALUE!</v>
      </c>
      <c r="Q299">
        <v>1.87</v>
      </c>
      <c r="R299" s="154" t="e">
        <f t="shared" si="30"/>
        <v>#VALUE!</v>
      </c>
      <c r="S299">
        <v>1.87</v>
      </c>
      <c r="T299" s="154" t="e">
        <f t="shared" si="31"/>
        <v>#VALUE!</v>
      </c>
      <c r="U299">
        <v>1.87</v>
      </c>
      <c r="V299" s="154" t="e">
        <f t="shared" si="32"/>
        <v>#VALUE!</v>
      </c>
      <c r="W299">
        <v>1.87</v>
      </c>
      <c r="X299" s="157" t="e">
        <f t="shared" si="33"/>
        <v>#VALUE!</v>
      </c>
      <c r="Y299">
        <v>1.87</v>
      </c>
      <c r="Z299" s="154" t="e">
        <f t="shared" si="34"/>
        <v>#VALUE!</v>
      </c>
      <c r="AA299">
        <v>1.87</v>
      </c>
      <c r="AB299" s="154" t="e">
        <f t="shared" si="35"/>
        <v>#VALUE!</v>
      </c>
      <c r="AC299">
        <v>1.87</v>
      </c>
      <c r="AD299" s="154" t="e">
        <f t="shared" si="36"/>
        <v>#VALUE!</v>
      </c>
      <c r="AE299">
        <v>1.87</v>
      </c>
    </row>
    <row r="300" spans="12:31" ht="15" x14ac:dyDescent="0.2">
      <c r="L300" s="154" t="e">
        <f t="shared" si="27"/>
        <v>#VALUE!</v>
      </c>
      <c r="M300">
        <v>1.88</v>
      </c>
      <c r="N300" s="154" t="e">
        <f t="shared" si="28"/>
        <v>#VALUE!</v>
      </c>
      <c r="O300">
        <v>1.88</v>
      </c>
      <c r="P300" s="154" t="e">
        <f t="shared" si="29"/>
        <v>#VALUE!</v>
      </c>
      <c r="Q300">
        <v>1.88</v>
      </c>
      <c r="R300" s="154" t="e">
        <f t="shared" si="30"/>
        <v>#VALUE!</v>
      </c>
      <c r="S300">
        <v>1.88</v>
      </c>
      <c r="T300" s="154" t="e">
        <f t="shared" si="31"/>
        <v>#VALUE!</v>
      </c>
      <c r="U300">
        <v>1.88</v>
      </c>
      <c r="V300" s="154" t="e">
        <f t="shared" si="32"/>
        <v>#VALUE!</v>
      </c>
      <c r="W300">
        <v>1.88</v>
      </c>
      <c r="X300" s="157" t="e">
        <f t="shared" si="33"/>
        <v>#VALUE!</v>
      </c>
      <c r="Y300">
        <v>1.88</v>
      </c>
      <c r="Z300" s="154" t="e">
        <f t="shared" si="34"/>
        <v>#VALUE!</v>
      </c>
      <c r="AA300">
        <v>1.88</v>
      </c>
      <c r="AB300" s="154" t="e">
        <f t="shared" si="35"/>
        <v>#VALUE!</v>
      </c>
      <c r="AC300">
        <v>1.88</v>
      </c>
      <c r="AD300" s="154" t="e">
        <f t="shared" si="36"/>
        <v>#VALUE!</v>
      </c>
      <c r="AE300">
        <v>1.88</v>
      </c>
    </row>
    <row r="301" spans="12:31" ht="15" x14ac:dyDescent="0.2">
      <c r="L301" s="154" t="e">
        <f t="shared" si="27"/>
        <v>#VALUE!</v>
      </c>
      <c r="M301">
        <v>1.89</v>
      </c>
      <c r="N301" s="154" t="e">
        <f t="shared" si="28"/>
        <v>#VALUE!</v>
      </c>
      <c r="O301">
        <v>1.89</v>
      </c>
      <c r="P301" s="154" t="e">
        <f t="shared" si="29"/>
        <v>#VALUE!</v>
      </c>
      <c r="Q301">
        <v>1.89</v>
      </c>
      <c r="R301" s="154" t="e">
        <f t="shared" si="30"/>
        <v>#VALUE!</v>
      </c>
      <c r="S301">
        <v>1.89</v>
      </c>
      <c r="T301" s="154" t="e">
        <f t="shared" si="31"/>
        <v>#VALUE!</v>
      </c>
      <c r="U301">
        <v>1.89</v>
      </c>
      <c r="V301" s="154" t="e">
        <f t="shared" si="32"/>
        <v>#VALUE!</v>
      </c>
      <c r="W301">
        <v>1.89</v>
      </c>
      <c r="X301" s="157" t="e">
        <f t="shared" si="33"/>
        <v>#VALUE!</v>
      </c>
      <c r="Y301">
        <v>1.89</v>
      </c>
      <c r="Z301" s="154" t="e">
        <f t="shared" si="34"/>
        <v>#VALUE!</v>
      </c>
      <c r="AA301">
        <v>1.89</v>
      </c>
      <c r="AB301" s="154" t="e">
        <f t="shared" si="35"/>
        <v>#VALUE!</v>
      </c>
      <c r="AC301">
        <v>1.89</v>
      </c>
      <c r="AD301" s="154" t="e">
        <f t="shared" si="36"/>
        <v>#VALUE!</v>
      </c>
      <c r="AE301">
        <v>1.89</v>
      </c>
    </row>
    <row r="302" spans="12:31" ht="15" x14ac:dyDescent="0.2">
      <c r="L302" s="154" t="e">
        <f t="shared" si="27"/>
        <v>#VALUE!</v>
      </c>
      <c r="M302">
        <v>1.9</v>
      </c>
      <c r="N302" s="154" t="e">
        <f t="shared" si="28"/>
        <v>#VALUE!</v>
      </c>
      <c r="O302">
        <v>1.9</v>
      </c>
      <c r="P302" s="154" t="e">
        <f t="shared" si="29"/>
        <v>#VALUE!</v>
      </c>
      <c r="Q302">
        <v>1.9</v>
      </c>
      <c r="R302" s="154" t="e">
        <f t="shared" si="30"/>
        <v>#VALUE!</v>
      </c>
      <c r="S302">
        <v>1.9</v>
      </c>
      <c r="T302" s="154" t="e">
        <f t="shared" si="31"/>
        <v>#VALUE!</v>
      </c>
      <c r="U302">
        <v>1.9</v>
      </c>
      <c r="V302" s="154" t="e">
        <f t="shared" si="32"/>
        <v>#VALUE!</v>
      </c>
      <c r="W302">
        <v>1.9</v>
      </c>
      <c r="X302" s="157" t="e">
        <f t="shared" si="33"/>
        <v>#VALUE!</v>
      </c>
      <c r="Y302">
        <v>1.9</v>
      </c>
      <c r="Z302" s="154" t="e">
        <f t="shared" si="34"/>
        <v>#VALUE!</v>
      </c>
      <c r="AA302">
        <v>1.9</v>
      </c>
      <c r="AB302" s="154" t="e">
        <f t="shared" si="35"/>
        <v>#VALUE!</v>
      </c>
      <c r="AC302">
        <v>1.9</v>
      </c>
      <c r="AD302" s="154" t="e">
        <f t="shared" si="36"/>
        <v>#VALUE!</v>
      </c>
      <c r="AE302">
        <v>1.9</v>
      </c>
    </row>
    <row r="303" spans="12:31" ht="15" x14ac:dyDescent="0.2">
      <c r="L303" s="154" t="e">
        <f t="shared" si="27"/>
        <v>#VALUE!</v>
      </c>
      <c r="M303">
        <v>1.91</v>
      </c>
      <c r="N303" s="154" t="e">
        <f t="shared" si="28"/>
        <v>#VALUE!</v>
      </c>
      <c r="O303">
        <v>1.91</v>
      </c>
      <c r="P303" s="154" t="e">
        <f t="shared" si="29"/>
        <v>#VALUE!</v>
      </c>
      <c r="Q303">
        <v>1.91</v>
      </c>
      <c r="R303" s="154" t="e">
        <f t="shared" si="30"/>
        <v>#VALUE!</v>
      </c>
      <c r="S303">
        <v>1.91</v>
      </c>
      <c r="T303" s="154" t="e">
        <f t="shared" si="31"/>
        <v>#VALUE!</v>
      </c>
      <c r="U303">
        <v>1.91</v>
      </c>
      <c r="V303" s="154" t="e">
        <f t="shared" si="32"/>
        <v>#VALUE!</v>
      </c>
      <c r="W303">
        <v>1.91</v>
      </c>
      <c r="X303" s="157" t="e">
        <f t="shared" si="33"/>
        <v>#VALUE!</v>
      </c>
      <c r="Y303">
        <v>1.91</v>
      </c>
      <c r="Z303" s="154" t="e">
        <f t="shared" si="34"/>
        <v>#VALUE!</v>
      </c>
      <c r="AA303">
        <v>1.91</v>
      </c>
      <c r="AB303" s="154" t="e">
        <f t="shared" si="35"/>
        <v>#VALUE!</v>
      </c>
      <c r="AC303">
        <v>1.91</v>
      </c>
      <c r="AD303" s="154" t="e">
        <f t="shared" si="36"/>
        <v>#VALUE!</v>
      </c>
      <c r="AE303">
        <v>1.91</v>
      </c>
    </row>
    <row r="304" spans="12:31" ht="15" x14ac:dyDescent="0.2">
      <c r="L304" s="154" t="e">
        <f t="shared" si="27"/>
        <v>#VALUE!</v>
      </c>
      <c r="M304">
        <v>1.92</v>
      </c>
      <c r="N304" s="154" t="e">
        <f t="shared" si="28"/>
        <v>#VALUE!</v>
      </c>
      <c r="O304">
        <v>1.92</v>
      </c>
      <c r="P304" s="154" t="e">
        <f t="shared" si="29"/>
        <v>#VALUE!</v>
      </c>
      <c r="Q304">
        <v>1.92</v>
      </c>
      <c r="R304" s="154" t="e">
        <f t="shared" si="30"/>
        <v>#VALUE!</v>
      </c>
      <c r="S304">
        <v>1.92</v>
      </c>
      <c r="T304" s="154" t="e">
        <f t="shared" si="31"/>
        <v>#VALUE!</v>
      </c>
      <c r="U304">
        <v>1.92</v>
      </c>
      <c r="V304" s="154" t="e">
        <f t="shared" si="32"/>
        <v>#VALUE!</v>
      </c>
      <c r="W304">
        <v>1.92</v>
      </c>
      <c r="X304" s="157" t="e">
        <f t="shared" si="33"/>
        <v>#VALUE!</v>
      </c>
      <c r="Y304">
        <v>1.92</v>
      </c>
      <c r="Z304" s="154" t="e">
        <f t="shared" si="34"/>
        <v>#VALUE!</v>
      </c>
      <c r="AA304">
        <v>1.92</v>
      </c>
      <c r="AB304" s="154" t="e">
        <f t="shared" si="35"/>
        <v>#VALUE!</v>
      </c>
      <c r="AC304">
        <v>1.92</v>
      </c>
      <c r="AD304" s="154" t="e">
        <f t="shared" si="36"/>
        <v>#VALUE!</v>
      </c>
      <c r="AE304">
        <v>1.92</v>
      </c>
    </row>
    <row r="305" spans="12:31" ht="15" x14ac:dyDescent="0.2">
      <c r="L305" s="154" t="e">
        <f t="shared" ref="L305:L368" si="37">((1.486/$D$33)*((((PI()*($D$46/12)^2)/4)-((($D$46/12)/2)^2*((2*ACOS(((($D$46/12)/2)-(($D$46/12)-(M305/12)))/(($D$46/12)/2)))-SIN(2*ACOS(((($D$46/12)/2)-(($D$46/12)-(M305/12)))/(($D$46/12)/2))))/2))/((PI()*($D$46/12))-((2*ACOS(((($D$46/12)/2)-(($D$46/12)-(M305/12)))/(($D$46/12)/2)))*(($D$46/12)/2))))^(2/3)*$H$17^0.5)*(((PI()*($D$46/12)^2)/4)-((($D$46/12)/2)^2*((2*ACOS(((($D$46/12)/2)-(($D$46/12)-(M305/12)))/(($D$46/12)/2)))-SIN(2*ACOS(((($D$46/12)/2)-(($D$46/12)-(M305/12)))/(($D$46/12)/2))))/2))</f>
        <v>#VALUE!</v>
      </c>
      <c r="M305">
        <v>1.93</v>
      </c>
      <c r="N305" s="154" t="e">
        <f t="shared" ref="N305:N368" si="38">((1.486/$D$34)*((((PI()*($D$47/12)^2)/4)-((($D$47/12)/2)^2*((2*ACOS(((($D$47/12)/2)-(($D$47/12)-(O305/12)))/(($D$47/12)/2)))-SIN(2*ACOS(((($D$47/12)/2)-(($D$47/12)-(O305/12)))/(($D$47/12)/2))))/2))/((PI()*($D$47/12))-((2*ACOS(((($D$47/12)/2)-(($D$47/12)-(O305/12)))/(($D$47/12)/2)))*(($D$47/12)/2))))^(2/3)*$H$18^0.5)*(((PI()*($D$47/12)^2)/4)-((($D$47/12)/2)^2*((2*ACOS(((($D$47/12)/2)-(($D$47/12)-(O305/12)))/(($D$47/12)/2)))-SIN(2*ACOS(((($D$47/12)/2)-(($D$47/12)-(O305/12)))/(($D$47/12)/2))))/2))</f>
        <v>#VALUE!</v>
      </c>
      <c r="O305">
        <v>1.93</v>
      </c>
      <c r="P305" s="154" t="e">
        <f t="shared" ref="P305:P368" si="39">((1.486/$D$35)*((((PI()*($D$48/12)^2)/4)-((($D$48/12)/2)^2*((2*ACOS(((($D$48/12)/2)-(($D$48/12)-(Q305/12)))/(($D$48/12)/2)))-SIN(2*ACOS(((($D$48/12)/2)-(($D$48/12)-(Q305/12)))/(($D$48/12)/2))))/2))/((PI()*($D$48/12))-((2*ACOS(((($D$48/12)/2)-(($D$48/12)-(Q305/12)))/(($D$48/12)/2)))*(($D$48/12)/2))))^(2/3)*$H$19^0.5)*(((PI()*($D$48/12)^2)/4)-((($D$48/12)/2)^2*((2*ACOS(((($D$48/12)/2)-(($D$48/12)-(Q305/12)))/(($D$48/12)/2)))-SIN(2*ACOS(((($D$48/12)/2)-(($D$48/12)-(Q305/12)))/(($D$48/12)/2))))/2))</f>
        <v>#VALUE!</v>
      </c>
      <c r="Q305">
        <v>1.93</v>
      </c>
      <c r="R305" s="154" t="e">
        <f t="shared" ref="R305:R368" si="40">((1.486/$D$36)*((((PI()*($D$49/12)^2)/4)-((($D$49/12)/2)^2*((2*ACOS(((($D$49/12)/2)-(($D$49/12)-(S305/12)))/(($D$49/12)/2)))-SIN(2*ACOS(((($D$49/12)/2)-(($D$49/12)-(S305/12)))/(($D$49/12)/2))))/2))/((PI()*($D$49/12))-((2*ACOS(((($D$49/12)/2)-(($D$49/12)-(S305/12)))/(($D$49/12)/2)))*(($D$49/12)/2))))^(2/3)*$H$20^0.5)*(((PI()*($D$49/12)^2)/4)-((($D$49/12)/2)^2*((2*ACOS(((($D$49/12)/2)-(($D$49/12)-(S305/12)))/(($D$49/12)/2)))-SIN(2*ACOS(((($D$49/12)/2)-(($D$49/12)-(S305/12)))/(($D$49/12)/2))))/2))</f>
        <v>#VALUE!</v>
      </c>
      <c r="S305">
        <v>1.93</v>
      </c>
      <c r="T305" s="154" t="e">
        <f t="shared" ref="T305:T368" si="41">((1.486/$D$37)*((((PI()*($D$50/12)^2)/4)-((($D$50/12)/2)^2*((2*ACOS(((($D$50/12)/2)-(($D$50/12)-(U305/12)))/(($D$50/12)/2)))-SIN(2*ACOS(((($D$50/12)/2)-(($D$50/12)-(U305/12)))/(($D$50/12)/2))))/2))/((PI()*($D$50/12))-((2*ACOS(((($D$50/12)/2)-(($D$50/12)-(U305/12)))/(($D$50/12)/2)))*(($D$50/12)/2))))^(2/3)*$H$21^0.5)*(((PI()*($D$50/12)^2)/4)-((($D$50/12)/2)^2*((2*ACOS(((($D$50/12)/2)-(($D$50/12)-(U305/12)))/(($D$50/12)/2)))-SIN(2*ACOS(((($D$50/12)/2)-(($D$50/12)-(U305/12)))/(($D$50/12)/2))))/2))</f>
        <v>#VALUE!</v>
      </c>
      <c r="U305">
        <v>1.93</v>
      </c>
      <c r="V305" s="154" t="e">
        <f t="shared" ref="V305:V368" si="42">((1.486/$D$38)*((((PI()*($D$51/12)^2)/4)-((($D$51/12)/2)^2*((2*ACOS(((($D$51/12)/2)-(($D$51/12)-(W305/12)))/(($D$51/12)/2)))-SIN(2*ACOS(((($D$51/12)/2)-(($D$51/12)-(W305/12)))/(($D$51/12)/2))))/2))/((PI()*($D$51/12))-((2*ACOS(((($D$51/12)/2)-(($D$51/12)-(W305/12)))/(($D$51/12)/2)))*(($D$51/12)/2))))^(2/3)*$H$22^0.5)*(((PI()*($D$51/12)^2)/4)-((($D$51/12)/2)^2*((2*ACOS(((($D$51/12)/2)-(($D$51/12)-(W305/12)))/(($D$51/12)/2)))-SIN(2*ACOS(((($D$51/12)/2)-(($D$51/12)-(W305/12)))/(($D$51/12)/2))))/2))</f>
        <v>#VALUE!</v>
      </c>
      <c r="W305">
        <v>1.93</v>
      </c>
      <c r="X305" s="157" t="e">
        <f t="shared" ref="X305:X368" si="43">((1.486/$D$39)*((((PI()*($D$52/12)^2)/4)-((($D$52/12)/2)^2*((2*ACOS(((($D$52/12)/2)-(($D$52/12)-(Y305/12)))/(($D$52/12)/2)))-SIN(2*ACOS(((($D$52/12)/2)-(($D$52/12)-(Y305/12)))/(($D$52/12)/2))))/2))/((PI()*($D$52/12))-((2*ACOS(((($D$52/12)/2)-(($D$52/12)-(Y305/12)))/(($D$52/12)/2)))*(($D$52/12)/2))))^(2/3)*$H$23^0.5)*(((PI()*($D$52/12)^2)/4)-((($D$52/12)/2)^2*((2*ACOS(((($D$52/12)/2)-(($D$52/12)-(Y305/12)))/(($D$52/12)/2)))-SIN(2*ACOS(((($D$52/12)/2)-(($D$52/12)-(Y305/12)))/(($D$52/12)/2))))/2))</f>
        <v>#VALUE!</v>
      </c>
      <c r="Y305">
        <v>1.93</v>
      </c>
      <c r="Z305" s="154" t="e">
        <f t="shared" ref="Z305:Z368" si="44">((1.486/$D$40)*((((PI()*($D$53/12)^2)/4)-((($D$53/12)/2)^2*((2*ACOS(((($D$53/12)/2)-(($D$53/12)-(AA305/12)))/(($D$53/12)/2)))-SIN(2*ACOS(((($D$53/12)/2)-(($D$53/12)-(AA305/12)))/(($D$53/12)/2))))/2))/((PI()*($D$53/12))-((2*ACOS(((($D$53/12)/2)-(($D$53/12)-(AA305/12)))/(($D$53/12)/2)))*(($D$53/12)/2))))^(2/3)*$H$24^0.5)*(((PI()*($D$53/12)^2)/4)-((($D$53/12)/2)^2*((2*ACOS(((($D$53/12)/2)-(($D$53/12)-(AA305/12)))/(($D$53/12)/2)))-SIN(2*ACOS(((($D$53/12)/2)-(($D$53/12)-(AA305/12)))/(($D$53/12)/2))))/2))</f>
        <v>#VALUE!</v>
      </c>
      <c r="AA305">
        <v>1.93</v>
      </c>
      <c r="AB305" s="154" t="e">
        <f t="shared" ref="AB305:AB368" si="45">((1.486/$D$41)*((((PI()*($D$54/12)^2)/4)-((($D$54/12)/2)^2*((2*ACOS(((($D$54/12)/2)-(($D$54/12)-(AC305/12)))/(($D$54/12)/2)))-SIN(2*ACOS(((($D$54/12)/2)-(($D$54/12)-(AC305/12)))/(($D$54/12)/2))))/2))/((PI()*($D$54/12))-((2*ACOS(((($D$54/12)/2)-(($D$54/12)-(AC305/12)))/(($D$54/12)/2)))*(($D$54/12)/2))))^(2/3)*$H$25^0.5)*(((PI()*($D$54/12)^2)/4)-((($D$54/12)/2)^2*((2*ACOS(((($D$54/12)/2)-(($D$54/12)-(AC305/12)))/(($D$54/12)/2)))-SIN(2*ACOS(((($D$54/12)/2)-(($D$54/12)-(AC305/12)))/(($D$54/12)/2))))/2))</f>
        <v>#VALUE!</v>
      </c>
      <c r="AC305">
        <v>1.93</v>
      </c>
      <c r="AD305" s="154" t="e">
        <f t="shared" ref="AD305:AD368" si="46">((1.486/$D$42)*((((PI()*($D$55/12)^2)/4)-((($D$55/12)/2)^2*((2*ACOS(((($D$55/12)/2)-(($D$55/12)-(AE305/12)))/(($D$55/12)/2)))-SIN(2*ACOS(((($D$55/12)/2)-(($D$55/12)-(AE305/12)))/(($D$55/12)/2))))/2))/((PI()*($D$55/12))-((2*ACOS(((($D$55/12)/2)-(($D$55/12)-(AE305/12)))/(($D$55/12)/2)))*(($D$55/12)/2))))^(2/3)*$H$26^0.5)*(((PI()*($D$55/12)^2)/4)-((($D$55/12)/2)^2*((2*ACOS(((($D$55/12)/2)-(($D$55/12)-(AE305/12)))/(($D$55/12)/2)))-SIN(2*ACOS(((($D$55/12)/2)-(($D$55/12)-(AE305/12)))/(($D$55/12)/2))))/2))</f>
        <v>#VALUE!</v>
      </c>
      <c r="AE305">
        <v>1.93</v>
      </c>
    </row>
    <row r="306" spans="12:31" ht="15" x14ac:dyDescent="0.2">
      <c r="L306" s="154" t="e">
        <f t="shared" si="37"/>
        <v>#VALUE!</v>
      </c>
      <c r="M306">
        <v>1.94</v>
      </c>
      <c r="N306" s="154" t="e">
        <f t="shared" si="38"/>
        <v>#VALUE!</v>
      </c>
      <c r="O306">
        <v>1.94</v>
      </c>
      <c r="P306" s="154" t="e">
        <f t="shared" si="39"/>
        <v>#VALUE!</v>
      </c>
      <c r="Q306">
        <v>1.94</v>
      </c>
      <c r="R306" s="154" t="e">
        <f t="shared" si="40"/>
        <v>#VALUE!</v>
      </c>
      <c r="S306">
        <v>1.94</v>
      </c>
      <c r="T306" s="154" t="e">
        <f t="shared" si="41"/>
        <v>#VALUE!</v>
      </c>
      <c r="U306">
        <v>1.94</v>
      </c>
      <c r="V306" s="154" t="e">
        <f t="shared" si="42"/>
        <v>#VALUE!</v>
      </c>
      <c r="W306">
        <v>1.94</v>
      </c>
      <c r="X306" s="157" t="e">
        <f t="shared" si="43"/>
        <v>#VALUE!</v>
      </c>
      <c r="Y306">
        <v>1.94</v>
      </c>
      <c r="Z306" s="154" t="e">
        <f t="shared" si="44"/>
        <v>#VALUE!</v>
      </c>
      <c r="AA306">
        <v>1.94</v>
      </c>
      <c r="AB306" s="154" t="e">
        <f t="shared" si="45"/>
        <v>#VALUE!</v>
      </c>
      <c r="AC306">
        <v>1.94</v>
      </c>
      <c r="AD306" s="154" t="e">
        <f t="shared" si="46"/>
        <v>#VALUE!</v>
      </c>
      <c r="AE306">
        <v>1.94</v>
      </c>
    </row>
    <row r="307" spans="12:31" ht="15" x14ac:dyDescent="0.2">
      <c r="L307" s="154" t="e">
        <f t="shared" si="37"/>
        <v>#VALUE!</v>
      </c>
      <c r="M307">
        <v>1.95</v>
      </c>
      <c r="N307" s="154" t="e">
        <f t="shared" si="38"/>
        <v>#VALUE!</v>
      </c>
      <c r="O307">
        <v>1.95</v>
      </c>
      <c r="P307" s="154" t="e">
        <f t="shared" si="39"/>
        <v>#VALUE!</v>
      </c>
      <c r="Q307">
        <v>1.95</v>
      </c>
      <c r="R307" s="154" t="e">
        <f t="shared" si="40"/>
        <v>#VALUE!</v>
      </c>
      <c r="S307">
        <v>1.95</v>
      </c>
      <c r="T307" s="154" t="e">
        <f t="shared" si="41"/>
        <v>#VALUE!</v>
      </c>
      <c r="U307">
        <v>1.95</v>
      </c>
      <c r="V307" s="154" t="e">
        <f t="shared" si="42"/>
        <v>#VALUE!</v>
      </c>
      <c r="W307">
        <v>1.95</v>
      </c>
      <c r="X307" s="157" t="e">
        <f t="shared" si="43"/>
        <v>#VALUE!</v>
      </c>
      <c r="Y307">
        <v>1.95</v>
      </c>
      <c r="Z307" s="154" t="e">
        <f t="shared" si="44"/>
        <v>#VALUE!</v>
      </c>
      <c r="AA307">
        <v>1.95</v>
      </c>
      <c r="AB307" s="154" t="e">
        <f t="shared" si="45"/>
        <v>#VALUE!</v>
      </c>
      <c r="AC307">
        <v>1.95</v>
      </c>
      <c r="AD307" s="154" t="e">
        <f t="shared" si="46"/>
        <v>#VALUE!</v>
      </c>
      <c r="AE307">
        <v>1.95</v>
      </c>
    </row>
    <row r="308" spans="12:31" ht="15" x14ac:dyDescent="0.2">
      <c r="L308" s="154" t="e">
        <f t="shared" si="37"/>
        <v>#VALUE!</v>
      </c>
      <c r="M308">
        <v>1.96</v>
      </c>
      <c r="N308" s="154" t="e">
        <f t="shared" si="38"/>
        <v>#VALUE!</v>
      </c>
      <c r="O308">
        <v>1.96</v>
      </c>
      <c r="P308" s="154" t="e">
        <f t="shared" si="39"/>
        <v>#VALUE!</v>
      </c>
      <c r="Q308">
        <v>1.96</v>
      </c>
      <c r="R308" s="154" t="e">
        <f t="shared" si="40"/>
        <v>#VALUE!</v>
      </c>
      <c r="S308">
        <v>1.96</v>
      </c>
      <c r="T308" s="154" t="e">
        <f t="shared" si="41"/>
        <v>#VALUE!</v>
      </c>
      <c r="U308">
        <v>1.96</v>
      </c>
      <c r="V308" s="154" t="e">
        <f t="shared" si="42"/>
        <v>#VALUE!</v>
      </c>
      <c r="W308">
        <v>1.96</v>
      </c>
      <c r="X308" s="157" t="e">
        <f t="shared" si="43"/>
        <v>#VALUE!</v>
      </c>
      <c r="Y308">
        <v>1.96</v>
      </c>
      <c r="Z308" s="154" t="e">
        <f t="shared" si="44"/>
        <v>#VALUE!</v>
      </c>
      <c r="AA308">
        <v>1.96</v>
      </c>
      <c r="AB308" s="154" t="e">
        <f t="shared" si="45"/>
        <v>#VALUE!</v>
      </c>
      <c r="AC308">
        <v>1.96</v>
      </c>
      <c r="AD308" s="154" t="e">
        <f t="shared" si="46"/>
        <v>#VALUE!</v>
      </c>
      <c r="AE308">
        <v>1.96</v>
      </c>
    </row>
    <row r="309" spans="12:31" ht="15" x14ac:dyDescent="0.2">
      <c r="L309" s="154" t="e">
        <f t="shared" si="37"/>
        <v>#VALUE!</v>
      </c>
      <c r="M309">
        <v>1.97</v>
      </c>
      <c r="N309" s="154" t="e">
        <f t="shared" si="38"/>
        <v>#VALUE!</v>
      </c>
      <c r="O309">
        <v>1.97</v>
      </c>
      <c r="P309" s="154" t="e">
        <f t="shared" si="39"/>
        <v>#VALUE!</v>
      </c>
      <c r="Q309">
        <v>1.97</v>
      </c>
      <c r="R309" s="154" t="e">
        <f t="shared" si="40"/>
        <v>#VALUE!</v>
      </c>
      <c r="S309">
        <v>1.97</v>
      </c>
      <c r="T309" s="154" t="e">
        <f t="shared" si="41"/>
        <v>#VALUE!</v>
      </c>
      <c r="U309">
        <v>1.97</v>
      </c>
      <c r="V309" s="154" t="e">
        <f t="shared" si="42"/>
        <v>#VALUE!</v>
      </c>
      <c r="W309">
        <v>1.97</v>
      </c>
      <c r="X309" s="157" t="e">
        <f t="shared" si="43"/>
        <v>#VALUE!</v>
      </c>
      <c r="Y309">
        <v>1.97</v>
      </c>
      <c r="Z309" s="154" t="e">
        <f t="shared" si="44"/>
        <v>#VALUE!</v>
      </c>
      <c r="AA309">
        <v>1.97</v>
      </c>
      <c r="AB309" s="154" t="e">
        <f t="shared" si="45"/>
        <v>#VALUE!</v>
      </c>
      <c r="AC309">
        <v>1.97</v>
      </c>
      <c r="AD309" s="154" t="e">
        <f t="shared" si="46"/>
        <v>#VALUE!</v>
      </c>
      <c r="AE309">
        <v>1.97</v>
      </c>
    </row>
    <row r="310" spans="12:31" ht="15" x14ac:dyDescent="0.2">
      <c r="L310" s="154" t="e">
        <f t="shared" si="37"/>
        <v>#VALUE!</v>
      </c>
      <c r="M310">
        <v>1.98</v>
      </c>
      <c r="N310" s="154" t="e">
        <f t="shared" si="38"/>
        <v>#VALUE!</v>
      </c>
      <c r="O310">
        <v>1.98</v>
      </c>
      <c r="P310" s="154" t="e">
        <f t="shared" si="39"/>
        <v>#VALUE!</v>
      </c>
      <c r="Q310">
        <v>1.98</v>
      </c>
      <c r="R310" s="154" t="e">
        <f t="shared" si="40"/>
        <v>#VALUE!</v>
      </c>
      <c r="S310">
        <v>1.98</v>
      </c>
      <c r="T310" s="154" t="e">
        <f t="shared" si="41"/>
        <v>#VALUE!</v>
      </c>
      <c r="U310">
        <v>1.98</v>
      </c>
      <c r="V310" s="154" t="e">
        <f t="shared" si="42"/>
        <v>#VALUE!</v>
      </c>
      <c r="W310">
        <v>1.98</v>
      </c>
      <c r="X310" s="157" t="e">
        <f t="shared" si="43"/>
        <v>#VALUE!</v>
      </c>
      <c r="Y310">
        <v>1.98</v>
      </c>
      <c r="Z310" s="154" t="e">
        <f t="shared" si="44"/>
        <v>#VALUE!</v>
      </c>
      <c r="AA310">
        <v>1.98</v>
      </c>
      <c r="AB310" s="154" t="e">
        <f t="shared" si="45"/>
        <v>#VALUE!</v>
      </c>
      <c r="AC310">
        <v>1.98</v>
      </c>
      <c r="AD310" s="154" t="e">
        <f t="shared" si="46"/>
        <v>#VALUE!</v>
      </c>
      <c r="AE310">
        <v>1.98</v>
      </c>
    </row>
    <row r="311" spans="12:31" ht="15" x14ac:dyDescent="0.2">
      <c r="L311" s="154" t="e">
        <f t="shared" si="37"/>
        <v>#VALUE!</v>
      </c>
      <c r="M311">
        <v>1.99</v>
      </c>
      <c r="N311" s="154" t="e">
        <f t="shared" si="38"/>
        <v>#VALUE!</v>
      </c>
      <c r="O311">
        <v>1.99</v>
      </c>
      <c r="P311" s="154" t="e">
        <f t="shared" si="39"/>
        <v>#VALUE!</v>
      </c>
      <c r="Q311">
        <v>1.99</v>
      </c>
      <c r="R311" s="154" t="e">
        <f t="shared" si="40"/>
        <v>#VALUE!</v>
      </c>
      <c r="S311">
        <v>1.99</v>
      </c>
      <c r="T311" s="154" t="e">
        <f t="shared" si="41"/>
        <v>#VALUE!</v>
      </c>
      <c r="U311">
        <v>1.99</v>
      </c>
      <c r="V311" s="154" t="e">
        <f t="shared" si="42"/>
        <v>#VALUE!</v>
      </c>
      <c r="W311">
        <v>1.99</v>
      </c>
      <c r="X311" s="157" t="e">
        <f t="shared" si="43"/>
        <v>#VALUE!</v>
      </c>
      <c r="Y311">
        <v>1.99</v>
      </c>
      <c r="Z311" s="154" t="e">
        <f t="shared" si="44"/>
        <v>#VALUE!</v>
      </c>
      <c r="AA311">
        <v>1.99</v>
      </c>
      <c r="AB311" s="154" t="e">
        <f t="shared" si="45"/>
        <v>#VALUE!</v>
      </c>
      <c r="AC311">
        <v>1.99</v>
      </c>
      <c r="AD311" s="154" t="e">
        <f t="shared" si="46"/>
        <v>#VALUE!</v>
      </c>
      <c r="AE311">
        <v>1.99</v>
      </c>
    </row>
    <row r="312" spans="12:31" ht="15" x14ac:dyDescent="0.2">
      <c r="L312" s="154" t="e">
        <f t="shared" si="37"/>
        <v>#VALUE!</v>
      </c>
      <c r="M312">
        <v>2</v>
      </c>
      <c r="N312" s="154" t="e">
        <f t="shared" si="38"/>
        <v>#VALUE!</v>
      </c>
      <c r="O312">
        <v>2</v>
      </c>
      <c r="P312" s="154" t="e">
        <f t="shared" si="39"/>
        <v>#VALUE!</v>
      </c>
      <c r="Q312">
        <v>2</v>
      </c>
      <c r="R312" s="154" t="e">
        <f t="shared" si="40"/>
        <v>#VALUE!</v>
      </c>
      <c r="S312">
        <v>2</v>
      </c>
      <c r="T312" s="154" t="e">
        <f t="shared" si="41"/>
        <v>#VALUE!</v>
      </c>
      <c r="U312">
        <v>2</v>
      </c>
      <c r="V312" s="154" t="e">
        <f t="shared" si="42"/>
        <v>#VALUE!</v>
      </c>
      <c r="W312">
        <v>2</v>
      </c>
      <c r="X312" s="157" t="e">
        <f t="shared" si="43"/>
        <v>#VALUE!</v>
      </c>
      <c r="Y312">
        <v>2</v>
      </c>
      <c r="Z312" s="154" t="e">
        <f t="shared" si="44"/>
        <v>#VALUE!</v>
      </c>
      <c r="AA312">
        <v>2</v>
      </c>
      <c r="AB312" s="154" t="e">
        <f t="shared" si="45"/>
        <v>#VALUE!</v>
      </c>
      <c r="AC312">
        <v>2</v>
      </c>
      <c r="AD312" s="154" t="e">
        <f t="shared" si="46"/>
        <v>#VALUE!</v>
      </c>
      <c r="AE312">
        <v>2</v>
      </c>
    </row>
    <row r="313" spans="12:31" ht="15" x14ac:dyDescent="0.2">
      <c r="L313" s="154" t="e">
        <f t="shared" si="37"/>
        <v>#VALUE!</v>
      </c>
      <c r="M313">
        <v>2.0099999999999998</v>
      </c>
      <c r="N313" s="154" t="e">
        <f t="shared" si="38"/>
        <v>#VALUE!</v>
      </c>
      <c r="O313">
        <v>2.0099999999999998</v>
      </c>
      <c r="P313" s="154" t="e">
        <f t="shared" si="39"/>
        <v>#VALUE!</v>
      </c>
      <c r="Q313">
        <v>2.0099999999999998</v>
      </c>
      <c r="R313" s="154" t="e">
        <f t="shared" si="40"/>
        <v>#VALUE!</v>
      </c>
      <c r="S313">
        <v>2.0099999999999998</v>
      </c>
      <c r="T313" s="154" t="e">
        <f t="shared" si="41"/>
        <v>#VALUE!</v>
      </c>
      <c r="U313">
        <v>2.0099999999999998</v>
      </c>
      <c r="V313" s="154" t="e">
        <f t="shared" si="42"/>
        <v>#VALUE!</v>
      </c>
      <c r="W313">
        <v>2.0099999999999998</v>
      </c>
      <c r="X313" s="157" t="e">
        <f t="shared" si="43"/>
        <v>#VALUE!</v>
      </c>
      <c r="Y313">
        <v>2.0099999999999998</v>
      </c>
      <c r="Z313" s="154" t="e">
        <f t="shared" si="44"/>
        <v>#VALUE!</v>
      </c>
      <c r="AA313">
        <v>2.0099999999999998</v>
      </c>
      <c r="AB313" s="154" t="e">
        <f t="shared" si="45"/>
        <v>#VALUE!</v>
      </c>
      <c r="AC313">
        <v>2.0099999999999998</v>
      </c>
      <c r="AD313" s="154" t="e">
        <f t="shared" si="46"/>
        <v>#VALUE!</v>
      </c>
      <c r="AE313">
        <v>2.0099999999999998</v>
      </c>
    </row>
    <row r="314" spans="12:31" ht="15" x14ac:dyDescent="0.2">
      <c r="L314" s="154" t="e">
        <f t="shared" si="37"/>
        <v>#VALUE!</v>
      </c>
      <c r="M314">
        <v>2.02</v>
      </c>
      <c r="N314" s="154" t="e">
        <f t="shared" si="38"/>
        <v>#VALUE!</v>
      </c>
      <c r="O314">
        <v>2.02</v>
      </c>
      <c r="P314" s="154" t="e">
        <f t="shared" si="39"/>
        <v>#VALUE!</v>
      </c>
      <c r="Q314">
        <v>2.02</v>
      </c>
      <c r="R314" s="154" t="e">
        <f t="shared" si="40"/>
        <v>#VALUE!</v>
      </c>
      <c r="S314">
        <v>2.02</v>
      </c>
      <c r="T314" s="154" t="e">
        <f t="shared" si="41"/>
        <v>#VALUE!</v>
      </c>
      <c r="U314">
        <v>2.02</v>
      </c>
      <c r="V314" s="154" t="e">
        <f t="shared" si="42"/>
        <v>#VALUE!</v>
      </c>
      <c r="W314">
        <v>2.02</v>
      </c>
      <c r="X314" s="157" t="e">
        <f t="shared" si="43"/>
        <v>#VALUE!</v>
      </c>
      <c r="Y314">
        <v>2.02</v>
      </c>
      <c r="Z314" s="154" t="e">
        <f t="shared" si="44"/>
        <v>#VALUE!</v>
      </c>
      <c r="AA314">
        <v>2.02</v>
      </c>
      <c r="AB314" s="154" t="e">
        <f t="shared" si="45"/>
        <v>#VALUE!</v>
      </c>
      <c r="AC314">
        <v>2.02</v>
      </c>
      <c r="AD314" s="154" t="e">
        <f t="shared" si="46"/>
        <v>#VALUE!</v>
      </c>
      <c r="AE314">
        <v>2.02</v>
      </c>
    </row>
    <row r="315" spans="12:31" ht="15" x14ac:dyDescent="0.2">
      <c r="L315" s="154" t="e">
        <f t="shared" si="37"/>
        <v>#VALUE!</v>
      </c>
      <c r="M315">
        <v>2.0299999999999998</v>
      </c>
      <c r="N315" s="154" t="e">
        <f t="shared" si="38"/>
        <v>#VALUE!</v>
      </c>
      <c r="O315">
        <v>2.0299999999999998</v>
      </c>
      <c r="P315" s="154" t="e">
        <f t="shared" si="39"/>
        <v>#VALUE!</v>
      </c>
      <c r="Q315">
        <v>2.0299999999999998</v>
      </c>
      <c r="R315" s="154" t="e">
        <f t="shared" si="40"/>
        <v>#VALUE!</v>
      </c>
      <c r="S315">
        <v>2.0299999999999998</v>
      </c>
      <c r="T315" s="154" t="e">
        <f t="shared" si="41"/>
        <v>#VALUE!</v>
      </c>
      <c r="U315">
        <v>2.0299999999999998</v>
      </c>
      <c r="V315" s="154" t="e">
        <f t="shared" si="42"/>
        <v>#VALUE!</v>
      </c>
      <c r="W315">
        <v>2.0299999999999998</v>
      </c>
      <c r="X315" s="157" t="e">
        <f t="shared" si="43"/>
        <v>#VALUE!</v>
      </c>
      <c r="Y315">
        <v>2.0299999999999998</v>
      </c>
      <c r="Z315" s="154" t="e">
        <f t="shared" si="44"/>
        <v>#VALUE!</v>
      </c>
      <c r="AA315">
        <v>2.0299999999999998</v>
      </c>
      <c r="AB315" s="154" t="e">
        <f t="shared" si="45"/>
        <v>#VALUE!</v>
      </c>
      <c r="AC315">
        <v>2.0299999999999998</v>
      </c>
      <c r="AD315" s="154" t="e">
        <f t="shared" si="46"/>
        <v>#VALUE!</v>
      </c>
      <c r="AE315">
        <v>2.0299999999999998</v>
      </c>
    </row>
    <row r="316" spans="12:31" ht="15" x14ac:dyDescent="0.2">
      <c r="L316" s="154" t="e">
        <f t="shared" si="37"/>
        <v>#VALUE!</v>
      </c>
      <c r="M316">
        <v>2.04</v>
      </c>
      <c r="N316" s="154" t="e">
        <f t="shared" si="38"/>
        <v>#VALUE!</v>
      </c>
      <c r="O316">
        <v>2.04</v>
      </c>
      <c r="P316" s="154" t="e">
        <f t="shared" si="39"/>
        <v>#VALUE!</v>
      </c>
      <c r="Q316">
        <v>2.04</v>
      </c>
      <c r="R316" s="154" t="e">
        <f t="shared" si="40"/>
        <v>#VALUE!</v>
      </c>
      <c r="S316">
        <v>2.04</v>
      </c>
      <c r="T316" s="154" t="e">
        <f t="shared" si="41"/>
        <v>#VALUE!</v>
      </c>
      <c r="U316">
        <v>2.04</v>
      </c>
      <c r="V316" s="154" t="e">
        <f t="shared" si="42"/>
        <v>#VALUE!</v>
      </c>
      <c r="W316">
        <v>2.04</v>
      </c>
      <c r="X316" s="157" t="e">
        <f t="shared" si="43"/>
        <v>#VALUE!</v>
      </c>
      <c r="Y316">
        <v>2.04</v>
      </c>
      <c r="Z316" s="154" t="e">
        <f t="shared" si="44"/>
        <v>#VALUE!</v>
      </c>
      <c r="AA316">
        <v>2.04</v>
      </c>
      <c r="AB316" s="154" t="e">
        <f t="shared" si="45"/>
        <v>#VALUE!</v>
      </c>
      <c r="AC316">
        <v>2.04</v>
      </c>
      <c r="AD316" s="154" t="e">
        <f t="shared" si="46"/>
        <v>#VALUE!</v>
      </c>
      <c r="AE316">
        <v>2.04</v>
      </c>
    </row>
    <row r="317" spans="12:31" ht="15" x14ac:dyDescent="0.2">
      <c r="L317" s="154" t="e">
        <f t="shared" si="37"/>
        <v>#VALUE!</v>
      </c>
      <c r="M317">
        <v>2.0499999999999998</v>
      </c>
      <c r="N317" s="154" t="e">
        <f t="shared" si="38"/>
        <v>#VALUE!</v>
      </c>
      <c r="O317">
        <v>2.0499999999999998</v>
      </c>
      <c r="P317" s="154" t="e">
        <f t="shared" si="39"/>
        <v>#VALUE!</v>
      </c>
      <c r="Q317">
        <v>2.0499999999999998</v>
      </c>
      <c r="R317" s="154" t="e">
        <f t="shared" si="40"/>
        <v>#VALUE!</v>
      </c>
      <c r="S317">
        <v>2.0499999999999998</v>
      </c>
      <c r="T317" s="154" t="e">
        <f t="shared" si="41"/>
        <v>#VALUE!</v>
      </c>
      <c r="U317">
        <v>2.0499999999999998</v>
      </c>
      <c r="V317" s="154" t="e">
        <f t="shared" si="42"/>
        <v>#VALUE!</v>
      </c>
      <c r="W317">
        <v>2.0499999999999998</v>
      </c>
      <c r="X317" s="157" t="e">
        <f t="shared" si="43"/>
        <v>#VALUE!</v>
      </c>
      <c r="Y317">
        <v>2.0499999999999998</v>
      </c>
      <c r="Z317" s="154" t="e">
        <f t="shared" si="44"/>
        <v>#VALUE!</v>
      </c>
      <c r="AA317">
        <v>2.0499999999999998</v>
      </c>
      <c r="AB317" s="154" t="e">
        <f t="shared" si="45"/>
        <v>#VALUE!</v>
      </c>
      <c r="AC317">
        <v>2.0499999999999998</v>
      </c>
      <c r="AD317" s="154" t="e">
        <f t="shared" si="46"/>
        <v>#VALUE!</v>
      </c>
      <c r="AE317">
        <v>2.0499999999999998</v>
      </c>
    </row>
    <row r="318" spans="12:31" ht="15" x14ac:dyDescent="0.2">
      <c r="L318" s="154" t="e">
        <f t="shared" si="37"/>
        <v>#VALUE!</v>
      </c>
      <c r="M318">
        <v>2.06</v>
      </c>
      <c r="N318" s="154" t="e">
        <f t="shared" si="38"/>
        <v>#VALUE!</v>
      </c>
      <c r="O318">
        <v>2.06</v>
      </c>
      <c r="P318" s="154" t="e">
        <f t="shared" si="39"/>
        <v>#VALUE!</v>
      </c>
      <c r="Q318">
        <v>2.06</v>
      </c>
      <c r="R318" s="154" t="e">
        <f t="shared" si="40"/>
        <v>#VALUE!</v>
      </c>
      <c r="S318">
        <v>2.06</v>
      </c>
      <c r="T318" s="154" t="e">
        <f t="shared" si="41"/>
        <v>#VALUE!</v>
      </c>
      <c r="U318">
        <v>2.06</v>
      </c>
      <c r="V318" s="154" t="e">
        <f t="shared" si="42"/>
        <v>#VALUE!</v>
      </c>
      <c r="W318">
        <v>2.06</v>
      </c>
      <c r="X318" s="157" t="e">
        <f t="shared" si="43"/>
        <v>#VALUE!</v>
      </c>
      <c r="Y318">
        <v>2.06</v>
      </c>
      <c r="Z318" s="154" t="e">
        <f t="shared" si="44"/>
        <v>#VALUE!</v>
      </c>
      <c r="AA318">
        <v>2.06</v>
      </c>
      <c r="AB318" s="154" t="e">
        <f t="shared" si="45"/>
        <v>#VALUE!</v>
      </c>
      <c r="AC318">
        <v>2.06</v>
      </c>
      <c r="AD318" s="154" t="e">
        <f t="shared" si="46"/>
        <v>#VALUE!</v>
      </c>
      <c r="AE318">
        <v>2.06</v>
      </c>
    </row>
    <row r="319" spans="12:31" ht="15" x14ac:dyDescent="0.2">
      <c r="L319" s="154" t="e">
        <f t="shared" si="37"/>
        <v>#VALUE!</v>
      </c>
      <c r="M319">
        <v>2.0699999999999998</v>
      </c>
      <c r="N319" s="154" t="e">
        <f t="shared" si="38"/>
        <v>#VALUE!</v>
      </c>
      <c r="O319">
        <v>2.0699999999999998</v>
      </c>
      <c r="P319" s="154" t="e">
        <f t="shared" si="39"/>
        <v>#VALUE!</v>
      </c>
      <c r="Q319">
        <v>2.0699999999999998</v>
      </c>
      <c r="R319" s="154" t="e">
        <f t="shared" si="40"/>
        <v>#VALUE!</v>
      </c>
      <c r="S319">
        <v>2.0699999999999998</v>
      </c>
      <c r="T319" s="154" t="e">
        <f t="shared" si="41"/>
        <v>#VALUE!</v>
      </c>
      <c r="U319">
        <v>2.0699999999999998</v>
      </c>
      <c r="V319" s="154" t="e">
        <f t="shared" si="42"/>
        <v>#VALUE!</v>
      </c>
      <c r="W319">
        <v>2.0699999999999998</v>
      </c>
      <c r="X319" s="157" t="e">
        <f t="shared" si="43"/>
        <v>#VALUE!</v>
      </c>
      <c r="Y319">
        <v>2.0699999999999998</v>
      </c>
      <c r="Z319" s="154" t="e">
        <f t="shared" si="44"/>
        <v>#VALUE!</v>
      </c>
      <c r="AA319">
        <v>2.0699999999999998</v>
      </c>
      <c r="AB319" s="154" t="e">
        <f t="shared" si="45"/>
        <v>#VALUE!</v>
      </c>
      <c r="AC319">
        <v>2.0699999999999998</v>
      </c>
      <c r="AD319" s="154" t="e">
        <f t="shared" si="46"/>
        <v>#VALUE!</v>
      </c>
      <c r="AE319">
        <v>2.0699999999999998</v>
      </c>
    </row>
    <row r="320" spans="12:31" ht="15" x14ac:dyDescent="0.2">
      <c r="L320" s="154" t="e">
        <f t="shared" si="37"/>
        <v>#VALUE!</v>
      </c>
      <c r="M320">
        <v>2.08</v>
      </c>
      <c r="N320" s="154" t="e">
        <f t="shared" si="38"/>
        <v>#VALUE!</v>
      </c>
      <c r="O320">
        <v>2.08</v>
      </c>
      <c r="P320" s="154" t="e">
        <f t="shared" si="39"/>
        <v>#VALUE!</v>
      </c>
      <c r="Q320">
        <v>2.08</v>
      </c>
      <c r="R320" s="154" t="e">
        <f t="shared" si="40"/>
        <v>#VALUE!</v>
      </c>
      <c r="S320">
        <v>2.08</v>
      </c>
      <c r="T320" s="154" t="e">
        <f t="shared" si="41"/>
        <v>#VALUE!</v>
      </c>
      <c r="U320">
        <v>2.08</v>
      </c>
      <c r="V320" s="154" t="e">
        <f t="shared" si="42"/>
        <v>#VALUE!</v>
      </c>
      <c r="W320">
        <v>2.08</v>
      </c>
      <c r="X320" s="157" t="e">
        <f t="shared" si="43"/>
        <v>#VALUE!</v>
      </c>
      <c r="Y320">
        <v>2.08</v>
      </c>
      <c r="Z320" s="154" t="e">
        <f t="shared" si="44"/>
        <v>#VALUE!</v>
      </c>
      <c r="AA320">
        <v>2.08</v>
      </c>
      <c r="AB320" s="154" t="e">
        <f t="shared" si="45"/>
        <v>#VALUE!</v>
      </c>
      <c r="AC320">
        <v>2.08</v>
      </c>
      <c r="AD320" s="154" t="e">
        <f t="shared" si="46"/>
        <v>#VALUE!</v>
      </c>
      <c r="AE320">
        <v>2.08</v>
      </c>
    </row>
    <row r="321" spans="12:31" ht="15" x14ac:dyDescent="0.2">
      <c r="L321" s="154" t="e">
        <f t="shared" si="37"/>
        <v>#VALUE!</v>
      </c>
      <c r="M321">
        <v>2.09</v>
      </c>
      <c r="N321" s="154" t="e">
        <f t="shared" si="38"/>
        <v>#VALUE!</v>
      </c>
      <c r="O321">
        <v>2.09</v>
      </c>
      <c r="P321" s="154" t="e">
        <f t="shared" si="39"/>
        <v>#VALUE!</v>
      </c>
      <c r="Q321">
        <v>2.09</v>
      </c>
      <c r="R321" s="154" t="e">
        <f t="shared" si="40"/>
        <v>#VALUE!</v>
      </c>
      <c r="S321">
        <v>2.09</v>
      </c>
      <c r="T321" s="154" t="e">
        <f t="shared" si="41"/>
        <v>#VALUE!</v>
      </c>
      <c r="U321">
        <v>2.09</v>
      </c>
      <c r="V321" s="154" t="e">
        <f t="shared" si="42"/>
        <v>#VALUE!</v>
      </c>
      <c r="W321">
        <v>2.09</v>
      </c>
      <c r="X321" s="157" t="e">
        <f t="shared" si="43"/>
        <v>#VALUE!</v>
      </c>
      <c r="Y321">
        <v>2.09</v>
      </c>
      <c r="Z321" s="154" t="e">
        <f t="shared" si="44"/>
        <v>#VALUE!</v>
      </c>
      <c r="AA321">
        <v>2.09</v>
      </c>
      <c r="AB321" s="154" t="e">
        <f t="shared" si="45"/>
        <v>#VALUE!</v>
      </c>
      <c r="AC321">
        <v>2.09</v>
      </c>
      <c r="AD321" s="154" t="e">
        <f t="shared" si="46"/>
        <v>#VALUE!</v>
      </c>
      <c r="AE321">
        <v>2.09</v>
      </c>
    </row>
    <row r="322" spans="12:31" ht="15" x14ac:dyDescent="0.2">
      <c r="L322" s="154" t="e">
        <f t="shared" si="37"/>
        <v>#VALUE!</v>
      </c>
      <c r="M322">
        <v>2.1</v>
      </c>
      <c r="N322" s="154" t="e">
        <f t="shared" si="38"/>
        <v>#VALUE!</v>
      </c>
      <c r="O322">
        <v>2.1</v>
      </c>
      <c r="P322" s="154" t="e">
        <f t="shared" si="39"/>
        <v>#VALUE!</v>
      </c>
      <c r="Q322">
        <v>2.1</v>
      </c>
      <c r="R322" s="154" t="e">
        <f t="shared" si="40"/>
        <v>#VALUE!</v>
      </c>
      <c r="S322">
        <v>2.1</v>
      </c>
      <c r="T322" s="154" t="e">
        <f t="shared" si="41"/>
        <v>#VALUE!</v>
      </c>
      <c r="U322">
        <v>2.1</v>
      </c>
      <c r="V322" s="154" t="e">
        <f t="shared" si="42"/>
        <v>#VALUE!</v>
      </c>
      <c r="W322">
        <v>2.1</v>
      </c>
      <c r="X322" s="157" t="e">
        <f t="shared" si="43"/>
        <v>#VALUE!</v>
      </c>
      <c r="Y322">
        <v>2.1</v>
      </c>
      <c r="Z322" s="154" t="e">
        <f t="shared" si="44"/>
        <v>#VALUE!</v>
      </c>
      <c r="AA322">
        <v>2.1</v>
      </c>
      <c r="AB322" s="154" t="e">
        <f t="shared" si="45"/>
        <v>#VALUE!</v>
      </c>
      <c r="AC322">
        <v>2.1</v>
      </c>
      <c r="AD322" s="154" t="e">
        <f t="shared" si="46"/>
        <v>#VALUE!</v>
      </c>
      <c r="AE322">
        <v>2.1</v>
      </c>
    </row>
    <row r="323" spans="12:31" ht="15" x14ac:dyDescent="0.2">
      <c r="L323" s="154" t="e">
        <f t="shared" si="37"/>
        <v>#VALUE!</v>
      </c>
      <c r="M323">
        <v>2.11</v>
      </c>
      <c r="N323" s="154" t="e">
        <f t="shared" si="38"/>
        <v>#VALUE!</v>
      </c>
      <c r="O323">
        <v>2.11</v>
      </c>
      <c r="P323" s="154" t="e">
        <f t="shared" si="39"/>
        <v>#VALUE!</v>
      </c>
      <c r="Q323">
        <v>2.11</v>
      </c>
      <c r="R323" s="154" t="e">
        <f t="shared" si="40"/>
        <v>#VALUE!</v>
      </c>
      <c r="S323">
        <v>2.11</v>
      </c>
      <c r="T323" s="154" t="e">
        <f t="shared" si="41"/>
        <v>#VALUE!</v>
      </c>
      <c r="U323">
        <v>2.11</v>
      </c>
      <c r="V323" s="154" t="e">
        <f t="shared" si="42"/>
        <v>#VALUE!</v>
      </c>
      <c r="W323">
        <v>2.11</v>
      </c>
      <c r="X323" s="157" t="e">
        <f t="shared" si="43"/>
        <v>#VALUE!</v>
      </c>
      <c r="Y323">
        <v>2.11</v>
      </c>
      <c r="Z323" s="154" t="e">
        <f t="shared" si="44"/>
        <v>#VALUE!</v>
      </c>
      <c r="AA323">
        <v>2.11</v>
      </c>
      <c r="AB323" s="154" t="e">
        <f t="shared" si="45"/>
        <v>#VALUE!</v>
      </c>
      <c r="AC323">
        <v>2.11</v>
      </c>
      <c r="AD323" s="154" t="e">
        <f t="shared" si="46"/>
        <v>#VALUE!</v>
      </c>
      <c r="AE323">
        <v>2.11</v>
      </c>
    </row>
    <row r="324" spans="12:31" ht="15" x14ac:dyDescent="0.2">
      <c r="L324" s="154" t="e">
        <f t="shared" si="37"/>
        <v>#VALUE!</v>
      </c>
      <c r="M324">
        <v>2.12</v>
      </c>
      <c r="N324" s="154" t="e">
        <f t="shared" si="38"/>
        <v>#VALUE!</v>
      </c>
      <c r="O324">
        <v>2.12</v>
      </c>
      <c r="P324" s="154" t="e">
        <f t="shared" si="39"/>
        <v>#VALUE!</v>
      </c>
      <c r="Q324">
        <v>2.12</v>
      </c>
      <c r="R324" s="154" t="e">
        <f t="shared" si="40"/>
        <v>#VALUE!</v>
      </c>
      <c r="S324">
        <v>2.12</v>
      </c>
      <c r="T324" s="154" t="e">
        <f t="shared" si="41"/>
        <v>#VALUE!</v>
      </c>
      <c r="U324">
        <v>2.12</v>
      </c>
      <c r="V324" s="154" t="e">
        <f t="shared" si="42"/>
        <v>#VALUE!</v>
      </c>
      <c r="W324">
        <v>2.12</v>
      </c>
      <c r="X324" s="157" t="e">
        <f t="shared" si="43"/>
        <v>#VALUE!</v>
      </c>
      <c r="Y324">
        <v>2.12</v>
      </c>
      <c r="Z324" s="154" t="e">
        <f t="shared" si="44"/>
        <v>#VALUE!</v>
      </c>
      <c r="AA324">
        <v>2.12</v>
      </c>
      <c r="AB324" s="154" t="e">
        <f t="shared" si="45"/>
        <v>#VALUE!</v>
      </c>
      <c r="AC324">
        <v>2.12</v>
      </c>
      <c r="AD324" s="154" t="e">
        <f t="shared" si="46"/>
        <v>#VALUE!</v>
      </c>
      <c r="AE324">
        <v>2.12</v>
      </c>
    </row>
    <row r="325" spans="12:31" ht="15" x14ac:dyDescent="0.2">
      <c r="L325" s="154" t="e">
        <f t="shared" si="37"/>
        <v>#VALUE!</v>
      </c>
      <c r="M325">
        <v>2.13</v>
      </c>
      <c r="N325" s="154" t="e">
        <f t="shared" si="38"/>
        <v>#VALUE!</v>
      </c>
      <c r="O325">
        <v>2.13</v>
      </c>
      <c r="P325" s="154" t="e">
        <f t="shared" si="39"/>
        <v>#VALUE!</v>
      </c>
      <c r="Q325">
        <v>2.13</v>
      </c>
      <c r="R325" s="154" t="e">
        <f t="shared" si="40"/>
        <v>#VALUE!</v>
      </c>
      <c r="S325">
        <v>2.13</v>
      </c>
      <c r="T325" s="154" t="e">
        <f t="shared" si="41"/>
        <v>#VALUE!</v>
      </c>
      <c r="U325">
        <v>2.13</v>
      </c>
      <c r="V325" s="154" t="e">
        <f t="shared" si="42"/>
        <v>#VALUE!</v>
      </c>
      <c r="W325">
        <v>2.13</v>
      </c>
      <c r="X325" s="157" t="e">
        <f t="shared" si="43"/>
        <v>#VALUE!</v>
      </c>
      <c r="Y325">
        <v>2.13</v>
      </c>
      <c r="Z325" s="154" t="e">
        <f t="shared" si="44"/>
        <v>#VALUE!</v>
      </c>
      <c r="AA325">
        <v>2.13</v>
      </c>
      <c r="AB325" s="154" t="e">
        <f t="shared" si="45"/>
        <v>#VALUE!</v>
      </c>
      <c r="AC325">
        <v>2.13</v>
      </c>
      <c r="AD325" s="154" t="e">
        <f t="shared" si="46"/>
        <v>#VALUE!</v>
      </c>
      <c r="AE325">
        <v>2.13</v>
      </c>
    </row>
    <row r="326" spans="12:31" ht="15" x14ac:dyDescent="0.2">
      <c r="L326" s="154" t="e">
        <f t="shared" si="37"/>
        <v>#VALUE!</v>
      </c>
      <c r="M326">
        <v>2.14</v>
      </c>
      <c r="N326" s="154" t="e">
        <f t="shared" si="38"/>
        <v>#VALUE!</v>
      </c>
      <c r="O326">
        <v>2.14</v>
      </c>
      <c r="P326" s="154" t="e">
        <f t="shared" si="39"/>
        <v>#VALUE!</v>
      </c>
      <c r="Q326">
        <v>2.14</v>
      </c>
      <c r="R326" s="154" t="e">
        <f t="shared" si="40"/>
        <v>#VALUE!</v>
      </c>
      <c r="S326">
        <v>2.14</v>
      </c>
      <c r="T326" s="154" t="e">
        <f t="shared" si="41"/>
        <v>#VALUE!</v>
      </c>
      <c r="U326">
        <v>2.14</v>
      </c>
      <c r="V326" s="154" t="e">
        <f t="shared" si="42"/>
        <v>#VALUE!</v>
      </c>
      <c r="W326">
        <v>2.14</v>
      </c>
      <c r="X326" s="157" t="e">
        <f t="shared" si="43"/>
        <v>#VALUE!</v>
      </c>
      <c r="Y326">
        <v>2.14</v>
      </c>
      <c r="Z326" s="154" t="e">
        <f t="shared" si="44"/>
        <v>#VALUE!</v>
      </c>
      <c r="AA326">
        <v>2.14</v>
      </c>
      <c r="AB326" s="154" t="e">
        <f t="shared" si="45"/>
        <v>#VALUE!</v>
      </c>
      <c r="AC326">
        <v>2.14</v>
      </c>
      <c r="AD326" s="154" t="e">
        <f t="shared" si="46"/>
        <v>#VALUE!</v>
      </c>
      <c r="AE326">
        <v>2.14</v>
      </c>
    </row>
    <row r="327" spans="12:31" ht="15" x14ac:dyDescent="0.2">
      <c r="L327" s="154" t="e">
        <f t="shared" si="37"/>
        <v>#VALUE!</v>
      </c>
      <c r="M327">
        <v>2.15</v>
      </c>
      <c r="N327" s="154" t="e">
        <f t="shared" si="38"/>
        <v>#VALUE!</v>
      </c>
      <c r="O327">
        <v>2.15</v>
      </c>
      <c r="P327" s="154" t="e">
        <f t="shared" si="39"/>
        <v>#VALUE!</v>
      </c>
      <c r="Q327">
        <v>2.15</v>
      </c>
      <c r="R327" s="154" t="e">
        <f t="shared" si="40"/>
        <v>#VALUE!</v>
      </c>
      <c r="S327">
        <v>2.15</v>
      </c>
      <c r="T327" s="154" t="e">
        <f t="shared" si="41"/>
        <v>#VALUE!</v>
      </c>
      <c r="U327">
        <v>2.15</v>
      </c>
      <c r="V327" s="154" t="e">
        <f t="shared" si="42"/>
        <v>#VALUE!</v>
      </c>
      <c r="W327">
        <v>2.15</v>
      </c>
      <c r="X327" s="157" t="e">
        <f t="shared" si="43"/>
        <v>#VALUE!</v>
      </c>
      <c r="Y327">
        <v>2.15</v>
      </c>
      <c r="Z327" s="154" t="e">
        <f t="shared" si="44"/>
        <v>#VALUE!</v>
      </c>
      <c r="AA327">
        <v>2.15</v>
      </c>
      <c r="AB327" s="154" t="e">
        <f t="shared" si="45"/>
        <v>#VALUE!</v>
      </c>
      <c r="AC327">
        <v>2.15</v>
      </c>
      <c r="AD327" s="154" t="e">
        <f t="shared" si="46"/>
        <v>#VALUE!</v>
      </c>
      <c r="AE327">
        <v>2.15</v>
      </c>
    </row>
    <row r="328" spans="12:31" ht="15" x14ac:dyDescent="0.2">
      <c r="L328" s="154" t="e">
        <f t="shared" si="37"/>
        <v>#VALUE!</v>
      </c>
      <c r="M328">
        <v>2.16</v>
      </c>
      <c r="N328" s="154" t="e">
        <f t="shared" si="38"/>
        <v>#VALUE!</v>
      </c>
      <c r="O328">
        <v>2.16</v>
      </c>
      <c r="P328" s="154" t="e">
        <f t="shared" si="39"/>
        <v>#VALUE!</v>
      </c>
      <c r="Q328">
        <v>2.16</v>
      </c>
      <c r="R328" s="154" t="e">
        <f t="shared" si="40"/>
        <v>#VALUE!</v>
      </c>
      <c r="S328">
        <v>2.16</v>
      </c>
      <c r="T328" s="154" t="e">
        <f t="shared" si="41"/>
        <v>#VALUE!</v>
      </c>
      <c r="U328">
        <v>2.16</v>
      </c>
      <c r="V328" s="154" t="e">
        <f t="shared" si="42"/>
        <v>#VALUE!</v>
      </c>
      <c r="W328">
        <v>2.16</v>
      </c>
      <c r="X328" s="157" t="e">
        <f t="shared" si="43"/>
        <v>#VALUE!</v>
      </c>
      <c r="Y328">
        <v>2.16</v>
      </c>
      <c r="Z328" s="154" t="e">
        <f t="shared" si="44"/>
        <v>#VALUE!</v>
      </c>
      <c r="AA328">
        <v>2.16</v>
      </c>
      <c r="AB328" s="154" t="e">
        <f t="shared" si="45"/>
        <v>#VALUE!</v>
      </c>
      <c r="AC328">
        <v>2.16</v>
      </c>
      <c r="AD328" s="154" t="e">
        <f t="shared" si="46"/>
        <v>#VALUE!</v>
      </c>
      <c r="AE328">
        <v>2.16</v>
      </c>
    </row>
    <row r="329" spans="12:31" ht="15" x14ac:dyDescent="0.2">
      <c r="L329" s="154" t="e">
        <f t="shared" si="37"/>
        <v>#VALUE!</v>
      </c>
      <c r="M329">
        <v>2.17</v>
      </c>
      <c r="N329" s="154" t="e">
        <f t="shared" si="38"/>
        <v>#VALUE!</v>
      </c>
      <c r="O329">
        <v>2.17</v>
      </c>
      <c r="P329" s="154" t="e">
        <f t="shared" si="39"/>
        <v>#VALUE!</v>
      </c>
      <c r="Q329">
        <v>2.17</v>
      </c>
      <c r="R329" s="154" t="e">
        <f t="shared" si="40"/>
        <v>#VALUE!</v>
      </c>
      <c r="S329">
        <v>2.17</v>
      </c>
      <c r="T329" s="154" t="e">
        <f t="shared" si="41"/>
        <v>#VALUE!</v>
      </c>
      <c r="U329">
        <v>2.17</v>
      </c>
      <c r="V329" s="154" t="e">
        <f t="shared" si="42"/>
        <v>#VALUE!</v>
      </c>
      <c r="W329">
        <v>2.17</v>
      </c>
      <c r="X329" s="157" t="e">
        <f t="shared" si="43"/>
        <v>#VALUE!</v>
      </c>
      <c r="Y329">
        <v>2.17</v>
      </c>
      <c r="Z329" s="154" t="e">
        <f t="shared" si="44"/>
        <v>#VALUE!</v>
      </c>
      <c r="AA329">
        <v>2.17</v>
      </c>
      <c r="AB329" s="154" t="e">
        <f t="shared" si="45"/>
        <v>#VALUE!</v>
      </c>
      <c r="AC329">
        <v>2.17</v>
      </c>
      <c r="AD329" s="154" t="e">
        <f t="shared" si="46"/>
        <v>#VALUE!</v>
      </c>
      <c r="AE329">
        <v>2.17</v>
      </c>
    </row>
    <row r="330" spans="12:31" ht="15" x14ac:dyDescent="0.2">
      <c r="L330" s="154" t="e">
        <f t="shared" si="37"/>
        <v>#VALUE!</v>
      </c>
      <c r="M330">
        <v>2.1800000000000002</v>
      </c>
      <c r="N330" s="154" t="e">
        <f t="shared" si="38"/>
        <v>#VALUE!</v>
      </c>
      <c r="O330">
        <v>2.1800000000000002</v>
      </c>
      <c r="P330" s="154" t="e">
        <f t="shared" si="39"/>
        <v>#VALUE!</v>
      </c>
      <c r="Q330">
        <v>2.1800000000000002</v>
      </c>
      <c r="R330" s="154" t="e">
        <f t="shared" si="40"/>
        <v>#VALUE!</v>
      </c>
      <c r="S330">
        <v>2.1800000000000002</v>
      </c>
      <c r="T330" s="154" t="e">
        <f t="shared" si="41"/>
        <v>#VALUE!</v>
      </c>
      <c r="U330">
        <v>2.1800000000000002</v>
      </c>
      <c r="V330" s="154" t="e">
        <f t="shared" si="42"/>
        <v>#VALUE!</v>
      </c>
      <c r="W330">
        <v>2.1800000000000002</v>
      </c>
      <c r="X330" s="157" t="e">
        <f t="shared" si="43"/>
        <v>#VALUE!</v>
      </c>
      <c r="Y330">
        <v>2.1800000000000002</v>
      </c>
      <c r="Z330" s="154" t="e">
        <f t="shared" si="44"/>
        <v>#VALUE!</v>
      </c>
      <c r="AA330">
        <v>2.1800000000000002</v>
      </c>
      <c r="AB330" s="154" t="e">
        <f t="shared" si="45"/>
        <v>#VALUE!</v>
      </c>
      <c r="AC330">
        <v>2.1800000000000002</v>
      </c>
      <c r="AD330" s="154" t="e">
        <f t="shared" si="46"/>
        <v>#VALUE!</v>
      </c>
      <c r="AE330">
        <v>2.1800000000000002</v>
      </c>
    </row>
    <row r="331" spans="12:31" ht="15" x14ac:dyDescent="0.2">
      <c r="L331" s="154" t="e">
        <f t="shared" si="37"/>
        <v>#VALUE!</v>
      </c>
      <c r="M331">
        <v>2.19</v>
      </c>
      <c r="N331" s="154" t="e">
        <f t="shared" si="38"/>
        <v>#VALUE!</v>
      </c>
      <c r="O331">
        <v>2.19</v>
      </c>
      <c r="P331" s="154" t="e">
        <f t="shared" si="39"/>
        <v>#VALUE!</v>
      </c>
      <c r="Q331">
        <v>2.19</v>
      </c>
      <c r="R331" s="154" t="e">
        <f t="shared" si="40"/>
        <v>#VALUE!</v>
      </c>
      <c r="S331">
        <v>2.19</v>
      </c>
      <c r="T331" s="154" t="e">
        <f t="shared" si="41"/>
        <v>#VALUE!</v>
      </c>
      <c r="U331">
        <v>2.19</v>
      </c>
      <c r="V331" s="154" t="e">
        <f t="shared" si="42"/>
        <v>#VALUE!</v>
      </c>
      <c r="W331">
        <v>2.19</v>
      </c>
      <c r="X331" s="157" t="e">
        <f t="shared" si="43"/>
        <v>#VALUE!</v>
      </c>
      <c r="Y331">
        <v>2.19</v>
      </c>
      <c r="Z331" s="154" t="e">
        <f t="shared" si="44"/>
        <v>#VALUE!</v>
      </c>
      <c r="AA331">
        <v>2.19</v>
      </c>
      <c r="AB331" s="154" t="e">
        <f t="shared" si="45"/>
        <v>#VALUE!</v>
      </c>
      <c r="AC331">
        <v>2.19</v>
      </c>
      <c r="AD331" s="154" t="e">
        <f t="shared" si="46"/>
        <v>#VALUE!</v>
      </c>
      <c r="AE331">
        <v>2.19</v>
      </c>
    </row>
    <row r="332" spans="12:31" ht="15" x14ac:dyDescent="0.2">
      <c r="L332" s="154" t="e">
        <f t="shared" si="37"/>
        <v>#VALUE!</v>
      </c>
      <c r="M332">
        <v>2.2000000000000002</v>
      </c>
      <c r="N332" s="154" t="e">
        <f t="shared" si="38"/>
        <v>#VALUE!</v>
      </c>
      <c r="O332">
        <v>2.2000000000000002</v>
      </c>
      <c r="P332" s="154" t="e">
        <f t="shared" si="39"/>
        <v>#VALUE!</v>
      </c>
      <c r="Q332">
        <v>2.2000000000000002</v>
      </c>
      <c r="R332" s="154" t="e">
        <f t="shared" si="40"/>
        <v>#VALUE!</v>
      </c>
      <c r="S332">
        <v>2.2000000000000002</v>
      </c>
      <c r="T332" s="154" t="e">
        <f t="shared" si="41"/>
        <v>#VALUE!</v>
      </c>
      <c r="U332">
        <v>2.2000000000000002</v>
      </c>
      <c r="V332" s="154" t="e">
        <f t="shared" si="42"/>
        <v>#VALUE!</v>
      </c>
      <c r="W332">
        <v>2.2000000000000002</v>
      </c>
      <c r="X332" s="157" t="e">
        <f t="shared" si="43"/>
        <v>#VALUE!</v>
      </c>
      <c r="Y332">
        <v>2.2000000000000002</v>
      </c>
      <c r="Z332" s="154" t="e">
        <f t="shared" si="44"/>
        <v>#VALUE!</v>
      </c>
      <c r="AA332">
        <v>2.2000000000000002</v>
      </c>
      <c r="AB332" s="154" t="e">
        <f t="shared" si="45"/>
        <v>#VALUE!</v>
      </c>
      <c r="AC332">
        <v>2.2000000000000002</v>
      </c>
      <c r="AD332" s="154" t="e">
        <f t="shared" si="46"/>
        <v>#VALUE!</v>
      </c>
      <c r="AE332">
        <v>2.2000000000000002</v>
      </c>
    </row>
    <row r="333" spans="12:31" ht="15" x14ac:dyDescent="0.2">
      <c r="L333" s="154" t="e">
        <f t="shared" si="37"/>
        <v>#VALUE!</v>
      </c>
      <c r="M333">
        <v>2.21</v>
      </c>
      <c r="N333" s="154" t="e">
        <f t="shared" si="38"/>
        <v>#VALUE!</v>
      </c>
      <c r="O333">
        <v>2.21</v>
      </c>
      <c r="P333" s="154" t="e">
        <f t="shared" si="39"/>
        <v>#VALUE!</v>
      </c>
      <c r="Q333">
        <v>2.21</v>
      </c>
      <c r="R333" s="154" t="e">
        <f t="shared" si="40"/>
        <v>#VALUE!</v>
      </c>
      <c r="S333">
        <v>2.21</v>
      </c>
      <c r="T333" s="154" t="e">
        <f t="shared" si="41"/>
        <v>#VALUE!</v>
      </c>
      <c r="U333">
        <v>2.21</v>
      </c>
      <c r="V333" s="154" t="e">
        <f t="shared" si="42"/>
        <v>#VALUE!</v>
      </c>
      <c r="W333">
        <v>2.21</v>
      </c>
      <c r="X333" s="157" t="e">
        <f t="shared" si="43"/>
        <v>#VALUE!</v>
      </c>
      <c r="Y333">
        <v>2.21</v>
      </c>
      <c r="Z333" s="154" t="e">
        <f t="shared" si="44"/>
        <v>#VALUE!</v>
      </c>
      <c r="AA333">
        <v>2.21</v>
      </c>
      <c r="AB333" s="154" t="e">
        <f t="shared" si="45"/>
        <v>#VALUE!</v>
      </c>
      <c r="AC333">
        <v>2.21</v>
      </c>
      <c r="AD333" s="154" t="e">
        <f t="shared" si="46"/>
        <v>#VALUE!</v>
      </c>
      <c r="AE333">
        <v>2.21</v>
      </c>
    </row>
    <row r="334" spans="12:31" ht="15" x14ac:dyDescent="0.2">
      <c r="L334" s="154" t="e">
        <f t="shared" si="37"/>
        <v>#VALUE!</v>
      </c>
      <c r="M334">
        <v>2.2200000000000002</v>
      </c>
      <c r="N334" s="154" t="e">
        <f t="shared" si="38"/>
        <v>#VALUE!</v>
      </c>
      <c r="O334">
        <v>2.2200000000000002</v>
      </c>
      <c r="P334" s="154" t="e">
        <f t="shared" si="39"/>
        <v>#VALUE!</v>
      </c>
      <c r="Q334">
        <v>2.2200000000000002</v>
      </c>
      <c r="R334" s="154" t="e">
        <f t="shared" si="40"/>
        <v>#VALUE!</v>
      </c>
      <c r="S334">
        <v>2.2200000000000002</v>
      </c>
      <c r="T334" s="154" t="e">
        <f t="shared" si="41"/>
        <v>#VALUE!</v>
      </c>
      <c r="U334">
        <v>2.2200000000000002</v>
      </c>
      <c r="V334" s="154" t="e">
        <f t="shared" si="42"/>
        <v>#VALUE!</v>
      </c>
      <c r="W334">
        <v>2.2200000000000002</v>
      </c>
      <c r="X334" s="157" t="e">
        <f t="shared" si="43"/>
        <v>#VALUE!</v>
      </c>
      <c r="Y334">
        <v>2.2200000000000002</v>
      </c>
      <c r="Z334" s="154" t="e">
        <f t="shared" si="44"/>
        <v>#VALUE!</v>
      </c>
      <c r="AA334">
        <v>2.2200000000000002</v>
      </c>
      <c r="AB334" s="154" t="e">
        <f t="shared" si="45"/>
        <v>#VALUE!</v>
      </c>
      <c r="AC334">
        <v>2.2200000000000002</v>
      </c>
      <c r="AD334" s="154" t="e">
        <f t="shared" si="46"/>
        <v>#VALUE!</v>
      </c>
      <c r="AE334">
        <v>2.2200000000000002</v>
      </c>
    </row>
    <row r="335" spans="12:31" ht="15" x14ac:dyDescent="0.2">
      <c r="L335" s="154" t="e">
        <f t="shared" si="37"/>
        <v>#VALUE!</v>
      </c>
      <c r="M335">
        <v>2.23</v>
      </c>
      <c r="N335" s="154" t="e">
        <f t="shared" si="38"/>
        <v>#VALUE!</v>
      </c>
      <c r="O335">
        <v>2.23</v>
      </c>
      <c r="P335" s="154" t="e">
        <f t="shared" si="39"/>
        <v>#VALUE!</v>
      </c>
      <c r="Q335">
        <v>2.23</v>
      </c>
      <c r="R335" s="154" t="e">
        <f t="shared" si="40"/>
        <v>#VALUE!</v>
      </c>
      <c r="S335">
        <v>2.23</v>
      </c>
      <c r="T335" s="154" t="e">
        <f t="shared" si="41"/>
        <v>#VALUE!</v>
      </c>
      <c r="U335">
        <v>2.23</v>
      </c>
      <c r="V335" s="154" t="e">
        <f t="shared" si="42"/>
        <v>#VALUE!</v>
      </c>
      <c r="W335">
        <v>2.23</v>
      </c>
      <c r="X335" s="157" t="e">
        <f t="shared" si="43"/>
        <v>#VALUE!</v>
      </c>
      <c r="Y335">
        <v>2.23</v>
      </c>
      <c r="Z335" s="154" t="e">
        <f t="shared" si="44"/>
        <v>#VALUE!</v>
      </c>
      <c r="AA335">
        <v>2.23</v>
      </c>
      <c r="AB335" s="154" t="e">
        <f t="shared" si="45"/>
        <v>#VALUE!</v>
      </c>
      <c r="AC335">
        <v>2.23</v>
      </c>
      <c r="AD335" s="154" t="e">
        <f t="shared" si="46"/>
        <v>#VALUE!</v>
      </c>
      <c r="AE335">
        <v>2.23</v>
      </c>
    </row>
    <row r="336" spans="12:31" ht="15" x14ac:dyDescent="0.2">
      <c r="L336" s="154" t="e">
        <f t="shared" si="37"/>
        <v>#VALUE!</v>
      </c>
      <c r="M336">
        <v>2.2400000000000002</v>
      </c>
      <c r="N336" s="154" t="e">
        <f t="shared" si="38"/>
        <v>#VALUE!</v>
      </c>
      <c r="O336">
        <v>2.2400000000000002</v>
      </c>
      <c r="P336" s="154" t="e">
        <f t="shared" si="39"/>
        <v>#VALUE!</v>
      </c>
      <c r="Q336">
        <v>2.2400000000000002</v>
      </c>
      <c r="R336" s="154" t="e">
        <f t="shared" si="40"/>
        <v>#VALUE!</v>
      </c>
      <c r="S336">
        <v>2.2400000000000002</v>
      </c>
      <c r="T336" s="154" t="e">
        <f t="shared" si="41"/>
        <v>#VALUE!</v>
      </c>
      <c r="U336">
        <v>2.2400000000000002</v>
      </c>
      <c r="V336" s="154" t="e">
        <f t="shared" si="42"/>
        <v>#VALUE!</v>
      </c>
      <c r="W336">
        <v>2.2400000000000002</v>
      </c>
      <c r="X336" s="157" t="e">
        <f t="shared" si="43"/>
        <v>#VALUE!</v>
      </c>
      <c r="Y336">
        <v>2.2400000000000002</v>
      </c>
      <c r="Z336" s="154" t="e">
        <f t="shared" si="44"/>
        <v>#VALUE!</v>
      </c>
      <c r="AA336">
        <v>2.2400000000000002</v>
      </c>
      <c r="AB336" s="154" t="e">
        <f t="shared" si="45"/>
        <v>#VALUE!</v>
      </c>
      <c r="AC336">
        <v>2.2400000000000002</v>
      </c>
      <c r="AD336" s="154" t="e">
        <f t="shared" si="46"/>
        <v>#VALUE!</v>
      </c>
      <c r="AE336">
        <v>2.2400000000000002</v>
      </c>
    </row>
    <row r="337" spans="12:31" ht="15" x14ac:dyDescent="0.2">
      <c r="L337" s="154" t="e">
        <f t="shared" si="37"/>
        <v>#VALUE!</v>
      </c>
      <c r="M337">
        <v>2.25</v>
      </c>
      <c r="N337" s="154" t="e">
        <f t="shared" si="38"/>
        <v>#VALUE!</v>
      </c>
      <c r="O337">
        <v>2.25</v>
      </c>
      <c r="P337" s="154" t="e">
        <f t="shared" si="39"/>
        <v>#VALUE!</v>
      </c>
      <c r="Q337">
        <v>2.25</v>
      </c>
      <c r="R337" s="154" t="e">
        <f t="shared" si="40"/>
        <v>#VALUE!</v>
      </c>
      <c r="S337">
        <v>2.25</v>
      </c>
      <c r="T337" s="154" t="e">
        <f t="shared" si="41"/>
        <v>#VALUE!</v>
      </c>
      <c r="U337">
        <v>2.25</v>
      </c>
      <c r="V337" s="154" t="e">
        <f t="shared" si="42"/>
        <v>#VALUE!</v>
      </c>
      <c r="W337">
        <v>2.25</v>
      </c>
      <c r="X337" s="157" t="e">
        <f t="shared" si="43"/>
        <v>#VALUE!</v>
      </c>
      <c r="Y337">
        <v>2.25</v>
      </c>
      <c r="Z337" s="154" t="e">
        <f t="shared" si="44"/>
        <v>#VALUE!</v>
      </c>
      <c r="AA337">
        <v>2.25</v>
      </c>
      <c r="AB337" s="154" t="e">
        <f t="shared" si="45"/>
        <v>#VALUE!</v>
      </c>
      <c r="AC337">
        <v>2.25</v>
      </c>
      <c r="AD337" s="154" t="e">
        <f t="shared" si="46"/>
        <v>#VALUE!</v>
      </c>
      <c r="AE337">
        <v>2.25</v>
      </c>
    </row>
    <row r="338" spans="12:31" ht="15" x14ac:dyDescent="0.2">
      <c r="L338" s="154" t="e">
        <f t="shared" si="37"/>
        <v>#VALUE!</v>
      </c>
      <c r="M338">
        <v>2.2599999999999998</v>
      </c>
      <c r="N338" s="154" t="e">
        <f t="shared" si="38"/>
        <v>#VALUE!</v>
      </c>
      <c r="O338">
        <v>2.2599999999999998</v>
      </c>
      <c r="P338" s="154" t="e">
        <f t="shared" si="39"/>
        <v>#VALUE!</v>
      </c>
      <c r="Q338">
        <v>2.2599999999999998</v>
      </c>
      <c r="R338" s="154" t="e">
        <f t="shared" si="40"/>
        <v>#VALUE!</v>
      </c>
      <c r="S338">
        <v>2.2599999999999998</v>
      </c>
      <c r="T338" s="154" t="e">
        <f t="shared" si="41"/>
        <v>#VALUE!</v>
      </c>
      <c r="U338">
        <v>2.2599999999999998</v>
      </c>
      <c r="V338" s="154" t="e">
        <f t="shared" si="42"/>
        <v>#VALUE!</v>
      </c>
      <c r="W338">
        <v>2.2599999999999998</v>
      </c>
      <c r="X338" s="157" t="e">
        <f t="shared" si="43"/>
        <v>#VALUE!</v>
      </c>
      <c r="Y338">
        <v>2.2599999999999998</v>
      </c>
      <c r="Z338" s="154" t="e">
        <f t="shared" si="44"/>
        <v>#VALUE!</v>
      </c>
      <c r="AA338">
        <v>2.2599999999999998</v>
      </c>
      <c r="AB338" s="154" t="e">
        <f t="shared" si="45"/>
        <v>#VALUE!</v>
      </c>
      <c r="AC338">
        <v>2.2599999999999998</v>
      </c>
      <c r="AD338" s="154" t="e">
        <f t="shared" si="46"/>
        <v>#VALUE!</v>
      </c>
      <c r="AE338">
        <v>2.2599999999999998</v>
      </c>
    </row>
    <row r="339" spans="12:31" ht="15" x14ac:dyDescent="0.2">
      <c r="L339" s="154" t="e">
        <f t="shared" si="37"/>
        <v>#VALUE!</v>
      </c>
      <c r="M339">
        <v>2.27</v>
      </c>
      <c r="N339" s="154" t="e">
        <f t="shared" si="38"/>
        <v>#VALUE!</v>
      </c>
      <c r="O339">
        <v>2.27</v>
      </c>
      <c r="P339" s="154" t="e">
        <f t="shared" si="39"/>
        <v>#VALUE!</v>
      </c>
      <c r="Q339">
        <v>2.27</v>
      </c>
      <c r="R339" s="154" t="e">
        <f t="shared" si="40"/>
        <v>#VALUE!</v>
      </c>
      <c r="S339">
        <v>2.27</v>
      </c>
      <c r="T339" s="154" t="e">
        <f t="shared" si="41"/>
        <v>#VALUE!</v>
      </c>
      <c r="U339">
        <v>2.27</v>
      </c>
      <c r="V339" s="154" t="e">
        <f t="shared" si="42"/>
        <v>#VALUE!</v>
      </c>
      <c r="W339">
        <v>2.27</v>
      </c>
      <c r="X339" s="157" t="e">
        <f t="shared" si="43"/>
        <v>#VALUE!</v>
      </c>
      <c r="Y339">
        <v>2.27</v>
      </c>
      <c r="Z339" s="154" t="e">
        <f t="shared" si="44"/>
        <v>#VALUE!</v>
      </c>
      <c r="AA339">
        <v>2.27</v>
      </c>
      <c r="AB339" s="154" t="e">
        <f t="shared" si="45"/>
        <v>#VALUE!</v>
      </c>
      <c r="AC339">
        <v>2.27</v>
      </c>
      <c r="AD339" s="154" t="e">
        <f t="shared" si="46"/>
        <v>#VALUE!</v>
      </c>
      <c r="AE339">
        <v>2.27</v>
      </c>
    </row>
    <row r="340" spans="12:31" ht="15" x14ac:dyDescent="0.2">
      <c r="L340" s="154" t="e">
        <f t="shared" si="37"/>
        <v>#VALUE!</v>
      </c>
      <c r="M340">
        <v>2.2799999999999998</v>
      </c>
      <c r="N340" s="154" t="e">
        <f t="shared" si="38"/>
        <v>#VALUE!</v>
      </c>
      <c r="O340">
        <v>2.2799999999999998</v>
      </c>
      <c r="P340" s="154" t="e">
        <f t="shared" si="39"/>
        <v>#VALUE!</v>
      </c>
      <c r="Q340">
        <v>2.2799999999999998</v>
      </c>
      <c r="R340" s="154" t="e">
        <f t="shared" si="40"/>
        <v>#VALUE!</v>
      </c>
      <c r="S340">
        <v>2.2799999999999998</v>
      </c>
      <c r="T340" s="154" t="e">
        <f t="shared" si="41"/>
        <v>#VALUE!</v>
      </c>
      <c r="U340">
        <v>2.2799999999999998</v>
      </c>
      <c r="V340" s="154" t="e">
        <f t="shared" si="42"/>
        <v>#VALUE!</v>
      </c>
      <c r="W340">
        <v>2.2799999999999998</v>
      </c>
      <c r="X340" s="157" t="e">
        <f t="shared" si="43"/>
        <v>#VALUE!</v>
      </c>
      <c r="Y340">
        <v>2.2799999999999998</v>
      </c>
      <c r="Z340" s="154" t="e">
        <f t="shared" si="44"/>
        <v>#VALUE!</v>
      </c>
      <c r="AA340">
        <v>2.2799999999999998</v>
      </c>
      <c r="AB340" s="154" t="e">
        <f t="shared" si="45"/>
        <v>#VALUE!</v>
      </c>
      <c r="AC340">
        <v>2.2799999999999998</v>
      </c>
      <c r="AD340" s="154" t="e">
        <f t="shared" si="46"/>
        <v>#VALUE!</v>
      </c>
      <c r="AE340">
        <v>2.2799999999999998</v>
      </c>
    </row>
    <row r="341" spans="12:31" ht="15" x14ac:dyDescent="0.2">
      <c r="L341" s="154" t="e">
        <f t="shared" si="37"/>
        <v>#VALUE!</v>
      </c>
      <c r="M341">
        <v>2.29</v>
      </c>
      <c r="N341" s="154" t="e">
        <f t="shared" si="38"/>
        <v>#VALUE!</v>
      </c>
      <c r="O341">
        <v>2.29</v>
      </c>
      <c r="P341" s="154" t="e">
        <f t="shared" si="39"/>
        <v>#VALUE!</v>
      </c>
      <c r="Q341">
        <v>2.29</v>
      </c>
      <c r="R341" s="154" t="e">
        <f t="shared" si="40"/>
        <v>#VALUE!</v>
      </c>
      <c r="S341">
        <v>2.29</v>
      </c>
      <c r="T341" s="154" t="e">
        <f t="shared" si="41"/>
        <v>#VALUE!</v>
      </c>
      <c r="U341">
        <v>2.29</v>
      </c>
      <c r="V341" s="154" t="e">
        <f t="shared" si="42"/>
        <v>#VALUE!</v>
      </c>
      <c r="W341">
        <v>2.29</v>
      </c>
      <c r="X341" s="157" t="e">
        <f t="shared" si="43"/>
        <v>#VALUE!</v>
      </c>
      <c r="Y341">
        <v>2.29</v>
      </c>
      <c r="Z341" s="154" t="e">
        <f t="shared" si="44"/>
        <v>#VALUE!</v>
      </c>
      <c r="AA341">
        <v>2.29</v>
      </c>
      <c r="AB341" s="154" t="e">
        <f t="shared" si="45"/>
        <v>#VALUE!</v>
      </c>
      <c r="AC341">
        <v>2.29</v>
      </c>
      <c r="AD341" s="154" t="e">
        <f t="shared" si="46"/>
        <v>#VALUE!</v>
      </c>
      <c r="AE341">
        <v>2.29</v>
      </c>
    </row>
    <row r="342" spans="12:31" ht="15" x14ac:dyDescent="0.2">
      <c r="L342" s="154" t="e">
        <f t="shared" si="37"/>
        <v>#VALUE!</v>
      </c>
      <c r="M342">
        <v>2.2999999999999998</v>
      </c>
      <c r="N342" s="154" t="e">
        <f t="shared" si="38"/>
        <v>#VALUE!</v>
      </c>
      <c r="O342">
        <v>2.2999999999999998</v>
      </c>
      <c r="P342" s="154" t="e">
        <f t="shared" si="39"/>
        <v>#VALUE!</v>
      </c>
      <c r="Q342">
        <v>2.2999999999999998</v>
      </c>
      <c r="R342" s="154" t="e">
        <f t="shared" si="40"/>
        <v>#VALUE!</v>
      </c>
      <c r="S342">
        <v>2.2999999999999998</v>
      </c>
      <c r="T342" s="154" t="e">
        <f t="shared" si="41"/>
        <v>#VALUE!</v>
      </c>
      <c r="U342">
        <v>2.2999999999999998</v>
      </c>
      <c r="V342" s="154" t="e">
        <f t="shared" si="42"/>
        <v>#VALUE!</v>
      </c>
      <c r="W342">
        <v>2.2999999999999998</v>
      </c>
      <c r="X342" s="157" t="e">
        <f t="shared" si="43"/>
        <v>#VALUE!</v>
      </c>
      <c r="Y342">
        <v>2.2999999999999998</v>
      </c>
      <c r="Z342" s="154" t="e">
        <f t="shared" si="44"/>
        <v>#VALUE!</v>
      </c>
      <c r="AA342">
        <v>2.2999999999999998</v>
      </c>
      <c r="AB342" s="154" t="e">
        <f t="shared" si="45"/>
        <v>#VALUE!</v>
      </c>
      <c r="AC342">
        <v>2.2999999999999998</v>
      </c>
      <c r="AD342" s="154" t="e">
        <f t="shared" si="46"/>
        <v>#VALUE!</v>
      </c>
      <c r="AE342">
        <v>2.2999999999999998</v>
      </c>
    </row>
    <row r="343" spans="12:31" ht="15" x14ac:dyDescent="0.2">
      <c r="L343" s="154" t="e">
        <f t="shared" si="37"/>
        <v>#VALUE!</v>
      </c>
      <c r="M343">
        <v>2.31</v>
      </c>
      <c r="N343" s="154" t="e">
        <f t="shared" si="38"/>
        <v>#VALUE!</v>
      </c>
      <c r="O343">
        <v>2.31</v>
      </c>
      <c r="P343" s="154" t="e">
        <f t="shared" si="39"/>
        <v>#VALUE!</v>
      </c>
      <c r="Q343">
        <v>2.31</v>
      </c>
      <c r="R343" s="154" t="e">
        <f t="shared" si="40"/>
        <v>#VALUE!</v>
      </c>
      <c r="S343">
        <v>2.31</v>
      </c>
      <c r="T343" s="154" t="e">
        <f t="shared" si="41"/>
        <v>#VALUE!</v>
      </c>
      <c r="U343">
        <v>2.31</v>
      </c>
      <c r="V343" s="154" t="e">
        <f t="shared" si="42"/>
        <v>#VALUE!</v>
      </c>
      <c r="W343">
        <v>2.31</v>
      </c>
      <c r="X343" s="157" t="e">
        <f t="shared" si="43"/>
        <v>#VALUE!</v>
      </c>
      <c r="Y343">
        <v>2.31</v>
      </c>
      <c r="Z343" s="154" t="e">
        <f t="shared" si="44"/>
        <v>#VALUE!</v>
      </c>
      <c r="AA343">
        <v>2.31</v>
      </c>
      <c r="AB343" s="154" t="e">
        <f t="shared" si="45"/>
        <v>#VALUE!</v>
      </c>
      <c r="AC343">
        <v>2.31</v>
      </c>
      <c r="AD343" s="154" t="e">
        <f t="shared" si="46"/>
        <v>#VALUE!</v>
      </c>
      <c r="AE343">
        <v>2.31</v>
      </c>
    </row>
    <row r="344" spans="12:31" ht="15" x14ac:dyDescent="0.2">
      <c r="L344" s="154" t="e">
        <f t="shared" si="37"/>
        <v>#VALUE!</v>
      </c>
      <c r="M344">
        <v>2.3199999999999998</v>
      </c>
      <c r="N344" s="154" t="e">
        <f t="shared" si="38"/>
        <v>#VALUE!</v>
      </c>
      <c r="O344">
        <v>2.3199999999999998</v>
      </c>
      <c r="P344" s="154" t="e">
        <f t="shared" si="39"/>
        <v>#VALUE!</v>
      </c>
      <c r="Q344">
        <v>2.3199999999999998</v>
      </c>
      <c r="R344" s="154" t="e">
        <f t="shared" si="40"/>
        <v>#VALUE!</v>
      </c>
      <c r="S344">
        <v>2.3199999999999998</v>
      </c>
      <c r="T344" s="154" t="e">
        <f t="shared" si="41"/>
        <v>#VALUE!</v>
      </c>
      <c r="U344">
        <v>2.3199999999999998</v>
      </c>
      <c r="V344" s="154" t="e">
        <f t="shared" si="42"/>
        <v>#VALUE!</v>
      </c>
      <c r="W344">
        <v>2.3199999999999998</v>
      </c>
      <c r="X344" s="157" t="e">
        <f t="shared" si="43"/>
        <v>#VALUE!</v>
      </c>
      <c r="Y344">
        <v>2.3199999999999998</v>
      </c>
      <c r="Z344" s="154" t="e">
        <f t="shared" si="44"/>
        <v>#VALUE!</v>
      </c>
      <c r="AA344">
        <v>2.3199999999999998</v>
      </c>
      <c r="AB344" s="154" t="e">
        <f t="shared" si="45"/>
        <v>#VALUE!</v>
      </c>
      <c r="AC344">
        <v>2.3199999999999998</v>
      </c>
      <c r="AD344" s="154" t="e">
        <f t="shared" si="46"/>
        <v>#VALUE!</v>
      </c>
      <c r="AE344">
        <v>2.3199999999999998</v>
      </c>
    </row>
    <row r="345" spans="12:31" ht="15" x14ac:dyDescent="0.2">
      <c r="L345" s="154" t="e">
        <f t="shared" si="37"/>
        <v>#VALUE!</v>
      </c>
      <c r="M345">
        <v>2.33</v>
      </c>
      <c r="N345" s="154" t="e">
        <f t="shared" si="38"/>
        <v>#VALUE!</v>
      </c>
      <c r="O345">
        <v>2.33</v>
      </c>
      <c r="P345" s="154" t="e">
        <f t="shared" si="39"/>
        <v>#VALUE!</v>
      </c>
      <c r="Q345">
        <v>2.33</v>
      </c>
      <c r="R345" s="154" t="e">
        <f t="shared" si="40"/>
        <v>#VALUE!</v>
      </c>
      <c r="S345">
        <v>2.33</v>
      </c>
      <c r="T345" s="154" t="e">
        <f t="shared" si="41"/>
        <v>#VALUE!</v>
      </c>
      <c r="U345">
        <v>2.33</v>
      </c>
      <c r="V345" s="154" t="e">
        <f t="shared" si="42"/>
        <v>#VALUE!</v>
      </c>
      <c r="W345">
        <v>2.33</v>
      </c>
      <c r="X345" s="157" t="e">
        <f t="shared" si="43"/>
        <v>#VALUE!</v>
      </c>
      <c r="Y345">
        <v>2.33</v>
      </c>
      <c r="Z345" s="154" t="e">
        <f t="shared" si="44"/>
        <v>#VALUE!</v>
      </c>
      <c r="AA345">
        <v>2.33</v>
      </c>
      <c r="AB345" s="154" t="e">
        <f t="shared" si="45"/>
        <v>#VALUE!</v>
      </c>
      <c r="AC345">
        <v>2.33</v>
      </c>
      <c r="AD345" s="154" t="e">
        <f t="shared" si="46"/>
        <v>#VALUE!</v>
      </c>
      <c r="AE345">
        <v>2.33</v>
      </c>
    </row>
    <row r="346" spans="12:31" ht="15" x14ac:dyDescent="0.2">
      <c r="L346" s="154" t="e">
        <f t="shared" si="37"/>
        <v>#VALUE!</v>
      </c>
      <c r="M346">
        <v>2.34</v>
      </c>
      <c r="N346" s="154" t="e">
        <f t="shared" si="38"/>
        <v>#VALUE!</v>
      </c>
      <c r="O346">
        <v>2.34</v>
      </c>
      <c r="P346" s="154" t="e">
        <f t="shared" si="39"/>
        <v>#VALUE!</v>
      </c>
      <c r="Q346">
        <v>2.34</v>
      </c>
      <c r="R346" s="154" t="e">
        <f t="shared" si="40"/>
        <v>#VALUE!</v>
      </c>
      <c r="S346">
        <v>2.34</v>
      </c>
      <c r="T346" s="154" t="e">
        <f t="shared" si="41"/>
        <v>#VALUE!</v>
      </c>
      <c r="U346">
        <v>2.34</v>
      </c>
      <c r="V346" s="154" t="e">
        <f t="shared" si="42"/>
        <v>#VALUE!</v>
      </c>
      <c r="W346">
        <v>2.34</v>
      </c>
      <c r="X346" s="157" t="e">
        <f t="shared" si="43"/>
        <v>#VALUE!</v>
      </c>
      <c r="Y346">
        <v>2.34</v>
      </c>
      <c r="Z346" s="154" t="e">
        <f t="shared" si="44"/>
        <v>#VALUE!</v>
      </c>
      <c r="AA346">
        <v>2.34</v>
      </c>
      <c r="AB346" s="154" t="e">
        <f t="shared" si="45"/>
        <v>#VALUE!</v>
      </c>
      <c r="AC346">
        <v>2.34</v>
      </c>
      <c r="AD346" s="154" t="e">
        <f t="shared" si="46"/>
        <v>#VALUE!</v>
      </c>
      <c r="AE346">
        <v>2.34</v>
      </c>
    </row>
    <row r="347" spans="12:31" ht="15" x14ac:dyDescent="0.2">
      <c r="L347" s="154" t="e">
        <f t="shared" si="37"/>
        <v>#VALUE!</v>
      </c>
      <c r="M347">
        <v>2.35</v>
      </c>
      <c r="N347" s="154" t="e">
        <f t="shared" si="38"/>
        <v>#VALUE!</v>
      </c>
      <c r="O347">
        <v>2.35</v>
      </c>
      <c r="P347" s="154" t="e">
        <f t="shared" si="39"/>
        <v>#VALUE!</v>
      </c>
      <c r="Q347">
        <v>2.35</v>
      </c>
      <c r="R347" s="154" t="e">
        <f t="shared" si="40"/>
        <v>#VALUE!</v>
      </c>
      <c r="S347">
        <v>2.35</v>
      </c>
      <c r="T347" s="154" t="e">
        <f t="shared" si="41"/>
        <v>#VALUE!</v>
      </c>
      <c r="U347">
        <v>2.35</v>
      </c>
      <c r="V347" s="154" t="e">
        <f t="shared" si="42"/>
        <v>#VALUE!</v>
      </c>
      <c r="W347">
        <v>2.35</v>
      </c>
      <c r="X347" s="157" t="e">
        <f t="shared" si="43"/>
        <v>#VALUE!</v>
      </c>
      <c r="Y347">
        <v>2.35</v>
      </c>
      <c r="Z347" s="154" t="e">
        <f t="shared" si="44"/>
        <v>#VALUE!</v>
      </c>
      <c r="AA347">
        <v>2.35</v>
      </c>
      <c r="AB347" s="154" t="e">
        <f t="shared" si="45"/>
        <v>#VALUE!</v>
      </c>
      <c r="AC347">
        <v>2.35</v>
      </c>
      <c r="AD347" s="154" t="e">
        <f t="shared" si="46"/>
        <v>#VALUE!</v>
      </c>
      <c r="AE347">
        <v>2.35</v>
      </c>
    </row>
    <row r="348" spans="12:31" ht="15" x14ac:dyDescent="0.2">
      <c r="L348" s="154" t="e">
        <f t="shared" si="37"/>
        <v>#VALUE!</v>
      </c>
      <c r="M348">
        <v>2.36</v>
      </c>
      <c r="N348" s="154" t="e">
        <f t="shared" si="38"/>
        <v>#VALUE!</v>
      </c>
      <c r="O348">
        <v>2.36</v>
      </c>
      <c r="P348" s="154" t="e">
        <f t="shared" si="39"/>
        <v>#VALUE!</v>
      </c>
      <c r="Q348">
        <v>2.36</v>
      </c>
      <c r="R348" s="154" t="e">
        <f t="shared" si="40"/>
        <v>#VALUE!</v>
      </c>
      <c r="S348">
        <v>2.36</v>
      </c>
      <c r="T348" s="154" t="e">
        <f t="shared" si="41"/>
        <v>#VALUE!</v>
      </c>
      <c r="U348">
        <v>2.36</v>
      </c>
      <c r="V348" s="154" t="e">
        <f t="shared" si="42"/>
        <v>#VALUE!</v>
      </c>
      <c r="W348">
        <v>2.36</v>
      </c>
      <c r="X348" s="157" t="e">
        <f t="shared" si="43"/>
        <v>#VALUE!</v>
      </c>
      <c r="Y348">
        <v>2.36</v>
      </c>
      <c r="Z348" s="154" t="e">
        <f t="shared" si="44"/>
        <v>#VALUE!</v>
      </c>
      <c r="AA348">
        <v>2.36</v>
      </c>
      <c r="AB348" s="154" t="e">
        <f t="shared" si="45"/>
        <v>#VALUE!</v>
      </c>
      <c r="AC348">
        <v>2.36</v>
      </c>
      <c r="AD348" s="154" t="e">
        <f t="shared" si="46"/>
        <v>#VALUE!</v>
      </c>
      <c r="AE348">
        <v>2.36</v>
      </c>
    </row>
    <row r="349" spans="12:31" ht="15" x14ac:dyDescent="0.2">
      <c r="L349" s="154" t="e">
        <f t="shared" si="37"/>
        <v>#VALUE!</v>
      </c>
      <c r="M349">
        <v>2.37</v>
      </c>
      <c r="N349" s="154" t="e">
        <f t="shared" si="38"/>
        <v>#VALUE!</v>
      </c>
      <c r="O349">
        <v>2.37</v>
      </c>
      <c r="P349" s="154" t="e">
        <f t="shared" si="39"/>
        <v>#VALUE!</v>
      </c>
      <c r="Q349">
        <v>2.37</v>
      </c>
      <c r="R349" s="154" t="e">
        <f t="shared" si="40"/>
        <v>#VALUE!</v>
      </c>
      <c r="S349">
        <v>2.37</v>
      </c>
      <c r="T349" s="154" t="e">
        <f t="shared" si="41"/>
        <v>#VALUE!</v>
      </c>
      <c r="U349">
        <v>2.37</v>
      </c>
      <c r="V349" s="154" t="e">
        <f t="shared" si="42"/>
        <v>#VALUE!</v>
      </c>
      <c r="W349">
        <v>2.37</v>
      </c>
      <c r="X349" s="157" t="e">
        <f t="shared" si="43"/>
        <v>#VALUE!</v>
      </c>
      <c r="Y349">
        <v>2.37</v>
      </c>
      <c r="Z349" s="154" t="e">
        <f t="shared" si="44"/>
        <v>#VALUE!</v>
      </c>
      <c r="AA349">
        <v>2.37</v>
      </c>
      <c r="AB349" s="154" t="e">
        <f t="shared" si="45"/>
        <v>#VALUE!</v>
      </c>
      <c r="AC349">
        <v>2.37</v>
      </c>
      <c r="AD349" s="154" t="e">
        <f t="shared" si="46"/>
        <v>#VALUE!</v>
      </c>
      <c r="AE349">
        <v>2.37</v>
      </c>
    </row>
    <row r="350" spans="12:31" ht="15" x14ac:dyDescent="0.2">
      <c r="L350" s="154" t="e">
        <f t="shared" si="37"/>
        <v>#VALUE!</v>
      </c>
      <c r="M350">
        <v>2.38</v>
      </c>
      <c r="N350" s="154" t="e">
        <f t="shared" si="38"/>
        <v>#VALUE!</v>
      </c>
      <c r="O350">
        <v>2.38</v>
      </c>
      <c r="P350" s="154" t="e">
        <f t="shared" si="39"/>
        <v>#VALUE!</v>
      </c>
      <c r="Q350">
        <v>2.38</v>
      </c>
      <c r="R350" s="154" t="e">
        <f t="shared" si="40"/>
        <v>#VALUE!</v>
      </c>
      <c r="S350">
        <v>2.38</v>
      </c>
      <c r="T350" s="154" t="e">
        <f t="shared" si="41"/>
        <v>#VALUE!</v>
      </c>
      <c r="U350">
        <v>2.38</v>
      </c>
      <c r="V350" s="154" t="e">
        <f t="shared" si="42"/>
        <v>#VALUE!</v>
      </c>
      <c r="W350">
        <v>2.38</v>
      </c>
      <c r="X350" s="157" t="e">
        <f t="shared" si="43"/>
        <v>#VALUE!</v>
      </c>
      <c r="Y350">
        <v>2.38</v>
      </c>
      <c r="Z350" s="154" t="e">
        <f t="shared" si="44"/>
        <v>#VALUE!</v>
      </c>
      <c r="AA350">
        <v>2.38</v>
      </c>
      <c r="AB350" s="154" t="e">
        <f t="shared" si="45"/>
        <v>#VALUE!</v>
      </c>
      <c r="AC350">
        <v>2.38</v>
      </c>
      <c r="AD350" s="154" t="e">
        <f t="shared" si="46"/>
        <v>#VALUE!</v>
      </c>
      <c r="AE350">
        <v>2.38</v>
      </c>
    </row>
    <row r="351" spans="12:31" ht="15" x14ac:dyDescent="0.2">
      <c r="L351" s="154" t="e">
        <f t="shared" si="37"/>
        <v>#VALUE!</v>
      </c>
      <c r="M351">
        <v>2.39</v>
      </c>
      <c r="N351" s="154" t="e">
        <f t="shared" si="38"/>
        <v>#VALUE!</v>
      </c>
      <c r="O351">
        <v>2.39</v>
      </c>
      <c r="P351" s="154" t="e">
        <f t="shared" si="39"/>
        <v>#VALUE!</v>
      </c>
      <c r="Q351">
        <v>2.39</v>
      </c>
      <c r="R351" s="154" t="e">
        <f t="shared" si="40"/>
        <v>#VALUE!</v>
      </c>
      <c r="S351">
        <v>2.39</v>
      </c>
      <c r="T351" s="154" t="e">
        <f t="shared" si="41"/>
        <v>#VALUE!</v>
      </c>
      <c r="U351">
        <v>2.39</v>
      </c>
      <c r="V351" s="154" t="e">
        <f t="shared" si="42"/>
        <v>#VALUE!</v>
      </c>
      <c r="W351">
        <v>2.39</v>
      </c>
      <c r="X351" s="157" t="e">
        <f t="shared" si="43"/>
        <v>#VALUE!</v>
      </c>
      <c r="Y351">
        <v>2.39</v>
      </c>
      <c r="Z351" s="154" t="e">
        <f t="shared" si="44"/>
        <v>#VALUE!</v>
      </c>
      <c r="AA351">
        <v>2.39</v>
      </c>
      <c r="AB351" s="154" t="e">
        <f t="shared" si="45"/>
        <v>#VALUE!</v>
      </c>
      <c r="AC351">
        <v>2.39</v>
      </c>
      <c r="AD351" s="154" t="e">
        <f t="shared" si="46"/>
        <v>#VALUE!</v>
      </c>
      <c r="AE351">
        <v>2.39</v>
      </c>
    </row>
    <row r="352" spans="12:31" ht="15" x14ac:dyDescent="0.2">
      <c r="L352" s="154" t="e">
        <f t="shared" si="37"/>
        <v>#VALUE!</v>
      </c>
      <c r="M352">
        <v>2.4</v>
      </c>
      <c r="N352" s="154" t="e">
        <f t="shared" si="38"/>
        <v>#VALUE!</v>
      </c>
      <c r="O352">
        <v>2.4</v>
      </c>
      <c r="P352" s="154" t="e">
        <f t="shared" si="39"/>
        <v>#VALUE!</v>
      </c>
      <c r="Q352">
        <v>2.4</v>
      </c>
      <c r="R352" s="154" t="e">
        <f t="shared" si="40"/>
        <v>#VALUE!</v>
      </c>
      <c r="S352">
        <v>2.4</v>
      </c>
      <c r="T352" s="154" t="e">
        <f t="shared" si="41"/>
        <v>#VALUE!</v>
      </c>
      <c r="U352">
        <v>2.4</v>
      </c>
      <c r="V352" s="154" t="e">
        <f t="shared" si="42"/>
        <v>#VALUE!</v>
      </c>
      <c r="W352">
        <v>2.4</v>
      </c>
      <c r="X352" s="157" t="e">
        <f t="shared" si="43"/>
        <v>#VALUE!</v>
      </c>
      <c r="Y352">
        <v>2.4</v>
      </c>
      <c r="Z352" s="154" t="e">
        <f t="shared" si="44"/>
        <v>#VALUE!</v>
      </c>
      <c r="AA352">
        <v>2.4</v>
      </c>
      <c r="AB352" s="154" t="e">
        <f t="shared" si="45"/>
        <v>#VALUE!</v>
      </c>
      <c r="AC352">
        <v>2.4</v>
      </c>
      <c r="AD352" s="154" t="e">
        <f t="shared" si="46"/>
        <v>#VALUE!</v>
      </c>
      <c r="AE352">
        <v>2.4</v>
      </c>
    </row>
    <row r="353" spans="12:31" ht="15" x14ac:dyDescent="0.2">
      <c r="L353" s="154" t="e">
        <f t="shared" si="37"/>
        <v>#VALUE!</v>
      </c>
      <c r="M353">
        <v>2.41</v>
      </c>
      <c r="N353" s="154" t="e">
        <f t="shared" si="38"/>
        <v>#VALUE!</v>
      </c>
      <c r="O353">
        <v>2.41</v>
      </c>
      <c r="P353" s="154" t="e">
        <f t="shared" si="39"/>
        <v>#VALUE!</v>
      </c>
      <c r="Q353">
        <v>2.41</v>
      </c>
      <c r="R353" s="154" t="e">
        <f t="shared" si="40"/>
        <v>#VALUE!</v>
      </c>
      <c r="S353">
        <v>2.41</v>
      </c>
      <c r="T353" s="154" t="e">
        <f t="shared" si="41"/>
        <v>#VALUE!</v>
      </c>
      <c r="U353">
        <v>2.41</v>
      </c>
      <c r="V353" s="154" t="e">
        <f t="shared" si="42"/>
        <v>#VALUE!</v>
      </c>
      <c r="W353">
        <v>2.41</v>
      </c>
      <c r="X353" s="157" t="e">
        <f t="shared" si="43"/>
        <v>#VALUE!</v>
      </c>
      <c r="Y353">
        <v>2.41</v>
      </c>
      <c r="Z353" s="154" t="e">
        <f t="shared" si="44"/>
        <v>#VALUE!</v>
      </c>
      <c r="AA353">
        <v>2.41</v>
      </c>
      <c r="AB353" s="154" t="e">
        <f t="shared" si="45"/>
        <v>#VALUE!</v>
      </c>
      <c r="AC353">
        <v>2.41</v>
      </c>
      <c r="AD353" s="154" t="e">
        <f t="shared" si="46"/>
        <v>#VALUE!</v>
      </c>
      <c r="AE353">
        <v>2.41</v>
      </c>
    </row>
    <row r="354" spans="12:31" ht="15" x14ac:dyDescent="0.2">
      <c r="L354" s="154" t="e">
        <f t="shared" si="37"/>
        <v>#VALUE!</v>
      </c>
      <c r="M354">
        <v>2.42</v>
      </c>
      <c r="N354" s="154" t="e">
        <f t="shared" si="38"/>
        <v>#VALUE!</v>
      </c>
      <c r="O354">
        <v>2.42</v>
      </c>
      <c r="P354" s="154" t="e">
        <f t="shared" si="39"/>
        <v>#VALUE!</v>
      </c>
      <c r="Q354">
        <v>2.42</v>
      </c>
      <c r="R354" s="154" t="e">
        <f t="shared" si="40"/>
        <v>#VALUE!</v>
      </c>
      <c r="S354">
        <v>2.42</v>
      </c>
      <c r="T354" s="154" t="e">
        <f t="shared" si="41"/>
        <v>#VALUE!</v>
      </c>
      <c r="U354">
        <v>2.42</v>
      </c>
      <c r="V354" s="154" t="e">
        <f t="shared" si="42"/>
        <v>#VALUE!</v>
      </c>
      <c r="W354">
        <v>2.42</v>
      </c>
      <c r="X354" s="157" t="e">
        <f t="shared" si="43"/>
        <v>#VALUE!</v>
      </c>
      <c r="Y354">
        <v>2.42</v>
      </c>
      <c r="Z354" s="154" t="e">
        <f t="shared" si="44"/>
        <v>#VALUE!</v>
      </c>
      <c r="AA354">
        <v>2.42</v>
      </c>
      <c r="AB354" s="154" t="e">
        <f t="shared" si="45"/>
        <v>#VALUE!</v>
      </c>
      <c r="AC354">
        <v>2.42</v>
      </c>
      <c r="AD354" s="154" t="e">
        <f t="shared" si="46"/>
        <v>#VALUE!</v>
      </c>
      <c r="AE354">
        <v>2.42</v>
      </c>
    </row>
    <row r="355" spans="12:31" ht="15" x14ac:dyDescent="0.2">
      <c r="L355" s="154" t="e">
        <f t="shared" si="37"/>
        <v>#VALUE!</v>
      </c>
      <c r="M355">
        <v>2.4300000000000002</v>
      </c>
      <c r="N355" s="154" t="e">
        <f t="shared" si="38"/>
        <v>#VALUE!</v>
      </c>
      <c r="O355">
        <v>2.4300000000000002</v>
      </c>
      <c r="P355" s="154" t="e">
        <f t="shared" si="39"/>
        <v>#VALUE!</v>
      </c>
      <c r="Q355">
        <v>2.4300000000000002</v>
      </c>
      <c r="R355" s="154" t="e">
        <f t="shared" si="40"/>
        <v>#VALUE!</v>
      </c>
      <c r="S355">
        <v>2.4300000000000002</v>
      </c>
      <c r="T355" s="154" t="e">
        <f t="shared" si="41"/>
        <v>#VALUE!</v>
      </c>
      <c r="U355">
        <v>2.4300000000000002</v>
      </c>
      <c r="V355" s="154" t="e">
        <f t="shared" si="42"/>
        <v>#VALUE!</v>
      </c>
      <c r="W355">
        <v>2.4300000000000002</v>
      </c>
      <c r="X355" s="157" t="e">
        <f t="shared" si="43"/>
        <v>#VALUE!</v>
      </c>
      <c r="Y355">
        <v>2.4300000000000002</v>
      </c>
      <c r="Z355" s="154" t="e">
        <f t="shared" si="44"/>
        <v>#VALUE!</v>
      </c>
      <c r="AA355">
        <v>2.4300000000000002</v>
      </c>
      <c r="AB355" s="154" t="e">
        <f t="shared" si="45"/>
        <v>#VALUE!</v>
      </c>
      <c r="AC355">
        <v>2.4300000000000002</v>
      </c>
      <c r="AD355" s="154" t="e">
        <f t="shared" si="46"/>
        <v>#VALUE!</v>
      </c>
      <c r="AE355">
        <v>2.4300000000000002</v>
      </c>
    </row>
    <row r="356" spans="12:31" ht="15" x14ac:dyDescent="0.2">
      <c r="L356" s="154" t="e">
        <f t="shared" si="37"/>
        <v>#VALUE!</v>
      </c>
      <c r="M356">
        <v>2.44</v>
      </c>
      <c r="N356" s="154" t="e">
        <f t="shared" si="38"/>
        <v>#VALUE!</v>
      </c>
      <c r="O356">
        <v>2.44</v>
      </c>
      <c r="P356" s="154" t="e">
        <f t="shared" si="39"/>
        <v>#VALUE!</v>
      </c>
      <c r="Q356">
        <v>2.44</v>
      </c>
      <c r="R356" s="154" t="e">
        <f t="shared" si="40"/>
        <v>#VALUE!</v>
      </c>
      <c r="S356">
        <v>2.44</v>
      </c>
      <c r="T356" s="154" t="e">
        <f t="shared" si="41"/>
        <v>#VALUE!</v>
      </c>
      <c r="U356">
        <v>2.44</v>
      </c>
      <c r="V356" s="154" t="e">
        <f t="shared" si="42"/>
        <v>#VALUE!</v>
      </c>
      <c r="W356">
        <v>2.44</v>
      </c>
      <c r="X356" s="157" t="e">
        <f t="shared" si="43"/>
        <v>#VALUE!</v>
      </c>
      <c r="Y356">
        <v>2.44</v>
      </c>
      <c r="Z356" s="154" t="e">
        <f t="shared" si="44"/>
        <v>#VALUE!</v>
      </c>
      <c r="AA356">
        <v>2.44</v>
      </c>
      <c r="AB356" s="154" t="e">
        <f t="shared" si="45"/>
        <v>#VALUE!</v>
      </c>
      <c r="AC356">
        <v>2.44</v>
      </c>
      <c r="AD356" s="154" t="e">
        <f t="shared" si="46"/>
        <v>#VALUE!</v>
      </c>
      <c r="AE356">
        <v>2.44</v>
      </c>
    </row>
    <row r="357" spans="12:31" ht="15" x14ac:dyDescent="0.2">
      <c r="L357" s="154" t="e">
        <f t="shared" si="37"/>
        <v>#VALUE!</v>
      </c>
      <c r="M357">
        <v>2.4500000000000002</v>
      </c>
      <c r="N357" s="154" t="e">
        <f t="shared" si="38"/>
        <v>#VALUE!</v>
      </c>
      <c r="O357">
        <v>2.4500000000000002</v>
      </c>
      <c r="P357" s="154" t="e">
        <f t="shared" si="39"/>
        <v>#VALUE!</v>
      </c>
      <c r="Q357">
        <v>2.4500000000000002</v>
      </c>
      <c r="R357" s="154" t="e">
        <f t="shared" si="40"/>
        <v>#VALUE!</v>
      </c>
      <c r="S357">
        <v>2.4500000000000002</v>
      </c>
      <c r="T357" s="154" t="e">
        <f t="shared" si="41"/>
        <v>#VALUE!</v>
      </c>
      <c r="U357">
        <v>2.4500000000000002</v>
      </c>
      <c r="V357" s="154" t="e">
        <f t="shared" si="42"/>
        <v>#VALUE!</v>
      </c>
      <c r="W357">
        <v>2.4500000000000002</v>
      </c>
      <c r="X357" s="157" t="e">
        <f t="shared" si="43"/>
        <v>#VALUE!</v>
      </c>
      <c r="Y357">
        <v>2.4500000000000002</v>
      </c>
      <c r="Z357" s="154" t="e">
        <f t="shared" si="44"/>
        <v>#VALUE!</v>
      </c>
      <c r="AA357">
        <v>2.4500000000000002</v>
      </c>
      <c r="AB357" s="154" t="e">
        <f t="shared" si="45"/>
        <v>#VALUE!</v>
      </c>
      <c r="AC357">
        <v>2.4500000000000002</v>
      </c>
      <c r="AD357" s="154" t="e">
        <f t="shared" si="46"/>
        <v>#VALUE!</v>
      </c>
      <c r="AE357">
        <v>2.4500000000000002</v>
      </c>
    </row>
    <row r="358" spans="12:31" ht="15" x14ac:dyDescent="0.2">
      <c r="L358" s="154" t="e">
        <f t="shared" si="37"/>
        <v>#VALUE!</v>
      </c>
      <c r="M358">
        <v>2.46</v>
      </c>
      <c r="N358" s="154" t="e">
        <f t="shared" si="38"/>
        <v>#VALUE!</v>
      </c>
      <c r="O358">
        <v>2.46</v>
      </c>
      <c r="P358" s="154" t="e">
        <f t="shared" si="39"/>
        <v>#VALUE!</v>
      </c>
      <c r="Q358">
        <v>2.46</v>
      </c>
      <c r="R358" s="154" t="e">
        <f t="shared" si="40"/>
        <v>#VALUE!</v>
      </c>
      <c r="S358">
        <v>2.46</v>
      </c>
      <c r="T358" s="154" t="e">
        <f t="shared" si="41"/>
        <v>#VALUE!</v>
      </c>
      <c r="U358">
        <v>2.46</v>
      </c>
      <c r="V358" s="154" t="e">
        <f t="shared" si="42"/>
        <v>#VALUE!</v>
      </c>
      <c r="W358">
        <v>2.46</v>
      </c>
      <c r="X358" s="157" t="e">
        <f t="shared" si="43"/>
        <v>#VALUE!</v>
      </c>
      <c r="Y358">
        <v>2.46</v>
      </c>
      <c r="Z358" s="154" t="e">
        <f t="shared" si="44"/>
        <v>#VALUE!</v>
      </c>
      <c r="AA358">
        <v>2.46</v>
      </c>
      <c r="AB358" s="154" t="e">
        <f t="shared" si="45"/>
        <v>#VALUE!</v>
      </c>
      <c r="AC358">
        <v>2.46</v>
      </c>
      <c r="AD358" s="154" t="e">
        <f t="shared" si="46"/>
        <v>#VALUE!</v>
      </c>
      <c r="AE358">
        <v>2.46</v>
      </c>
    </row>
    <row r="359" spans="12:31" ht="15" x14ac:dyDescent="0.2">
      <c r="L359" s="154" t="e">
        <f t="shared" si="37"/>
        <v>#VALUE!</v>
      </c>
      <c r="M359">
        <v>2.4700000000000002</v>
      </c>
      <c r="N359" s="154" t="e">
        <f t="shared" si="38"/>
        <v>#VALUE!</v>
      </c>
      <c r="O359">
        <v>2.4700000000000002</v>
      </c>
      <c r="P359" s="154" t="e">
        <f t="shared" si="39"/>
        <v>#VALUE!</v>
      </c>
      <c r="Q359">
        <v>2.4700000000000002</v>
      </c>
      <c r="R359" s="154" t="e">
        <f t="shared" si="40"/>
        <v>#VALUE!</v>
      </c>
      <c r="S359">
        <v>2.4700000000000002</v>
      </c>
      <c r="T359" s="154" t="e">
        <f t="shared" si="41"/>
        <v>#VALUE!</v>
      </c>
      <c r="U359">
        <v>2.4700000000000002</v>
      </c>
      <c r="V359" s="154" t="e">
        <f t="shared" si="42"/>
        <v>#VALUE!</v>
      </c>
      <c r="W359">
        <v>2.4700000000000002</v>
      </c>
      <c r="X359" s="157" t="e">
        <f t="shared" si="43"/>
        <v>#VALUE!</v>
      </c>
      <c r="Y359">
        <v>2.4700000000000002</v>
      </c>
      <c r="Z359" s="154" t="e">
        <f t="shared" si="44"/>
        <v>#VALUE!</v>
      </c>
      <c r="AA359">
        <v>2.4700000000000002</v>
      </c>
      <c r="AB359" s="154" t="e">
        <f t="shared" si="45"/>
        <v>#VALUE!</v>
      </c>
      <c r="AC359">
        <v>2.4700000000000002</v>
      </c>
      <c r="AD359" s="154" t="e">
        <f t="shared" si="46"/>
        <v>#VALUE!</v>
      </c>
      <c r="AE359">
        <v>2.4700000000000002</v>
      </c>
    </row>
    <row r="360" spans="12:31" ht="15" x14ac:dyDescent="0.2">
      <c r="L360" s="154" t="e">
        <f t="shared" si="37"/>
        <v>#VALUE!</v>
      </c>
      <c r="M360">
        <v>2.48</v>
      </c>
      <c r="N360" s="154" t="e">
        <f t="shared" si="38"/>
        <v>#VALUE!</v>
      </c>
      <c r="O360">
        <v>2.48</v>
      </c>
      <c r="P360" s="154" t="e">
        <f t="shared" si="39"/>
        <v>#VALUE!</v>
      </c>
      <c r="Q360">
        <v>2.48</v>
      </c>
      <c r="R360" s="154" t="e">
        <f t="shared" si="40"/>
        <v>#VALUE!</v>
      </c>
      <c r="S360">
        <v>2.48</v>
      </c>
      <c r="T360" s="154" t="e">
        <f t="shared" si="41"/>
        <v>#VALUE!</v>
      </c>
      <c r="U360">
        <v>2.48</v>
      </c>
      <c r="V360" s="154" t="e">
        <f t="shared" si="42"/>
        <v>#VALUE!</v>
      </c>
      <c r="W360">
        <v>2.48</v>
      </c>
      <c r="X360" s="157" t="e">
        <f t="shared" si="43"/>
        <v>#VALUE!</v>
      </c>
      <c r="Y360">
        <v>2.48</v>
      </c>
      <c r="Z360" s="154" t="e">
        <f t="shared" si="44"/>
        <v>#VALUE!</v>
      </c>
      <c r="AA360">
        <v>2.48</v>
      </c>
      <c r="AB360" s="154" t="e">
        <f t="shared" si="45"/>
        <v>#VALUE!</v>
      </c>
      <c r="AC360">
        <v>2.48</v>
      </c>
      <c r="AD360" s="154" t="e">
        <f t="shared" si="46"/>
        <v>#VALUE!</v>
      </c>
      <c r="AE360">
        <v>2.48</v>
      </c>
    </row>
    <row r="361" spans="12:31" ht="15" x14ac:dyDescent="0.2">
      <c r="L361" s="154" t="e">
        <f t="shared" si="37"/>
        <v>#VALUE!</v>
      </c>
      <c r="M361">
        <v>2.4900000000000002</v>
      </c>
      <c r="N361" s="154" t="e">
        <f t="shared" si="38"/>
        <v>#VALUE!</v>
      </c>
      <c r="O361">
        <v>2.4900000000000002</v>
      </c>
      <c r="P361" s="154" t="e">
        <f t="shared" si="39"/>
        <v>#VALUE!</v>
      </c>
      <c r="Q361">
        <v>2.4900000000000002</v>
      </c>
      <c r="R361" s="154" t="e">
        <f t="shared" si="40"/>
        <v>#VALUE!</v>
      </c>
      <c r="S361">
        <v>2.4900000000000002</v>
      </c>
      <c r="T361" s="154" t="e">
        <f t="shared" si="41"/>
        <v>#VALUE!</v>
      </c>
      <c r="U361">
        <v>2.4900000000000002</v>
      </c>
      <c r="V361" s="154" t="e">
        <f t="shared" si="42"/>
        <v>#VALUE!</v>
      </c>
      <c r="W361">
        <v>2.4900000000000002</v>
      </c>
      <c r="X361" s="157" t="e">
        <f t="shared" si="43"/>
        <v>#VALUE!</v>
      </c>
      <c r="Y361">
        <v>2.4900000000000002</v>
      </c>
      <c r="Z361" s="154" t="e">
        <f t="shared" si="44"/>
        <v>#VALUE!</v>
      </c>
      <c r="AA361">
        <v>2.4900000000000002</v>
      </c>
      <c r="AB361" s="154" t="e">
        <f t="shared" si="45"/>
        <v>#VALUE!</v>
      </c>
      <c r="AC361">
        <v>2.4900000000000002</v>
      </c>
      <c r="AD361" s="154" t="e">
        <f t="shared" si="46"/>
        <v>#VALUE!</v>
      </c>
      <c r="AE361">
        <v>2.4900000000000002</v>
      </c>
    </row>
    <row r="362" spans="12:31" ht="15" x14ac:dyDescent="0.2">
      <c r="L362" s="154" t="e">
        <f t="shared" si="37"/>
        <v>#VALUE!</v>
      </c>
      <c r="M362">
        <v>2.5</v>
      </c>
      <c r="N362" s="154" t="e">
        <f t="shared" si="38"/>
        <v>#VALUE!</v>
      </c>
      <c r="O362">
        <v>2.5</v>
      </c>
      <c r="P362" s="154" t="e">
        <f t="shared" si="39"/>
        <v>#VALUE!</v>
      </c>
      <c r="Q362">
        <v>2.5</v>
      </c>
      <c r="R362" s="154" t="e">
        <f t="shared" si="40"/>
        <v>#VALUE!</v>
      </c>
      <c r="S362">
        <v>2.5</v>
      </c>
      <c r="T362" s="154" t="e">
        <f t="shared" si="41"/>
        <v>#VALUE!</v>
      </c>
      <c r="U362">
        <v>2.5</v>
      </c>
      <c r="V362" s="154" t="e">
        <f t="shared" si="42"/>
        <v>#VALUE!</v>
      </c>
      <c r="W362">
        <v>2.5</v>
      </c>
      <c r="X362" s="157" t="e">
        <f t="shared" si="43"/>
        <v>#VALUE!</v>
      </c>
      <c r="Y362">
        <v>2.5</v>
      </c>
      <c r="Z362" s="154" t="e">
        <f t="shared" si="44"/>
        <v>#VALUE!</v>
      </c>
      <c r="AA362">
        <v>2.5</v>
      </c>
      <c r="AB362" s="154" t="e">
        <f t="shared" si="45"/>
        <v>#VALUE!</v>
      </c>
      <c r="AC362">
        <v>2.5</v>
      </c>
      <c r="AD362" s="154" t="e">
        <f t="shared" si="46"/>
        <v>#VALUE!</v>
      </c>
      <c r="AE362">
        <v>2.5</v>
      </c>
    </row>
    <row r="363" spans="12:31" ht="15" x14ac:dyDescent="0.2">
      <c r="L363" s="154" t="e">
        <f t="shared" si="37"/>
        <v>#VALUE!</v>
      </c>
      <c r="M363">
        <v>2.5099999999999998</v>
      </c>
      <c r="N363" s="154" t="e">
        <f t="shared" si="38"/>
        <v>#VALUE!</v>
      </c>
      <c r="O363">
        <v>2.5099999999999998</v>
      </c>
      <c r="P363" s="154" t="e">
        <f t="shared" si="39"/>
        <v>#VALUE!</v>
      </c>
      <c r="Q363">
        <v>2.5099999999999998</v>
      </c>
      <c r="R363" s="154" t="e">
        <f t="shared" si="40"/>
        <v>#VALUE!</v>
      </c>
      <c r="S363">
        <v>2.5099999999999998</v>
      </c>
      <c r="T363" s="154" t="e">
        <f t="shared" si="41"/>
        <v>#VALUE!</v>
      </c>
      <c r="U363">
        <v>2.5099999999999998</v>
      </c>
      <c r="V363" s="154" t="e">
        <f t="shared" si="42"/>
        <v>#VALUE!</v>
      </c>
      <c r="W363">
        <v>2.5099999999999998</v>
      </c>
      <c r="X363" s="157" t="e">
        <f t="shared" si="43"/>
        <v>#VALUE!</v>
      </c>
      <c r="Y363">
        <v>2.5099999999999998</v>
      </c>
      <c r="Z363" s="154" t="e">
        <f t="shared" si="44"/>
        <v>#VALUE!</v>
      </c>
      <c r="AA363">
        <v>2.5099999999999998</v>
      </c>
      <c r="AB363" s="154" t="e">
        <f t="shared" si="45"/>
        <v>#VALUE!</v>
      </c>
      <c r="AC363">
        <v>2.5099999999999998</v>
      </c>
      <c r="AD363" s="154" t="e">
        <f t="shared" si="46"/>
        <v>#VALUE!</v>
      </c>
      <c r="AE363">
        <v>2.5099999999999998</v>
      </c>
    </row>
    <row r="364" spans="12:31" ht="15" x14ac:dyDescent="0.2">
      <c r="L364" s="154" t="e">
        <f t="shared" si="37"/>
        <v>#VALUE!</v>
      </c>
      <c r="M364">
        <v>2.52</v>
      </c>
      <c r="N364" s="154" t="e">
        <f t="shared" si="38"/>
        <v>#VALUE!</v>
      </c>
      <c r="O364">
        <v>2.52</v>
      </c>
      <c r="P364" s="154" t="e">
        <f t="shared" si="39"/>
        <v>#VALUE!</v>
      </c>
      <c r="Q364">
        <v>2.52</v>
      </c>
      <c r="R364" s="154" t="e">
        <f t="shared" si="40"/>
        <v>#VALUE!</v>
      </c>
      <c r="S364">
        <v>2.52</v>
      </c>
      <c r="T364" s="154" t="e">
        <f t="shared" si="41"/>
        <v>#VALUE!</v>
      </c>
      <c r="U364">
        <v>2.52</v>
      </c>
      <c r="V364" s="154" t="e">
        <f t="shared" si="42"/>
        <v>#VALUE!</v>
      </c>
      <c r="W364">
        <v>2.52</v>
      </c>
      <c r="X364" s="157" t="e">
        <f t="shared" si="43"/>
        <v>#VALUE!</v>
      </c>
      <c r="Y364">
        <v>2.52</v>
      </c>
      <c r="Z364" s="154" t="e">
        <f t="shared" si="44"/>
        <v>#VALUE!</v>
      </c>
      <c r="AA364">
        <v>2.52</v>
      </c>
      <c r="AB364" s="154" t="e">
        <f t="shared" si="45"/>
        <v>#VALUE!</v>
      </c>
      <c r="AC364">
        <v>2.52</v>
      </c>
      <c r="AD364" s="154" t="e">
        <f t="shared" si="46"/>
        <v>#VALUE!</v>
      </c>
      <c r="AE364">
        <v>2.52</v>
      </c>
    </row>
    <row r="365" spans="12:31" ht="15" x14ac:dyDescent="0.2">
      <c r="L365" s="154" t="e">
        <f t="shared" si="37"/>
        <v>#VALUE!</v>
      </c>
      <c r="M365">
        <v>2.5299999999999998</v>
      </c>
      <c r="N365" s="154" t="e">
        <f t="shared" si="38"/>
        <v>#VALUE!</v>
      </c>
      <c r="O365">
        <v>2.5299999999999998</v>
      </c>
      <c r="P365" s="154" t="e">
        <f t="shared" si="39"/>
        <v>#VALUE!</v>
      </c>
      <c r="Q365">
        <v>2.5299999999999998</v>
      </c>
      <c r="R365" s="154" t="e">
        <f t="shared" si="40"/>
        <v>#VALUE!</v>
      </c>
      <c r="S365">
        <v>2.5299999999999998</v>
      </c>
      <c r="T365" s="154" t="e">
        <f t="shared" si="41"/>
        <v>#VALUE!</v>
      </c>
      <c r="U365">
        <v>2.5299999999999998</v>
      </c>
      <c r="V365" s="154" t="e">
        <f t="shared" si="42"/>
        <v>#VALUE!</v>
      </c>
      <c r="W365">
        <v>2.5299999999999998</v>
      </c>
      <c r="X365" s="157" t="e">
        <f t="shared" si="43"/>
        <v>#VALUE!</v>
      </c>
      <c r="Y365">
        <v>2.5299999999999998</v>
      </c>
      <c r="Z365" s="154" t="e">
        <f t="shared" si="44"/>
        <v>#VALUE!</v>
      </c>
      <c r="AA365">
        <v>2.5299999999999998</v>
      </c>
      <c r="AB365" s="154" t="e">
        <f t="shared" si="45"/>
        <v>#VALUE!</v>
      </c>
      <c r="AC365">
        <v>2.5299999999999998</v>
      </c>
      <c r="AD365" s="154" t="e">
        <f t="shared" si="46"/>
        <v>#VALUE!</v>
      </c>
      <c r="AE365">
        <v>2.5299999999999998</v>
      </c>
    </row>
    <row r="366" spans="12:31" ht="15" x14ac:dyDescent="0.2">
      <c r="L366" s="154" t="e">
        <f t="shared" si="37"/>
        <v>#VALUE!</v>
      </c>
      <c r="M366">
        <v>2.54</v>
      </c>
      <c r="N366" s="154" t="e">
        <f t="shared" si="38"/>
        <v>#VALUE!</v>
      </c>
      <c r="O366">
        <v>2.54</v>
      </c>
      <c r="P366" s="154" t="e">
        <f t="shared" si="39"/>
        <v>#VALUE!</v>
      </c>
      <c r="Q366">
        <v>2.54</v>
      </c>
      <c r="R366" s="154" t="e">
        <f t="shared" si="40"/>
        <v>#VALUE!</v>
      </c>
      <c r="S366">
        <v>2.54</v>
      </c>
      <c r="T366" s="154" t="e">
        <f t="shared" si="41"/>
        <v>#VALUE!</v>
      </c>
      <c r="U366">
        <v>2.54</v>
      </c>
      <c r="V366" s="154" t="e">
        <f t="shared" si="42"/>
        <v>#VALUE!</v>
      </c>
      <c r="W366">
        <v>2.54</v>
      </c>
      <c r="X366" s="157" t="e">
        <f t="shared" si="43"/>
        <v>#VALUE!</v>
      </c>
      <c r="Y366">
        <v>2.54</v>
      </c>
      <c r="Z366" s="154" t="e">
        <f t="shared" si="44"/>
        <v>#VALUE!</v>
      </c>
      <c r="AA366">
        <v>2.54</v>
      </c>
      <c r="AB366" s="154" t="e">
        <f t="shared" si="45"/>
        <v>#VALUE!</v>
      </c>
      <c r="AC366">
        <v>2.54</v>
      </c>
      <c r="AD366" s="154" t="e">
        <f t="shared" si="46"/>
        <v>#VALUE!</v>
      </c>
      <c r="AE366">
        <v>2.54</v>
      </c>
    </row>
    <row r="367" spans="12:31" ht="15" x14ac:dyDescent="0.2">
      <c r="L367" s="154" t="e">
        <f t="shared" si="37"/>
        <v>#VALUE!</v>
      </c>
      <c r="M367">
        <v>2.5499999999999998</v>
      </c>
      <c r="N367" s="154" t="e">
        <f t="shared" si="38"/>
        <v>#VALUE!</v>
      </c>
      <c r="O367">
        <v>2.5499999999999998</v>
      </c>
      <c r="P367" s="154" t="e">
        <f t="shared" si="39"/>
        <v>#VALUE!</v>
      </c>
      <c r="Q367">
        <v>2.5499999999999998</v>
      </c>
      <c r="R367" s="154" t="e">
        <f t="shared" si="40"/>
        <v>#VALUE!</v>
      </c>
      <c r="S367">
        <v>2.5499999999999998</v>
      </c>
      <c r="T367" s="154" t="e">
        <f t="shared" si="41"/>
        <v>#VALUE!</v>
      </c>
      <c r="U367">
        <v>2.5499999999999998</v>
      </c>
      <c r="V367" s="154" t="e">
        <f t="shared" si="42"/>
        <v>#VALUE!</v>
      </c>
      <c r="W367">
        <v>2.5499999999999998</v>
      </c>
      <c r="X367" s="157" t="e">
        <f t="shared" si="43"/>
        <v>#VALUE!</v>
      </c>
      <c r="Y367">
        <v>2.5499999999999998</v>
      </c>
      <c r="Z367" s="154" t="e">
        <f t="shared" si="44"/>
        <v>#VALUE!</v>
      </c>
      <c r="AA367">
        <v>2.5499999999999998</v>
      </c>
      <c r="AB367" s="154" t="e">
        <f t="shared" si="45"/>
        <v>#VALUE!</v>
      </c>
      <c r="AC367">
        <v>2.5499999999999998</v>
      </c>
      <c r="AD367" s="154" t="e">
        <f t="shared" si="46"/>
        <v>#VALUE!</v>
      </c>
      <c r="AE367">
        <v>2.5499999999999998</v>
      </c>
    </row>
    <row r="368" spans="12:31" ht="15" x14ac:dyDescent="0.2">
      <c r="L368" s="154" t="e">
        <f t="shared" si="37"/>
        <v>#VALUE!</v>
      </c>
      <c r="M368">
        <v>2.56</v>
      </c>
      <c r="N368" s="154" t="e">
        <f t="shared" si="38"/>
        <v>#VALUE!</v>
      </c>
      <c r="O368">
        <v>2.56</v>
      </c>
      <c r="P368" s="154" t="e">
        <f t="shared" si="39"/>
        <v>#VALUE!</v>
      </c>
      <c r="Q368">
        <v>2.56</v>
      </c>
      <c r="R368" s="154" t="e">
        <f t="shared" si="40"/>
        <v>#VALUE!</v>
      </c>
      <c r="S368">
        <v>2.56</v>
      </c>
      <c r="T368" s="154" t="e">
        <f t="shared" si="41"/>
        <v>#VALUE!</v>
      </c>
      <c r="U368">
        <v>2.56</v>
      </c>
      <c r="V368" s="154" t="e">
        <f t="shared" si="42"/>
        <v>#VALUE!</v>
      </c>
      <c r="W368">
        <v>2.56</v>
      </c>
      <c r="X368" s="157" t="e">
        <f t="shared" si="43"/>
        <v>#VALUE!</v>
      </c>
      <c r="Y368">
        <v>2.56</v>
      </c>
      <c r="Z368" s="154" t="e">
        <f t="shared" si="44"/>
        <v>#VALUE!</v>
      </c>
      <c r="AA368">
        <v>2.56</v>
      </c>
      <c r="AB368" s="154" t="e">
        <f t="shared" si="45"/>
        <v>#VALUE!</v>
      </c>
      <c r="AC368">
        <v>2.56</v>
      </c>
      <c r="AD368" s="154" t="e">
        <f t="shared" si="46"/>
        <v>#VALUE!</v>
      </c>
      <c r="AE368">
        <v>2.56</v>
      </c>
    </row>
    <row r="369" spans="12:31" ht="15" x14ac:dyDescent="0.2">
      <c r="L369" s="154" t="e">
        <f t="shared" ref="L369:L432" si="47">((1.486/$D$33)*((((PI()*($D$46/12)^2)/4)-((($D$46/12)/2)^2*((2*ACOS(((($D$46/12)/2)-(($D$46/12)-(M369/12)))/(($D$46/12)/2)))-SIN(2*ACOS(((($D$46/12)/2)-(($D$46/12)-(M369/12)))/(($D$46/12)/2))))/2))/((PI()*($D$46/12))-((2*ACOS(((($D$46/12)/2)-(($D$46/12)-(M369/12)))/(($D$46/12)/2)))*(($D$46/12)/2))))^(2/3)*$H$17^0.5)*(((PI()*($D$46/12)^2)/4)-((($D$46/12)/2)^2*((2*ACOS(((($D$46/12)/2)-(($D$46/12)-(M369/12)))/(($D$46/12)/2)))-SIN(2*ACOS(((($D$46/12)/2)-(($D$46/12)-(M369/12)))/(($D$46/12)/2))))/2))</f>
        <v>#VALUE!</v>
      </c>
      <c r="M369">
        <v>2.57</v>
      </c>
      <c r="N369" s="154" t="e">
        <f t="shared" ref="N369:N432" si="48">((1.486/$D$34)*((((PI()*($D$47/12)^2)/4)-((($D$47/12)/2)^2*((2*ACOS(((($D$47/12)/2)-(($D$47/12)-(O369/12)))/(($D$47/12)/2)))-SIN(2*ACOS(((($D$47/12)/2)-(($D$47/12)-(O369/12)))/(($D$47/12)/2))))/2))/((PI()*($D$47/12))-((2*ACOS(((($D$47/12)/2)-(($D$47/12)-(O369/12)))/(($D$47/12)/2)))*(($D$47/12)/2))))^(2/3)*$H$18^0.5)*(((PI()*($D$47/12)^2)/4)-((($D$47/12)/2)^2*((2*ACOS(((($D$47/12)/2)-(($D$47/12)-(O369/12)))/(($D$47/12)/2)))-SIN(2*ACOS(((($D$47/12)/2)-(($D$47/12)-(O369/12)))/(($D$47/12)/2))))/2))</f>
        <v>#VALUE!</v>
      </c>
      <c r="O369">
        <v>2.57</v>
      </c>
      <c r="P369" s="154" t="e">
        <f t="shared" ref="P369:P432" si="49">((1.486/$D$35)*((((PI()*($D$48/12)^2)/4)-((($D$48/12)/2)^2*((2*ACOS(((($D$48/12)/2)-(($D$48/12)-(Q369/12)))/(($D$48/12)/2)))-SIN(2*ACOS(((($D$48/12)/2)-(($D$48/12)-(Q369/12)))/(($D$48/12)/2))))/2))/((PI()*($D$48/12))-((2*ACOS(((($D$48/12)/2)-(($D$48/12)-(Q369/12)))/(($D$48/12)/2)))*(($D$48/12)/2))))^(2/3)*$H$19^0.5)*(((PI()*($D$48/12)^2)/4)-((($D$48/12)/2)^2*((2*ACOS(((($D$48/12)/2)-(($D$48/12)-(Q369/12)))/(($D$48/12)/2)))-SIN(2*ACOS(((($D$48/12)/2)-(($D$48/12)-(Q369/12)))/(($D$48/12)/2))))/2))</f>
        <v>#VALUE!</v>
      </c>
      <c r="Q369">
        <v>2.57</v>
      </c>
      <c r="R369" s="154" t="e">
        <f t="shared" ref="R369:R432" si="50">((1.486/$D$36)*((((PI()*($D$49/12)^2)/4)-((($D$49/12)/2)^2*((2*ACOS(((($D$49/12)/2)-(($D$49/12)-(S369/12)))/(($D$49/12)/2)))-SIN(2*ACOS(((($D$49/12)/2)-(($D$49/12)-(S369/12)))/(($D$49/12)/2))))/2))/((PI()*($D$49/12))-((2*ACOS(((($D$49/12)/2)-(($D$49/12)-(S369/12)))/(($D$49/12)/2)))*(($D$49/12)/2))))^(2/3)*$H$20^0.5)*(((PI()*($D$49/12)^2)/4)-((($D$49/12)/2)^2*((2*ACOS(((($D$49/12)/2)-(($D$49/12)-(S369/12)))/(($D$49/12)/2)))-SIN(2*ACOS(((($D$49/12)/2)-(($D$49/12)-(S369/12)))/(($D$49/12)/2))))/2))</f>
        <v>#VALUE!</v>
      </c>
      <c r="S369">
        <v>2.57</v>
      </c>
      <c r="T369" s="154" t="e">
        <f t="shared" ref="T369:T432" si="51">((1.486/$D$37)*((((PI()*($D$50/12)^2)/4)-((($D$50/12)/2)^2*((2*ACOS(((($D$50/12)/2)-(($D$50/12)-(U369/12)))/(($D$50/12)/2)))-SIN(2*ACOS(((($D$50/12)/2)-(($D$50/12)-(U369/12)))/(($D$50/12)/2))))/2))/((PI()*($D$50/12))-((2*ACOS(((($D$50/12)/2)-(($D$50/12)-(U369/12)))/(($D$50/12)/2)))*(($D$50/12)/2))))^(2/3)*$H$21^0.5)*(((PI()*($D$50/12)^2)/4)-((($D$50/12)/2)^2*((2*ACOS(((($D$50/12)/2)-(($D$50/12)-(U369/12)))/(($D$50/12)/2)))-SIN(2*ACOS(((($D$50/12)/2)-(($D$50/12)-(U369/12)))/(($D$50/12)/2))))/2))</f>
        <v>#VALUE!</v>
      </c>
      <c r="U369">
        <v>2.57</v>
      </c>
      <c r="V369" s="154" t="e">
        <f t="shared" ref="V369:V432" si="52">((1.486/$D$38)*((((PI()*($D$51/12)^2)/4)-((($D$51/12)/2)^2*((2*ACOS(((($D$51/12)/2)-(($D$51/12)-(W369/12)))/(($D$51/12)/2)))-SIN(2*ACOS(((($D$51/12)/2)-(($D$51/12)-(W369/12)))/(($D$51/12)/2))))/2))/((PI()*($D$51/12))-((2*ACOS(((($D$51/12)/2)-(($D$51/12)-(W369/12)))/(($D$51/12)/2)))*(($D$51/12)/2))))^(2/3)*$H$22^0.5)*(((PI()*($D$51/12)^2)/4)-((($D$51/12)/2)^2*((2*ACOS(((($D$51/12)/2)-(($D$51/12)-(W369/12)))/(($D$51/12)/2)))-SIN(2*ACOS(((($D$51/12)/2)-(($D$51/12)-(W369/12)))/(($D$51/12)/2))))/2))</f>
        <v>#VALUE!</v>
      </c>
      <c r="W369">
        <v>2.57</v>
      </c>
      <c r="X369" s="157" t="e">
        <f t="shared" ref="X369:X432" si="53">((1.486/$D$39)*((((PI()*($D$52/12)^2)/4)-((($D$52/12)/2)^2*((2*ACOS(((($D$52/12)/2)-(($D$52/12)-(Y369/12)))/(($D$52/12)/2)))-SIN(2*ACOS(((($D$52/12)/2)-(($D$52/12)-(Y369/12)))/(($D$52/12)/2))))/2))/((PI()*($D$52/12))-((2*ACOS(((($D$52/12)/2)-(($D$52/12)-(Y369/12)))/(($D$52/12)/2)))*(($D$52/12)/2))))^(2/3)*$H$23^0.5)*(((PI()*($D$52/12)^2)/4)-((($D$52/12)/2)^2*((2*ACOS(((($D$52/12)/2)-(($D$52/12)-(Y369/12)))/(($D$52/12)/2)))-SIN(2*ACOS(((($D$52/12)/2)-(($D$52/12)-(Y369/12)))/(($D$52/12)/2))))/2))</f>
        <v>#VALUE!</v>
      </c>
      <c r="Y369">
        <v>2.57</v>
      </c>
      <c r="Z369" s="154" t="e">
        <f t="shared" ref="Z369:Z432" si="54">((1.486/$D$40)*((((PI()*($D$53/12)^2)/4)-((($D$53/12)/2)^2*((2*ACOS(((($D$53/12)/2)-(($D$53/12)-(AA369/12)))/(($D$53/12)/2)))-SIN(2*ACOS(((($D$53/12)/2)-(($D$53/12)-(AA369/12)))/(($D$53/12)/2))))/2))/((PI()*($D$53/12))-((2*ACOS(((($D$53/12)/2)-(($D$53/12)-(AA369/12)))/(($D$53/12)/2)))*(($D$53/12)/2))))^(2/3)*$H$24^0.5)*(((PI()*($D$53/12)^2)/4)-((($D$53/12)/2)^2*((2*ACOS(((($D$53/12)/2)-(($D$53/12)-(AA369/12)))/(($D$53/12)/2)))-SIN(2*ACOS(((($D$53/12)/2)-(($D$53/12)-(AA369/12)))/(($D$53/12)/2))))/2))</f>
        <v>#VALUE!</v>
      </c>
      <c r="AA369">
        <v>2.57</v>
      </c>
      <c r="AB369" s="154" t="e">
        <f t="shared" ref="AB369:AB432" si="55">((1.486/$D$41)*((((PI()*($D$54/12)^2)/4)-((($D$54/12)/2)^2*((2*ACOS(((($D$54/12)/2)-(($D$54/12)-(AC369/12)))/(($D$54/12)/2)))-SIN(2*ACOS(((($D$54/12)/2)-(($D$54/12)-(AC369/12)))/(($D$54/12)/2))))/2))/((PI()*($D$54/12))-((2*ACOS(((($D$54/12)/2)-(($D$54/12)-(AC369/12)))/(($D$54/12)/2)))*(($D$54/12)/2))))^(2/3)*$H$25^0.5)*(((PI()*($D$54/12)^2)/4)-((($D$54/12)/2)^2*((2*ACOS(((($D$54/12)/2)-(($D$54/12)-(AC369/12)))/(($D$54/12)/2)))-SIN(2*ACOS(((($D$54/12)/2)-(($D$54/12)-(AC369/12)))/(($D$54/12)/2))))/2))</f>
        <v>#VALUE!</v>
      </c>
      <c r="AC369">
        <v>2.57</v>
      </c>
      <c r="AD369" s="154" t="e">
        <f t="shared" ref="AD369:AD432" si="56">((1.486/$D$42)*((((PI()*($D$55/12)^2)/4)-((($D$55/12)/2)^2*((2*ACOS(((($D$55/12)/2)-(($D$55/12)-(AE369/12)))/(($D$55/12)/2)))-SIN(2*ACOS(((($D$55/12)/2)-(($D$55/12)-(AE369/12)))/(($D$55/12)/2))))/2))/((PI()*($D$55/12))-((2*ACOS(((($D$55/12)/2)-(($D$55/12)-(AE369/12)))/(($D$55/12)/2)))*(($D$55/12)/2))))^(2/3)*$H$26^0.5)*(((PI()*($D$55/12)^2)/4)-((($D$55/12)/2)^2*((2*ACOS(((($D$55/12)/2)-(($D$55/12)-(AE369/12)))/(($D$55/12)/2)))-SIN(2*ACOS(((($D$55/12)/2)-(($D$55/12)-(AE369/12)))/(($D$55/12)/2))))/2))</f>
        <v>#VALUE!</v>
      </c>
      <c r="AE369">
        <v>2.57</v>
      </c>
    </row>
    <row r="370" spans="12:31" ht="15" x14ac:dyDescent="0.2">
      <c r="L370" s="154" t="e">
        <f t="shared" si="47"/>
        <v>#VALUE!</v>
      </c>
      <c r="M370">
        <v>2.58</v>
      </c>
      <c r="N370" s="154" t="e">
        <f t="shared" si="48"/>
        <v>#VALUE!</v>
      </c>
      <c r="O370">
        <v>2.58</v>
      </c>
      <c r="P370" s="154" t="e">
        <f t="shared" si="49"/>
        <v>#VALUE!</v>
      </c>
      <c r="Q370">
        <v>2.58</v>
      </c>
      <c r="R370" s="154" t="e">
        <f t="shared" si="50"/>
        <v>#VALUE!</v>
      </c>
      <c r="S370">
        <v>2.58</v>
      </c>
      <c r="T370" s="154" t="e">
        <f t="shared" si="51"/>
        <v>#VALUE!</v>
      </c>
      <c r="U370">
        <v>2.58</v>
      </c>
      <c r="V370" s="154" t="e">
        <f t="shared" si="52"/>
        <v>#VALUE!</v>
      </c>
      <c r="W370">
        <v>2.58</v>
      </c>
      <c r="X370" s="157" t="e">
        <f t="shared" si="53"/>
        <v>#VALUE!</v>
      </c>
      <c r="Y370">
        <v>2.58</v>
      </c>
      <c r="Z370" s="154" t="e">
        <f t="shared" si="54"/>
        <v>#VALUE!</v>
      </c>
      <c r="AA370">
        <v>2.58</v>
      </c>
      <c r="AB370" s="154" t="e">
        <f t="shared" si="55"/>
        <v>#VALUE!</v>
      </c>
      <c r="AC370">
        <v>2.58</v>
      </c>
      <c r="AD370" s="154" t="e">
        <f t="shared" si="56"/>
        <v>#VALUE!</v>
      </c>
      <c r="AE370">
        <v>2.58</v>
      </c>
    </row>
    <row r="371" spans="12:31" ht="15" x14ac:dyDescent="0.2">
      <c r="L371" s="154" t="e">
        <f t="shared" si="47"/>
        <v>#VALUE!</v>
      </c>
      <c r="M371">
        <v>2.59</v>
      </c>
      <c r="N371" s="154" t="e">
        <f t="shared" si="48"/>
        <v>#VALUE!</v>
      </c>
      <c r="O371">
        <v>2.59</v>
      </c>
      <c r="P371" s="154" t="e">
        <f t="shared" si="49"/>
        <v>#VALUE!</v>
      </c>
      <c r="Q371">
        <v>2.59</v>
      </c>
      <c r="R371" s="154" t="e">
        <f t="shared" si="50"/>
        <v>#VALUE!</v>
      </c>
      <c r="S371">
        <v>2.59</v>
      </c>
      <c r="T371" s="154" t="e">
        <f t="shared" si="51"/>
        <v>#VALUE!</v>
      </c>
      <c r="U371">
        <v>2.59</v>
      </c>
      <c r="V371" s="154" t="e">
        <f t="shared" si="52"/>
        <v>#VALUE!</v>
      </c>
      <c r="W371">
        <v>2.59</v>
      </c>
      <c r="X371" s="157" t="e">
        <f t="shared" si="53"/>
        <v>#VALUE!</v>
      </c>
      <c r="Y371">
        <v>2.59</v>
      </c>
      <c r="Z371" s="154" t="e">
        <f t="shared" si="54"/>
        <v>#VALUE!</v>
      </c>
      <c r="AA371">
        <v>2.59</v>
      </c>
      <c r="AB371" s="154" t="e">
        <f t="shared" si="55"/>
        <v>#VALUE!</v>
      </c>
      <c r="AC371">
        <v>2.59</v>
      </c>
      <c r="AD371" s="154" t="e">
        <f t="shared" si="56"/>
        <v>#VALUE!</v>
      </c>
      <c r="AE371">
        <v>2.59</v>
      </c>
    </row>
    <row r="372" spans="12:31" ht="15" x14ac:dyDescent="0.2">
      <c r="L372" s="154" t="e">
        <f t="shared" si="47"/>
        <v>#VALUE!</v>
      </c>
      <c r="M372">
        <v>2.6</v>
      </c>
      <c r="N372" s="154" t="e">
        <f t="shared" si="48"/>
        <v>#VALUE!</v>
      </c>
      <c r="O372">
        <v>2.6</v>
      </c>
      <c r="P372" s="154" t="e">
        <f t="shared" si="49"/>
        <v>#VALUE!</v>
      </c>
      <c r="Q372">
        <v>2.6</v>
      </c>
      <c r="R372" s="154" t="e">
        <f t="shared" si="50"/>
        <v>#VALUE!</v>
      </c>
      <c r="S372">
        <v>2.6</v>
      </c>
      <c r="T372" s="154" t="e">
        <f t="shared" si="51"/>
        <v>#VALUE!</v>
      </c>
      <c r="U372">
        <v>2.6</v>
      </c>
      <c r="V372" s="154" t="e">
        <f t="shared" si="52"/>
        <v>#VALUE!</v>
      </c>
      <c r="W372">
        <v>2.6</v>
      </c>
      <c r="X372" s="157" t="e">
        <f t="shared" si="53"/>
        <v>#VALUE!</v>
      </c>
      <c r="Y372">
        <v>2.6</v>
      </c>
      <c r="Z372" s="154" t="e">
        <f t="shared" si="54"/>
        <v>#VALUE!</v>
      </c>
      <c r="AA372">
        <v>2.6</v>
      </c>
      <c r="AB372" s="154" t="e">
        <f t="shared" si="55"/>
        <v>#VALUE!</v>
      </c>
      <c r="AC372">
        <v>2.6</v>
      </c>
      <c r="AD372" s="154" t="e">
        <f t="shared" si="56"/>
        <v>#VALUE!</v>
      </c>
      <c r="AE372">
        <v>2.6</v>
      </c>
    </row>
    <row r="373" spans="12:31" ht="15" x14ac:dyDescent="0.2">
      <c r="L373" s="154" t="e">
        <f t="shared" si="47"/>
        <v>#VALUE!</v>
      </c>
      <c r="M373">
        <v>2.61</v>
      </c>
      <c r="N373" s="154" t="e">
        <f t="shared" si="48"/>
        <v>#VALUE!</v>
      </c>
      <c r="O373">
        <v>2.61</v>
      </c>
      <c r="P373" s="154" t="e">
        <f t="shared" si="49"/>
        <v>#VALUE!</v>
      </c>
      <c r="Q373">
        <v>2.61</v>
      </c>
      <c r="R373" s="154" t="e">
        <f t="shared" si="50"/>
        <v>#VALUE!</v>
      </c>
      <c r="S373">
        <v>2.61</v>
      </c>
      <c r="T373" s="154" t="e">
        <f t="shared" si="51"/>
        <v>#VALUE!</v>
      </c>
      <c r="U373">
        <v>2.61</v>
      </c>
      <c r="V373" s="154" t="e">
        <f t="shared" si="52"/>
        <v>#VALUE!</v>
      </c>
      <c r="W373">
        <v>2.61</v>
      </c>
      <c r="X373" s="157" t="e">
        <f t="shared" si="53"/>
        <v>#VALUE!</v>
      </c>
      <c r="Y373">
        <v>2.61</v>
      </c>
      <c r="Z373" s="154" t="e">
        <f t="shared" si="54"/>
        <v>#VALUE!</v>
      </c>
      <c r="AA373">
        <v>2.61</v>
      </c>
      <c r="AB373" s="154" t="e">
        <f t="shared" si="55"/>
        <v>#VALUE!</v>
      </c>
      <c r="AC373">
        <v>2.61</v>
      </c>
      <c r="AD373" s="154" t="e">
        <f t="shared" si="56"/>
        <v>#VALUE!</v>
      </c>
      <c r="AE373">
        <v>2.61</v>
      </c>
    </row>
    <row r="374" spans="12:31" ht="15" x14ac:dyDescent="0.2">
      <c r="L374" s="154" t="e">
        <f t="shared" si="47"/>
        <v>#VALUE!</v>
      </c>
      <c r="M374">
        <v>2.62</v>
      </c>
      <c r="N374" s="154" t="e">
        <f t="shared" si="48"/>
        <v>#VALUE!</v>
      </c>
      <c r="O374">
        <v>2.62</v>
      </c>
      <c r="P374" s="154" t="e">
        <f t="shared" si="49"/>
        <v>#VALUE!</v>
      </c>
      <c r="Q374">
        <v>2.62</v>
      </c>
      <c r="R374" s="154" t="e">
        <f t="shared" si="50"/>
        <v>#VALUE!</v>
      </c>
      <c r="S374">
        <v>2.62</v>
      </c>
      <c r="T374" s="154" t="e">
        <f t="shared" si="51"/>
        <v>#VALUE!</v>
      </c>
      <c r="U374">
        <v>2.62</v>
      </c>
      <c r="V374" s="154" t="e">
        <f t="shared" si="52"/>
        <v>#VALUE!</v>
      </c>
      <c r="W374">
        <v>2.62</v>
      </c>
      <c r="X374" s="157" t="e">
        <f t="shared" si="53"/>
        <v>#VALUE!</v>
      </c>
      <c r="Y374">
        <v>2.62</v>
      </c>
      <c r="Z374" s="154" t="e">
        <f t="shared" si="54"/>
        <v>#VALUE!</v>
      </c>
      <c r="AA374">
        <v>2.62</v>
      </c>
      <c r="AB374" s="154" t="e">
        <f t="shared" si="55"/>
        <v>#VALUE!</v>
      </c>
      <c r="AC374">
        <v>2.62</v>
      </c>
      <c r="AD374" s="154" t="e">
        <f t="shared" si="56"/>
        <v>#VALUE!</v>
      </c>
      <c r="AE374">
        <v>2.62</v>
      </c>
    </row>
    <row r="375" spans="12:31" ht="15" x14ac:dyDescent="0.2">
      <c r="L375" s="154" t="e">
        <f t="shared" si="47"/>
        <v>#VALUE!</v>
      </c>
      <c r="M375">
        <v>2.63</v>
      </c>
      <c r="N375" s="154" t="e">
        <f t="shared" si="48"/>
        <v>#VALUE!</v>
      </c>
      <c r="O375">
        <v>2.63</v>
      </c>
      <c r="P375" s="154" t="e">
        <f t="shared" si="49"/>
        <v>#VALUE!</v>
      </c>
      <c r="Q375">
        <v>2.63</v>
      </c>
      <c r="R375" s="154" t="e">
        <f t="shared" si="50"/>
        <v>#VALUE!</v>
      </c>
      <c r="S375">
        <v>2.63</v>
      </c>
      <c r="T375" s="154" t="e">
        <f t="shared" si="51"/>
        <v>#VALUE!</v>
      </c>
      <c r="U375">
        <v>2.63</v>
      </c>
      <c r="V375" s="154" t="e">
        <f t="shared" si="52"/>
        <v>#VALUE!</v>
      </c>
      <c r="W375">
        <v>2.63</v>
      </c>
      <c r="X375" s="157" t="e">
        <f t="shared" si="53"/>
        <v>#VALUE!</v>
      </c>
      <c r="Y375">
        <v>2.63</v>
      </c>
      <c r="Z375" s="154" t="e">
        <f t="shared" si="54"/>
        <v>#VALUE!</v>
      </c>
      <c r="AA375">
        <v>2.63</v>
      </c>
      <c r="AB375" s="154" t="e">
        <f t="shared" si="55"/>
        <v>#VALUE!</v>
      </c>
      <c r="AC375">
        <v>2.63</v>
      </c>
      <c r="AD375" s="154" t="e">
        <f t="shared" si="56"/>
        <v>#VALUE!</v>
      </c>
      <c r="AE375">
        <v>2.63</v>
      </c>
    </row>
    <row r="376" spans="12:31" ht="15" x14ac:dyDescent="0.2">
      <c r="L376" s="154" t="e">
        <f t="shared" si="47"/>
        <v>#VALUE!</v>
      </c>
      <c r="M376">
        <v>2.64</v>
      </c>
      <c r="N376" s="154" t="e">
        <f t="shared" si="48"/>
        <v>#VALUE!</v>
      </c>
      <c r="O376">
        <v>2.64</v>
      </c>
      <c r="P376" s="154" t="e">
        <f t="shared" si="49"/>
        <v>#VALUE!</v>
      </c>
      <c r="Q376">
        <v>2.64</v>
      </c>
      <c r="R376" s="154" t="e">
        <f t="shared" si="50"/>
        <v>#VALUE!</v>
      </c>
      <c r="S376">
        <v>2.64</v>
      </c>
      <c r="T376" s="154" t="e">
        <f t="shared" si="51"/>
        <v>#VALUE!</v>
      </c>
      <c r="U376">
        <v>2.64</v>
      </c>
      <c r="V376" s="154" t="e">
        <f t="shared" si="52"/>
        <v>#VALUE!</v>
      </c>
      <c r="W376">
        <v>2.64</v>
      </c>
      <c r="X376" s="157" t="e">
        <f t="shared" si="53"/>
        <v>#VALUE!</v>
      </c>
      <c r="Y376">
        <v>2.64</v>
      </c>
      <c r="Z376" s="154" t="e">
        <f t="shared" si="54"/>
        <v>#VALUE!</v>
      </c>
      <c r="AA376">
        <v>2.64</v>
      </c>
      <c r="AB376" s="154" t="e">
        <f t="shared" si="55"/>
        <v>#VALUE!</v>
      </c>
      <c r="AC376">
        <v>2.64</v>
      </c>
      <c r="AD376" s="154" t="e">
        <f t="shared" si="56"/>
        <v>#VALUE!</v>
      </c>
      <c r="AE376">
        <v>2.64</v>
      </c>
    </row>
    <row r="377" spans="12:31" ht="15" x14ac:dyDescent="0.2">
      <c r="L377" s="154" t="e">
        <f t="shared" si="47"/>
        <v>#VALUE!</v>
      </c>
      <c r="M377">
        <v>2.65</v>
      </c>
      <c r="N377" s="154" t="e">
        <f t="shared" si="48"/>
        <v>#VALUE!</v>
      </c>
      <c r="O377">
        <v>2.65</v>
      </c>
      <c r="P377" s="154" t="e">
        <f t="shared" si="49"/>
        <v>#VALUE!</v>
      </c>
      <c r="Q377">
        <v>2.65</v>
      </c>
      <c r="R377" s="154" t="e">
        <f t="shared" si="50"/>
        <v>#VALUE!</v>
      </c>
      <c r="S377">
        <v>2.65</v>
      </c>
      <c r="T377" s="154" t="e">
        <f t="shared" si="51"/>
        <v>#VALUE!</v>
      </c>
      <c r="U377">
        <v>2.65</v>
      </c>
      <c r="V377" s="154" t="e">
        <f t="shared" si="52"/>
        <v>#VALUE!</v>
      </c>
      <c r="W377">
        <v>2.65</v>
      </c>
      <c r="X377" s="157" t="e">
        <f t="shared" si="53"/>
        <v>#VALUE!</v>
      </c>
      <c r="Y377">
        <v>2.65</v>
      </c>
      <c r="Z377" s="154" t="e">
        <f t="shared" si="54"/>
        <v>#VALUE!</v>
      </c>
      <c r="AA377">
        <v>2.65</v>
      </c>
      <c r="AB377" s="154" t="e">
        <f t="shared" si="55"/>
        <v>#VALUE!</v>
      </c>
      <c r="AC377">
        <v>2.65</v>
      </c>
      <c r="AD377" s="154" t="e">
        <f t="shared" si="56"/>
        <v>#VALUE!</v>
      </c>
      <c r="AE377">
        <v>2.65</v>
      </c>
    </row>
    <row r="378" spans="12:31" ht="15" x14ac:dyDescent="0.2">
      <c r="L378" s="154" t="e">
        <f t="shared" si="47"/>
        <v>#VALUE!</v>
      </c>
      <c r="M378">
        <v>2.66</v>
      </c>
      <c r="N378" s="154" t="e">
        <f t="shared" si="48"/>
        <v>#VALUE!</v>
      </c>
      <c r="O378">
        <v>2.66</v>
      </c>
      <c r="P378" s="154" t="e">
        <f t="shared" si="49"/>
        <v>#VALUE!</v>
      </c>
      <c r="Q378">
        <v>2.66</v>
      </c>
      <c r="R378" s="154" t="e">
        <f t="shared" si="50"/>
        <v>#VALUE!</v>
      </c>
      <c r="S378">
        <v>2.66</v>
      </c>
      <c r="T378" s="154" t="e">
        <f t="shared" si="51"/>
        <v>#VALUE!</v>
      </c>
      <c r="U378">
        <v>2.66</v>
      </c>
      <c r="V378" s="154" t="e">
        <f t="shared" si="52"/>
        <v>#VALUE!</v>
      </c>
      <c r="W378">
        <v>2.66</v>
      </c>
      <c r="X378" s="157" t="e">
        <f t="shared" si="53"/>
        <v>#VALUE!</v>
      </c>
      <c r="Y378">
        <v>2.66</v>
      </c>
      <c r="Z378" s="154" t="e">
        <f t="shared" si="54"/>
        <v>#VALUE!</v>
      </c>
      <c r="AA378">
        <v>2.66</v>
      </c>
      <c r="AB378" s="154" t="e">
        <f t="shared" si="55"/>
        <v>#VALUE!</v>
      </c>
      <c r="AC378">
        <v>2.66</v>
      </c>
      <c r="AD378" s="154" t="e">
        <f t="shared" si="56"/>
        <v>#VALUE!</v>
      </c>
      <c r="AE378">
        <v>2.66</v>
      </c>
    </row>
    <row r="379" spans="12:31" ht="15" x14ac:dyDescent="0.2">
      <c r="L379" s="154" t="e">
        <f t="shared" si="47"/>
        <v>#VALUE!</v>
      </c>
      <c r="M379">
        <v>2.67</v>
      </c>
      <c r="N379" s="154" t="e">
        <f t="shared" si="48"/>
        <v>#VALUE!</v>
      </c>
      <c r="O379">
        <v>2.67</v>
      </c>
      <c r="P379" s="154" t="e">
        <f t="shared" si="49"/>
        <v>#VALUE!</v>
      </c>
      <c r="Q379">
        <v>2.67</v>
      </c>
      <c r="R379" s="154" t="e">
        <f t="shared" si="50"/>
        <v>#VALUE!</v>
      </c>
      <c r="S379">
        <v>2.67</v>
      </c>
      <c r="T379" s="154" t="e">
        <f t="shared" si="51"/>
        <v>#VALUE!</v>
      </c>
      <c r="U379">
        <v>2.67</v>
      </c>
      <c r="V379" s="154" t="e">
        <f t="shared" si="52"/>
        <v>#VALUE!</v>
      </c>
      <c r="W379">
        <v>2.67</v>
      </c>
      <c r="X379" s="157" t="e">
        <f t="shared" si="53"/>
        <v>#VALUE!</v>
      </c>
      <c r="Y379">
        <v>2.67</v>
      </c>
      <c r="Z379" s="154" t="e">
        <f t="shared" si="54"/>
        <v>#VALUE!</v>
      </c>
      <c r="AA379">
        <v>2.67</v>
      </c>
      <c r="AB379" s="154" t="e">
        <f t="shared" si="55"/>
        <v>#VALUE!</v>
      </c>
      <c r="AC379">
        <v>2.67</v>
      </c>
      <c r="AD379" s="154" t="e">
        <f t="shared" si="56"/>
        <v>#VALUE!</v>
      </c>
      <c r="AE379">
        <v>2.67</v>
      </c>
    </row>
    <row r="380" spans="12:31" ht="15" x14ac:dyDescent="0.2">
      <c r="L380" s="154" t="e">
        <f t="shared" si="47"/>
        <v>#VALUE!</v>
      </c>
      <c r="M380">
        <v>2.68</v>
      </c>
      <c r="N380" s="154" t="e">
        <f t="shared" si="48"/>
        <v>#VALUE!</v>
      </c>
      <c r="O380">
        <v>2.68</v>
      </c>
      <c r="P380" s="154" t="e">
        <f t="shared" si="49"/>
        <v>#VALUE!</v>
      </c>
      <c r="Q380">
        <v>2.68</v>
      </c>
      <c r="R380" s="154" t="e">
        <f t="shared" si="50"/>
        <v>#VALUE!</v>
      </c>
      <c r="S380">
        <v>2.68</v>
      </c>
      <c r="T380" s="154" t="e">
        <f t="shared" si="51"/>
        <v>#VALUE!</v>
      </c>
      <c r="U380">
        <v>2.68</v>
      </c>
      <c r="V380" s="154" t="e">
        <f t="shared" si="52"/>
        <v>#VALUE!</v>
      </c>
      <c r="W380">
        <v>2.68</v>
      </c>
      <c r="X380" s="157" t="e">
        <f t="shared" si="53"/>
        <v>#VALUE!</v>
      </c>
      <c r="Y380">
        <v>2.68</v>
      </c>
      <c r="Z380" s="154" t="e">
        <f t="shared" si="54"/>
        <v>#VALUE!</v>
      </c>
      <c r="AA380">
        <v>2.68</v>
      </c>
      <c r="AB380" s="154" t="e">
        <f t="shared" si="55"/>
        <v>#VALUE!</v>
      </c>
      <c r="AC380">
        <v>2.68</v>
      </c>
      <c r="AD380" s="154" t="e">
        <f t="shared" si="56"/>
        <v>#VALUE!</v>
      </c>
      <c r="AE380">
        <v>2.68</v>
      </c>
    </row>
    <row r="381" spans="12:31" ht="15" x14ac:dyDescent="0.2">
      <c r="L381" s="154" t="e">
        <f t="shared" si="47"/>
        <v>#VALUE!</v>
      </c>
      <c r="M381">
        <v>2.69</v>
      </c>
      <c r="N381" s="154" t="e">
        <f t="shared" si="48"/>
        <v>#VALUE!</v>
      </c>
      <c r="O381">
        <v>2.69</v>
      </c>
      <c r="P381" s="154" t="e">
        <f t="shared" si="49"/>
        <v>#VALUE!</v>
      </c>
      <c r="Q381">
        <v>2.69</v>
      </c>
      <c r="R381" s="154" t="e">
        <f t="shared" si="50"/>
        <v>#VALUE!</v>
      </c>
      <c r="S381">
        <v>2.69</v>
      </c>
      <c r="T381" s="154" t="e">
        <f t="shared" si="51"/>
        <v>#VALUE!</v>
      </c>
      <c r="U381">
        <v>2.69</v>
      </c>
      <c r="V381" s="154" t="e">
        <f t="shared" si="52"/>
        <v>#VALUE!</v>
      </c>
      <c r="W381">
        <v>2.69</v>
      </c>
      <c r="X381" s="157" t="e">
        <f t="shared" si="53"/>
        <v>#VALUE!</v>
      </c>
      <c r="Y381">
        <v>2.69</v>
      </c>
      <c r="Z381" s="154" t="e">
        <f t="shared" si="54"/>
        <v>#VALUE!</v>
      </c>
      <c r="AA381">
        <v>2.69</v>
      </c>
      <c r="AB381" s="154" t="e">
        <f t="shared" si="55"/>
        <v>#VALUE!</v>
      </c>
      <c r="AC381">
        <v>2.69</v>
      </c>
      <c r="AD381" s="154" t="e">
        <f t="shared" si="56"/>
        <v>#VALUE!</v>
      </c>
      <c r="AE381">
        <v>2.69</v>
      </c>
    </row>
    <row r="382" spans="12:31" ht="15" x14ac:dyDescent="0.2">
      <c r="L382" s="154" t="e">
        <f t="shared" si="47"/>
        <v>#VALUE!</v>
      </c>
      <c r="M382">
        <v>2.7</v>
      </c>
      <c r="N382" s="154" t="e">
        <f t="shared" si="48"/>
        <v>#VALUE!</v>
      </c>
      <c r="O382">
        <v>2.7</v>
      </c>
      <c r="P382" s="154" t="e">
        <f t="shared" si="49"/>
        <v>#VALUE!</v>
      </c>
      <c r="Q382">
        <v>2.7</v>
      </c>
      <c r="R382" s="154" t="e">
        <f t="shared" si="50"/>
        <v>#VALUE!</v>
      </c>
      <c r="S382">
        <v>2.7</v>
      </c>
      <c r="T382" s="154" t="e">
        <f t="shared" si="51"/>
        <v>#VALUE!</v>
      </c>
      <c r="U382">
        <v>2.7</v>
      </c>
      <c r="V382" s="154" t="e">
        <f t="shared" si="52"/>
        <v>#VALUE!</v>
      </c>
      <c r="W382">
        <v>2.7</v>
      </c>
      <c r="X382" s="157" t="e">
        <f t="shared" si="53"/>
        <v>#VALUE!</v>
      </c>
      <c r="Y382">
        <v>2.7</v>
      </c>
      <c r="Z382" s="154" t="e">
        <f t="shared" si="54"/>
        <v>#VALUE!</v>
      </c>
      <c r="AA382">
        <v>2.7</v>
      </c>
      <c r="AB382" s="154" t="e">
        <f t="shared" si="55"/>
        <v>#VALUE!</v>
      </c>
      <c r="AC382">
        <v>2.7</v>
      </c>
      <c r="AD382" s="154" t="e">
        <f t="shared" si="56"/>
        <v>#VALUE!</v>
      </c>
      <c r="AE382">
        <v>2.7</v>
      </c>
    </row>
    <row r="383" spans="12:31" ht="15" x14ac:dyDescent="0.2">
      <c r="L383" s="154" t="e">
        <f t="shared" si="47"/>
        <v>#VALUE!</v>
      </c>
      <c r="M383">
        <v>2.71</v>
      </c>
      <c r="N383" s="154" t="e">
        <f t="shared" si="48"/>
        <v>#VALUE!</v>
      </c>
      <c r="O383">
        <v>2.71</v>
      </c>
      <c r="P383" s="154" t="e">
        <f t="shared" si="49"/>
        <v>#VALUE!</v>
      </c>
      <c r="Q383">
        <v>2.71</v>
      </c>
      <c r="R383" s="154" t="e">
        <f t="shared" si="50"/>
        <v>#VALUE!</v>
      </c>
      <c r="S383">
        <v>2.71</v>
      </c>
      <c r="T383" s="154" t="e">
        <f t="shared" si="51"/>
        <v>#VALUE!</v>
      </c>
      <c r="U383">
        <v>2.71</v>
      </c>
      <c r="V383" s="154" t="e">
        <f t="shared" si="52"/>
        <v>#VALUE!</v>
      </c>
      <c r="W383">
        <v>2.71</v>
      </c>
      <c r="X383" s="157" t="e">
        <f t="shared" si="53"/>
        <v>#VALUE!</v>
      </c>
      <c r="Y383">
        <v>2.71</v>
      </c>
      <c r="Z383" s="154" t="e">
        <f t="shared" si="54"/>
        <v>#VALUE!</v>
      </c>
      <c r="AA383">
        <v>2.71</v>
      </c>
      <c r="AB383" s="154" t="e">
        <f t="shared" si="55"/>
        <v>#VALUE!</v>
      </c>
      <c r="AC383">
        <v>2.71</v>
      </c>
      <c r="AD383" s="154" t="e">
        <f t="shared" si="56"/>
        <v>#VALUE!</v>
      </c>
      <c r="AE383">
        <v>2.71</v>
      </c>
    </row>
    <row r="384" spans="12:31" ht="15" x14ac:dyDescent="0.2">
      <c r="L384" s="154" t="e">
        <f t="shared" si="47"/>
        <v>#VALUE!</v>
      </c>
      <c r="M384">
        <v>2.72</v>
      </c>
      <c r="N384" s="154" t="e">
        <f t="shared" si="48"/>
        <v>#VALUE!</v>
      </c>
      <c r="O384">
        <v>2.72</v>
      </c>
      <c r="P384" s="154" t="e">
        <f t="shared" si="49"/>
        <v>#VALUE!</v>
      </c>
      <c r="Q384">
        <v>2.72</v>
      </c>
      <c r="R384" s="154" t="e">
        <f t="shared" si="50"/>
        <v>#VALUE!</v>
      </c>
      <c r="S384">
        <v>2.72</v>
      </c>
      <c r="T384" s="154" t="e">
        <f t="shared" si="51"/>
        <v>#VALUE!</v>
      </c>
      <c r="U384">
        <v>2.72</v>
      </c>
      <c r="V384" s="154" t="e">
        <f t="shared" si="52"/>
        <v>#VALUE!</v>
      </c>
      <c r="W384">
        <v>2.72</v>
      </c>
      <c r="X384" s="157" t="e">
        <f t="shared" si="53"/>
        <v>#VALUE!</v>
      </c>
      <c r="Y384">
        <v>2.72</v>
      </c>
      <c r="Z384" s="154" t="e">
        <f t="shared" si="54"/>
        <v>#VALUE!</v>
      </c>
      <c r="AA384">
        <v>2.72</v>
      </c>
      <c r="AB384" s="154" t="e">
        <f t="shared" si="55"/>
        <v>#VALUE!</v>
      </c>
      <c r="AC384">
        <v>2.72</v>
      </c>
      <c r="AD384" s="154" t="e">
        <f t="shared" si="56"/>
        <v>#VALUE!</v>
      </c>
      <c r="AE384">
        <v>2.72</v>
      </c>
    </row>
    <row r="385" spans="12:31" ht="15" x14ac:dyDescent="0.2">
      <c r="L385" s="154" t="e">
        <f t="shared" si="47"/>
        <v>#VALUE!</v>
      </c>
      <c r="M385">
        <v>2.73</v>
      </c>
      <c r="N385" s="154" t="e">
        <f t="shared" si="48"/>
        <v>#VALUE!</v>
      </c>
      <c r="O385">
        <v>2.73</v>
      </c>
      <c r="P385" s="154" t="e">
        <f t="shared" si="49"/>
        <v>#VALUE!</v>
      </c>
      <c r="Q385">
        <v>2.73</v>
      </c>
      <c r="R385" s="154" t="e">
        <f t="shared" si="50"/>
        <v>#VALUE!</v>
      </c>
      <c r="S385">
        <v>2.73</v>
      </c>
      <c r="T385" s="154" t="e">
        <f t="shared" si="51"/>
        <v>#VALUE!</v>
      </c>
      <c r="U385">
        <v>2.73</v>
      </c>
      <c r="V385" s="154" t="e">
        <f t="shared" si="52"/>
        <v>#VALUE!</v>
      </c>
      <c r="W385">
        <v>2.73</v>
      </c>
      <c r="X385" s="157" t="e">
        <f t="shared" si="53"/>
        <v>#VALUE!</v>
      </c>
      <c r="Y385">
        <v>2.73</v>
      </c>
      <c r="Z385" s="154" t="e">
        <f t="shared" si="54"/>
        <v>#VALUE!</v>
      </c>
      <c r="AA385">
        <v>2.73</v>
      </c>
      <c r="AB385" s="154" t="e">
        <f t="shared" si="55"/>
        <v>#VALUE!</v>
      </c>
      <c r="AC385">
        <v>2.73</v>
      </c>
      <c r="AD385" s="154" t="e">
        <f t="shared" si="56"/>
        <v>#VALUE!</v>
      </c>
      <c r="AE385">
        <v>2.73</v>
      </c>
    </row>
    <row r="386" spans="12:31" ht="15" x14ac:dyDescent="0.2">
      <c r="L386" s="154" t="e">
        <f t="shared" si="47"/>
        <v>#VALUE!</v>
      </c>
      <c r="M386">
        <v>2.74</v>
      </c>
      <c r="N386" s="154" t="e">
        <f t="shared" si="48"/>
        <v>#VALUE!</v>
      </c>
      <c r="O386">
        <v>2.74</v>
      </c>
      <c r="P386" s="154" t="e">
        <f t="shared" si="49"/>
        <v>#VALUE!</v>
      </c>
      <c r="Q386">
        <v>2.74</v>
      </c>
      <c r="R386" s="154" t="e">
        <f t="shared" si="50"/>
        <v>#VALUE!</v>
      </c>
      <c r="S386">
        <v>2.74</v>
      </c>
      <c r="T386" s="154" t="e">
        <f t="shared" si="51"/>
        <v>#VALUE!</v>
      </c>
      <c r="U386">
        <v>2.74</v>
      </c>
      <c r="V386" s="154" t="e">
        <f t="shared" si="52"/>
        <v>#VALUE!</v>
      </c>
      <c r="W386">
        <v>2.74</v>
      </c>
      <c r="X386" s="157" t="e">
        <f t="shared" si="53"/>
        <v>#VALUE!</v>
      </c>
      <c r="Y386">
        <v>2.74</v>
      </c>
      <c r="Z386" s="154" t="e">
        <f t="shared" si="54"/>
        <v>#VALUE!</v>
      </c>
      <c r="AA386">
        <v>2.74</v>
      </c>
      <c r="AB386" s="154" t="e">
        <f t="shared" si="55"/>
        <v>#VALUE!</v>
      </c>
      <c r="AC386">
        <v>2.74</v>
      </c>
      <c r="AD386" s="154" t="e">
        <f t="shared" si="56"/>
        <v>#VALUE!</v>
      </c>
      <c r="AE386">
        <v>2.74</v>
      </c>
    </row>
    <row r="387" spans="12:31" ht="15" x14ac:dyDescent="0.2">
      <c r="L387" s="154" t="e">
        <f t="shared" si="47"/>
        <v>#VALUE!</v>
      </c>
      <c r="M387">
        <v>2.75</v>
      </c>
      <c r="N387" s="154" t="e">
        <f t="shared" si="48"/>
        <v>#VALUE!</v>
      </c>
      <c r="O387">
        <v>2.75</v>
      </c>
      <c r="P387" s="154" t="e">
        <f t="shared" si="49"/>
        <v>#VALUE!</v>
      </c>
      <c r="Q387">
        <v>2.75</v>
      </c>
      <c r="R387" s="154" t="e">
        <f t="shared" si="50"/>
        <v>#VALUE!</v>
      </c>
      <c r="S387">
        <v>2.75</v>
      </c>
      <c r="T387" s="154" t="e">
        <f t="shared" si="51"/>
        <v>#VALUE!</v>
      </c>
      <c r="U387">
        <v>2.75</v>
      </c>
      <c r="V387" s="154" t="e">
        <f t="shared" si="52"/>
        <v>#VALUE!</v>
      </c>
      <c r="W387">
        <v>2.75</v>
      </c>
      <c r="X387" s="157" t="e">
        <f t="shared" si="53"/>
        <v>#VALUE!</v>
      </c>
      <c r="Y387">
        <v>2.75</v>
      </c>
      <c r="Z387" s="154" t="e">
        <f t="shared" si="54"/>
        <v>#VALUE!</v>
      </c>
      <c r="AA387">
        <v>2.75</v>
      </c>
      <c r="AB387" s="154" t="e">
        <f t="shared" si="55"/>
        <v>#VALUE!</v>
      </c>
      <c r="AC387">
        <v>2.75</v>
      </c>
      <c r="AD387" s="154" t="e">
        <f t="shared" si="56"/>
        <v>#VALUE!</v>
      </c>
      <c r="AE387">
        <v>2.75</v>
      </c>
    </row>
    <row r="388" spans="12:31" ht="15" x14ac:dyDescent="0.2">
      <c r="L388" s="154" t="e">
        <f t="shared" si="47"/>
        <v>#VALUE!</v>
      </c>
      <c r="M388">
        <v>2.76</v>
      </c>
      <c r="N388" s="154" t="e">
        <f t="shared" si="48"/>
        <v>#VALUE!</v>
      </c>
      <c r="O388">
        <v>2.76</v>
      </c>
      <c r="P388" s="154" t="e">
        <f t="shared" si="49"/>
        <v>#VALUE!</v>
      </c>
      <c r="Q388">
        <v>2.76</v>
      </c>
      <c r="R388" s="154" t="e">
        <f t="shared" si="50"/>
        <v>#VALUE!</v>
      </c>
      <c r="S388">
        <v>2.76</v>
      </c>
      <c r="T388" s="154" t="e">
        <f t="shared" si="51"/>
        <v>#VALUE!</v>
      </c>
      <c r="U388">
        <v>2.76</v>
      </c>
      <c r="V388" s="154" t="e">
        <f t="shared" si="52"/>
        <v>#VALUE!</v>
      </c>
      <c r="W388">
        <v>2.76</v>
      </c>
      <c r="X388" s="157" t="e">
        <f t="shared" si="53"/>
        <v>#VALUE!</v>
      </c>
      <c r="Y388">
        <v>2.76</v>
      </c>
      <c r="Z388" s="154" t="e">
        <f t="shared" si="54"/>
        <v>#VALUE!</v>
      </c>
      <c r="AA388">
        <v>2.76</v>
      </c>
      <c r="AB388" s="154" t="e">
        <f t="shared" si="55"/>
        <v>#VALUE!</v>
      </c>
      <c r="AC388">
        <v>2.76</v>
      </c>
      <c r="AD388" s="154" t="e">
        <f t="shared" si="56"/>
        <v>#VALUE!</v>
      </c>
      <c r="AE388">
        <v>2.76</v>
      </c>
    </row>
    <row r="389" spans="12:31" ht="15" x14ac:dyDescent="0.2">
      <c r="L389" s="154" t="e">
        <f t="shared" si="47"/>
        <v>#VALUE!</v>
      </c>
      <c r="M389">
        <v>2.77</v>
      </c>
      <c r="N389" s="154" t="e">
        <f t="shared" si="48"/>
        <v>#VALUE!</v>
      </c>
      <c r="O389">
        <v>2.77</v>
      </c>
      <c r="P389" s="154" t="e">
        <f t="shared" si="49"/>
        <v>#VALUE!</v>
      </c>
      <c r="Q389">
        <v>2.77</v>
      </c>
      <c r="R389" s="154" t="e">
        <f t="shared" si="50"/>
        <v>#VALUE!</v>
      </c>
      <c r="S389">
        <v>2.77</v>
      </c>
      <c r="T389" s="154" t="e">
        <f t="shared" si="51"/>
        <v>#VALUE!</v>
      </c>
      <c r="U389">
        <v>2.77</v>
      </c>
      <c r="V389" s="154" t="e">
        <f t="shared" si="52"/>
        <v>#VALUE!</v>
      </c>
      <c r="W389">
        <v>2.77</v>
      </c>
      <c r="X389" s="157" t="e">
        <f t="shared" si="53"/>
        <v>#VALUE!</v>
      </c>
      <c r="Y389">
        <v>2.77</v>
      </c>
      <c r="Z389" s="154" t="e">
        <f t="shared" si="54"/>
        <v>#VALUE!</v>
      </c>
      <c r="AA389">
        <v>2.77</v>
      </c>
      <c r="AB389" s="154" t="e">
        <f t="shared" si="55"/>
        <v>#VALUE!</v>
      </c>
      <c r="AC389">
        <v>2.77</v>
      </c>
      <c r="AD389" s="154" t="e">
        <f t="shared" si="56"/>
        <v>#VALUE!</v>
      </c>
      <c r="AE389">
        <v>2.77</v>
      </c>
    </row>
    <row r="390" spans="12:31" ht="15" x14ac:dyDescent="0.2">
      <c r="L390" s="154" t="e">
        <f t="shared" si="47"/>
        <v>#VALUE!</v>
      </c>
      <c r="M390">
        <v>2.78</v>
      </c>
      <c r="N390" s="154" t="e">
        <f t="shared" si="48"/>
        <v>#VALUE!</v>
      </c>
      <c r="O390">
        <v>2.78</v>
      </c>
      <c r="P390" s="154" t="e">
        <f t="shared" si="49"/>
        <v>#VALUE!</v>
      </c>
      <c r="Q390">
        <v>2.78</v>
      </c>
      <c r="R390" s="154" t="e">
        <f t="shared" si="50"/>
        <v>#VALUE!</v>
      </c>
      <c r="S390">
        <v>2.78</v>
      </c>
      <c r="T390" s="154" t="e">
        <f t="shared" si="51"/>
        <v>#VALUE!</v>
      </c>
      <c r="U390">
        <v>2.78</v>
      </c>
      <c r="V390" s="154" t="e">
        <f t="shared" si="52"/>
        <v>#VALUE!</v>
      </c>
      <c r="W390">
        <v>2.78</v>
      </c>
      <c r="X390" s="157" t="e">
        <f t="shared" si="53"/>
        <v>#VALUE!</v>
      </c>
      <c r="Y390">
        <v>2.78</v>
      </c>
      <c r="Z390" s="154" t="e">
        <f t="shared" si="54"/>
        <v>#VALUE!</v>
      </c>
      <c r="AA390">
        <v>2.78</v>
      </c>
      <c r="AB390" s="154" t="e">
        <f t="shared" si="55"/>
        <v>#VALUE!</v>
      </c>
      <c r="AC390">
        <v>2.78</v>
      </c>
      <c r="AD390" s="154" t="e">
        <f t="shared" si="56"/>
        <v>#VALUE!</v>
      </c>
      <c r="AE390">
        <v>2.78</v>
      </c>
    </row>
    <row r="391" spans="12:31" ht="15" x14ac:dyDescent="0.2">
      <c r="L391" s="154" t="e">
        <f t="shared" si="47"/>
        <v>#VALUE!</v>
      </c>
      <c r="M391">
        <v>2.79</v>
      </c>
      <c r="N391" s="154" t="e">
        <f t="shared" si="48"/>
        <v>#VALUE!</v>
      </c>
      <c r="O391">
        <v>2.79</v>
      </c>
      <c r="P391" s="154" t="e">
        <f t="shared" si="49"/>
        <v>#VALUE!</v>
      </c>
      <c r="Q391">
        <v>2.79</v>
      </c>
      <c r="R391" s="154" t="e">
        <f t="shared" si="50"/>
        <v>#VALUE!</v>
      </c>
      <c r="S391">
        <v>2.79</v>
      </c>
      <c r="T391" s="154" t="e">
        <f t="shared" si="51"/>
        <v>#VALUE!</v>
      </c>
      <c r="U391">
        <v>2.79</v>
      </c>
      <c r="V391" s="154" t="e">
        <f t="shared" si="52"/>
        <v>#VALUE!</v>
      </c>
      <c r="W391">
        <v>2.79</v>
      </c>
      <c r="X391" s="157" t="e">
        <f t="shared" si="53"/>
        <v>#VALUE!</v>
      </c>
      <c r="Y391">
        <v>2.79</v>
      </c>
      <c r="Z391" s="154" t="e">
        <f t="shared" si="54"/>
        <v>#VALUE!</v>
      </c>
      <c r="AA391">
        <v>2.79</v>
      </c>
      <c r="AB391" s="154" t="e">
        <f t="shared" si="55"/>
        <v>#VALUE!</v>
      </c>
      <c r="AC391">
        <v>2.79</v>
      </c>
      <c r="AD391" s="154" t="e">
        <f t="shared" si="56"/>
        <v>#VALUE!</v>
      </c>
      <c r="AE391">
        <v>2.79</v>
      </c>
    </row>
    <row r="392" spans="12:31" ht="15" x14ac:dyDescent="0.2">
      <c r="L392" s="154" t="e">
        <f t="shared" si="47"/>
        <v>#VALUE!</v>
      </c>
      <c r="M392">
        <v>2.8</v>
      </c>
      <c r="N392" s="154" t="e">
        <f t="shared" si="48"/>
        <v>#VALUE!</v>
      </c>
      <c r="O392">
        <v>2.8</v>
      </c>
      <c r="P392" s="154" t="e">
        <f t="shared" si="49"/>
        <v>#VALUE!</v>
      </c>
      <c r="Q392">
        <v>2.8</v>
      </c>
      <c r="R392" s="154" t="e">
        <f t="shared" si="50"/>
        <v>#VALUE!</v>
      </c>
      <c r="S392">
        <v>2.8</v>
      </c>
      <c r="T392" s="154" t="e">
        <f t="shared" si="51"/>
        <v>#VALUE!</v>
      </c>
      <c r="U392">
        <v>2.8</v>
      </c>
      <c r="V392" s="154" t="e">
        <f t="shared" si="52"/>
        <v>#VALUE!</v>
      </c>
      <c r="W392">
        <v>2.8</v>
      </c>
      <c r="X392" s="157" t="e">
        <f t="shared" si="53"/>
        <v>#VALUE!</v>
      </c>
      <c r="Y392">
        <v>2.8</v>
      </c>
      <c r="Z392" s="154" t="e">
        <f t="shared" si="54"/>
        <v>#VALUE!</v>
      </c>
      <c r="AA392">
        <v>2.8</v>
      </c>
      <c r="AB392" s="154" t="e">
        <f t="shared" si="55"/>
        <v>#VALUE!</v>
      </c>
      <c r="AC392">
        <v>2.8</v>
      </c>
      <c r="AD392" s="154" t="e">
        <f t="shared" si="56"/>
        <v>#VALUE!</v>
      </c>
      <c r="AE392">
        <v>2.8</v>
      </c>
    </row>
    <row r="393" spans="12:31" ht="15" x14ac:dyDescent="0.2">
      <c r="L393" s="154" t="e">
        <f t="shared" si="47"/>
        <v>#VALUE!</v>
      </c>
      <c r="M393">
        <v>2.81</v>
      </c>
      <c r="N393" s="154" t="e">
        <f t="shared" si="48"/>
        <v>#VALUE!</v>
      </c>
      <c r="O393">
        <v>2.81</v>
      </c>
      <c r="P393" s="154" t="e">
        <f t="shared" si="49"/>
        <v>#VALUE!</v>
      </c>
      <c r="Q393">
        <v>2.81</v>
      </c>
      <c r="R393" s="154" t="e">
        <f t="shared" si="50"/>
        <v>#VALUE!</v>
      </c>
      <c r="S393">
        <v>2.81</v>
      </c>
      <c r="T393" s="154" t="e">
        <f t="shared" si="51"/>
        <v>#VALUE!</v>
      </c>
      <c r="U393">
        <v>2.81</v>
      </c>
      <c r="V393" s="154" t="e">
        <f t="shared" si="52"/>
        <v>#VALUE!</v>
      </c>
      <c r="W393">
        <v>2.81</v>
      </c>
      <c r="X393" s="157" t="e">
        <f t="shared" si="53"/>
        <v>#VALUE!</v>
      </c>
      <c r="Y393">
        <v>2.81</v>
      </c>
      <c r="Z393" s="154" t="e">
        <f t="shared" si="54"/>
        <v>#VALUE!</v>
      </c>
      <c r="AA393">
        <v>2.81</v>
      </c>
      <c r="AB393" s="154" t="e">
        <f t="shared" si="55"/>
        <v>#VALUE!</v>
      </c>
      <c r="AC393">
        <v>2.81</v>
      </c>
      <c r="AD393" s="154" t="e">
        <f t="shared" si="56"/>
        <v>#VALUE!</v>
      </c>
      <c r="AE393">
        <v>2.81</v>
      </c>
    </row>
    <row r="394" spans="12:31" ht="15" x14ac:dyDescent="0.2">
      <c r="L394" s="154" t="e">
        <f t="shared" si="47"/>
        <v>#VALUE!</v>
      </c>
      <c r="M394">
        <v>2.82</v>
      </c>
      <c r="N394" s="154" t="e">
        <f t="shared" si="48"/>
        <v>#VALUE!</v>
      </c>
      <c r="O394">
        <v>2.82</v>
      </c>
      <c r="P394" s="154" t="e">
        <f t="shared" si="49"/>
        <v>#VALUE!</v>
      </c>
      <c r="Q394">
        <v>2.82</v>
      </c>
      <c r="R394" s="154" t="e">
        <f t="shared" si="50"/>
        <v>#VALUE!</v>
      </c>
      <c r="S394">
        <v>2.82</v>
      </c>
      <c r="T394" s="154" t="e">
        <f t="shared" si="51"/>
        <v>#VALUE!</v>
      </c>
      <c r="U394">
        <v>2.82</v>
      </c>
      <c r="V394" s="154" t="e">
        <f t="shared" si="52"/>
        <v>#VALUE!</v>
      </c>
      <c r="W394">
        <v>2.82</v>
      </c>
      <c r="X394" s="157" t="e">
        <f t="shared" si="53"/>
        <v>#VALUE!</v>
      </c>
      <c r="Y394">
        <v>2.82</v>
      </c>
      <c r="Z394" s="154" t="e">
        <f t="shared" si="54"/>
        <v>#VALUE!</v>
      </c>
      <c r="AA394">
        <v>2.82</v>
      </c>
      <c r="AB394" s="154" t="e">
        <f t="shared" si="55"/>
        <v>#VALUE!</v>
      </c>
      <c r="AC394">
        <v>2.82</v>
      </c>
      <c r="AD394" s="154" t="e">
        <f t="shared" si="56"/>
        <v>#VALUE!</v>
      </c>
      <c r="AE394">
        <v>2.82</v>
      </c>
    </row>
    <row r="395" spans="12:31" ht="15" x14ac:dyDescent="0.2">
      <c r="L395" s="154" t="e">
        <f t="shared" si="47"/>
        <v>#VALUE!</v>
      </c>
      <c r="M395">
        <v>2.83</v>
      </c>
      <c r="N395" s="154" t="e">
        <f t="shared" si="48"/>
        <v>#VALUE!</v>
      </c>
      <c r="O395">
        <v>2.83</v>
      </c>
      <c r="P395" s="154" t="e">
        <f t="shared" si="49"/>
        <v>#VALUE!</v>
      </c>
      <c r="Q395">
        <v>2.83</v>
      </c>
      <c r="R395" s="154" t="e">
        <f t="shared" si="50"/>
        <v>#VALUE!</v>
      </c>
      <c r="S395">
        <v>2.83</v>
      </c>
      <c r="T395" s="154" t="e">
        <f t="shared" si="51"/>
        <v>#VALUE!</v>
      </c>
      <c r="U395">
        <v>2.83</v>
      </c>
      <c r="V395" s="154" t="e">
        <f t="shared" si="52"/>
        <v>#VALUE!</v>
      </c>
      <c r="W395">
        <v>2.83</v>
      </c>
      <c r="X395" s="157" t="e">
        <f t="shared" si="53"/>
        <v>#VALUE!</v>
      </c>
      <c r="Y395">
        <v>2.83</v>
      </c>
      <c r="Z395" s="154" t="e">
        <f t="shared" si="54"/>
        <v>#VALUE!</v>
      </c>
      <c r="AA395">
        <v>2.83</v>
      </c>
      <c r="AB395" s="154" t="e">
        <f t="shared" si="55"/>
        <v>#VALUE!</v>
      </c>
      <c r="AC395">
        <v>2.83</v>
      </c>
      <c r="AD395" s="154" t="e">
        <f t="shared" si="56"/>
        <v>#VALUE!</v>
      </c>
      <c r="AE395">
        <v>2.83</v>
      </c>
    </row>
    <row r="396" spans="12:31" ht="15" x14ac:dyDescent="0.2">
      <c r="L396" s="154" t="e">
        <f t="shared" si="47"/>
        <v>#VALUE!</v>
      </c>
      <c r="M396">
        <v>2.84</v>
      </c>
      <c r="N396" s="154" t="e">
        <f t="shared" si="48"/>
        <v>#VALUE!</v>
      </c>
      <c r="O396">
        <v>2.84</v>
      </c>
      <c r="P396" s="154" t="e">
        <f t="shared" si="49"/>
        <v>#VALUE!</v>
      </c>
      <c r="Q396">
        <v>2.84</v>
      </c>
      <c r="R396" s="154" t="e">
        <f t="shared" si="50"/>
        <v>#VALUE!</v>
      </c>
      <c r="S396">
        <v>2.84</v>
      </c>
      <c r="T396" s="154" t="e">
        <f t="shared" si="51"/>
        <v>#VALUE!</v>
      </c>
      <c r="U396">
        <v>2.84</v>
      </c>
      <c r="V396" s="154" t="e">
        <f t="shared" si="52"/>
        <v>#VALUE!</v>
      </c>
      <c r="W396">
        <v>2.84</v>
      </c>
      <c r="X396" s="157" t="e">
        <f t="shared" si="53"/>
        <v>#VALUE!</v>
      </c>
      <c r="Y396">
        <v>2.84</v>
      </c>
      <c r="Z396" s="154" t="e">
        <f t="shared" si="54"/>
        <v>#VALUE!</v>
      </c>
      <c r="AA396">
        <v>2.84</v>
      </c>
      <c r="AB396" s="154" t="e">
        <f t="shared" si="55"/>
        <v>#VALUE!</v>
      </c>
      <c r="AC396">
        <v>2.84</v>
      </c>
      <c r="AD396" s="154" t="e">
        <f t="shared" si="56"/>
        <v>#VALUE!</v>
      </c>
      <c r="AE396">
        <v>2.84</v>
      </c>
    </row>
    <row r="397" spans="12:31" ht="15" x14ac:dyDescent="0.2">
      <c r="L397" s="154" t="e">
        <f t="shared" si="47"/>
        <v>#VALUE!</v>
      </c>
      <c r="M397">
        <v>2.85</v>
      </c>
      <c r="N397" s="154" t="e">
        <f t="shared" si="48"/>
        <v>#VALUE!</v>
      </c>
      <c r="O397">
        <v>2.85</v>
      </c>
      <c r="P397" s="154" t="e">
        <f t="shared" si="49"/>
        <v>#VALUE!</v>
      </c>
      <c r="Q397">
        <v>2.85</v>
      </c>
      <c r="R397" s="154" t="e">
        <f t="shared" si="50"/>
        <v>#VALUE!</v>
      </c>
      <c r="S397">
        <v>2.85</v>
      </c>
      <c r="T397" s="154" t="e">
        <f t="shared" si="51"/>
        <v>#VALUE!</v>
      </c>
      <c r="U397">
        <v>2.85</v>
      </c>
      <c r="V397" s="154" t="e">
        <f t="shared" si="52"/>
        <v>#VALUE!</v>
      </c>
      <c r="W397">
        <v>2.85</v>
      </c>
      <c r="X397" s="157" t="e">
        <f t="shared" si="53"/>
        <v>#VALUE!</v>
      </c>
      <c r="Y397">
        <v>2.85</v>
      </c>
      <c r="Z397" s="154" t="e">
        <f t="shared" si="54"/>
        <v>#VALUE!</v>
      </c>
      <c r="AA397">
        <v>2.85</v>
      </c>
      <c r="AB397" s="154" t="e">
        <f t="shared" si="55"/>
        <v>#VALUE!</v>
      </c>
      <c r="AC397">
        <v>2.85</v>
      </c>
      <c r="AD397" s="154" t="e">
        <f t="shared" si="56"/>
        <v>#VALUE!</v>
      </c>
      <c r="AE397">
        <v>2.85</v>
      </c>
    </row>
    <row r="398" spans="12:31" ht="15" x14ac:dyDescent="0.2">
      <c r="L398" s="154" t="e">
        <f t="shared" si="47"/>
        <v>#VALUE!</v>
      </c>
      <c r="M398">
        <v>2.86</v>
      </c>
      <c r="N398" s="154" t="e">
        <f t="shared" si="48"/>
        <v>#VALUE!</v>
      </c>
      <c r="O398">
        <v>2.86</v>
      </c>
      <c r="P398" s="154" t="e">
        <f t="shared" si="49"/>
        <v>#VALUE!</v>
      </c>
      <c r="Q398">
        <v>2.86</v>
      </c>
      <c r="R398" s="154" t="e">
        <f t="shared" si="50"/>
        <v>#VALUE!</v>
      </c>
      <c r="S398">
        <v>2.86</v>
      </c>
      <c r="T398" s="154" t="e">
        <f t="shared" si="51"/>
        <v>#VALUE!</v>
      </c>
      <c r="U398">
        <v>2.86</v>
      </c>
      <c r="V398" s="154" t="e">
        <f t="shared" si="52"/>
        <v>#VALUE!</v>
      </c>
      <c r="W398">
        <v>2.86</v>
      </c>
      <c r="X398" s="157" t="e">
        <f t="shared" si="53"/>
        <v>#VALUE!</v>
      </c>
      <c r="Y398">
        <v>2.86</v>
      </c>
      <c r="Z398" s="154" t="e">
        <f t="shared" si="54"/>
        <v>#VALUE!</v>
      </c>
      <c r="AA398">
        <v>2.86</v>
      </c>
      <c r="AB398" s="154" t="e">
        <f t="shared" si="55"/>
        <v>#VALUE!</v>
      </c>
      <c r="AC398">
        <v>2.86</v>
      </c>
      <c r="AD398" s="154" t="e">
        <f t="shared" si="56"/>
        <v>#VALUE!</v>
      </c>
      <c r="AE398">
        <v>2.86</v>
      </c>
    </row>
    <row r="399" spans="12:31" ht="15" x14ac:dyDescent="0.2">
      <c r="L399" s="154" t="e">
        <f t="shared" si="47"/>
        <v>#VALUE!</v>
      </c>
      <c r="M399">
        <v>2.87</v>
      </c>
      <c r="N399" s="154" t="e">
        <f t="shared" si="48"/>
        <v>#VALUE!</v>
      </c>
      <c r="O399">
        <v>2.87</v>
      </c>
      <c r="P399" s="154" t="e">
        <f t="shared" si="49"/>
        <v>#VALUE!</v>
      </c>
      <c r="Q399">
        <v>2.87</v>
      </c>
      <c r="R399" s="154" t="e">
        <f t="shared" si="50"/>
        <v>#VALUE!</v>
      </c>
      <c r="S399">
        <v>2.87</v>
      </c>
      <c r="T399" s="154" t="e">
        <f t="shared" si="51"/>
        <v>#VALUE!</v>
      </c>
      <c r="U399">
        <v>2.87</v>
      </c>
      <c r="V399" s="154" t="e">
        <f t="shared" si="52"/>
        <v>#VALUE!</v>
      </c>
      <c r="W399">
        <v>2.87</v>
      </c>
      <c r="X399" s="157" t="e">
        <f t="shared" si="53"/>
        <v>#VALUE!</v>
      </c>
      <c r="Y399">
        <v>2.87</v>
      </c>
      <c r="Z399" s="154" t="e">
        <f t="shared" si="54"/>
        <v>#VALUE!</v>
      </c>
      <c r="AA399">
        <v>2.87</v>
      </c>
      <c r="AB399" s="154" t="e">
        <f t="shared" si="55"/>
        <v>#VALUE!</v>
      </c>
      <c r="AC399">
        <v>2.87</v>
      </c>
      <c r="AD399" s="154" t="e">
        <f t="shared" si="56"/>
        <v>#VALUE!</v>
      </c>
      <c r="AE399">
        <v>2.87</v>
      </c>
    </row>
    <row r="400" spans="12:31" ht="15" x14ac:dyDescent="0.2">
      <c r="L400" s="154" t="e">
        <f t="shared" si="47"/>
        <v>#VALUE!</v>
      </c>
      <c r="M400">
        <v>2.88</v>
      </c>
      <c r="N400" s="154" t="e">
        <f t="shared" si="48"/>
        <v>#VALUE!</v>
      </c>
      <c r="O400">
        <v>2.88</v>
      </c>
      <c r="P400" s="154" t="e">
        <f t="shared" si="49"/>
        <v>#VALUE!</v>
      </c>
      <c r="Q400">
        <v>2.88</v>
      </c>
      <c r="R400" s="154" t="e">
        <f t="shared" si="50"/>
        <v>#VALUE!</v>
      </c>
      <c r="S400">
        <v>2.88</v>
      </c>
      <c r="T400" s="154" t="e">
        <f t="shared" si="51"/>
        <v>#VALUE!</v>
      </c>
      <c r="U400">
        <v>2.88</v>
      </c>
      <c r="V400" s="154" t="e">
        <f t="shared" si="52"/>
        <v>#VALUE!</v>
      </c>
      <c r="W400">
        <v>2.88</v>
      </c>
      <c r="X400" s="157" t="e">
        <f t="shared" si="53"/>
        <v>#VALUE!</v>
      </c>
      <c r="Y400">
        <v>2.88</v>
      </c>
      <c r="Z400" s="154" t="e">
        <f t="shared" si="54"/>
        <v>#VALUE!</v>
      </c>
      <c r="AA400">
        <v>2.88</v>
      </c>
      <c r="AB400" s="154" t="e">
        <f t="shared" si="55"/>
        <v>#VALUE!</v>
      </c>
      <c r="AC400">
        <v>2.88</v>
      </c>
      <c r="AD400" s="154" t="e">
        <f t="shared" si="56"/>
        <v>#VALUE!</v>
      </c>
      <c r="AE400">
        <v>2.88</v>
      </c>
    </row>
    <row r="401" spans="12:31" ht="15" x14ac:dyDescent="0.2">
      <c r="L401" s="154" t="e">
        <f t="shared" si="47"/>
        <v>#VALUE!</v>
      </c>
      <c r="M401">
        <v>2.89</v>
      </c>
      <c r="N401" s="154" t="e">
        <f t="shared" si="48"/>
        <v>#VALUE!</v>
      </c>
      <c r="O401">
        <v>2.89</v>
      </c>
      <c r="P401" s="154" t="e">
        <f t="shared" si="49"/>
        <v>#VALUE!</v>
      </c>
      <c r="Q401">
        <v>2.89</v>
      </c>
      <c r="R401" s="154" t="e">
        <f t="shared" si="50"/>
        <v>#VALUE!</v>
      </c>
      <c r="S401">
        <v>2.89</v>
      </c>
      <c r="T401" s="154" t="e">
        <f t="shared" si="51"/>
        <v>#VALUE!</v>
      </c>
      <c r="U401">
        <v>2.89</v>
      </c>
      <c r="V401" s="154" t="e">
        <f t="shared" si="52"/>
        <v>#VALUE!</v>
      </c>
      <c r="W401">
        <v>2.89</v>
      </c>
      <c r="X401" s="157" t="e">
        <f t="shared" si="53"/>
        <v>#VALUE!</v>
      </c>
      <c r="Y401">
        <v>2.89</v>
      </c>
      <c r="Z401" s="154" t="e">
        <f t="shared" si="54"/>
        <v>#VALUE!</v>
      </c>
      <c r="AA401">
        <v>2.89</v>
      </c>
      <c r="AB401" s="154" t="e">
        <f t="shared" si="55"/>
        <v>#VALUE!</v>
      </c>
      <c r="AC401">
        <v>2.89</v>
      </c>
      <c r="AD401" s="154" t="e">
        <f t="shared" si="56"/>
        <v>#VALUE!</v>
      </c>
      <c r="AE401">
        <v>2.89</v>
      </c>
    </row>
    <row r="402" spans="12:31" ht="15" x14ac:dyDescent="0.2">
      <c r="L402" s="154" t="e">
        <f t="shared" si="47"/>
        <v>#VALUE!</v>
      </c>
      <c r="M402">
        <v>2.9</v>
      </c>
      <c r="N402" s="154" t="e">
        <f t="shared" si="48"/>
        <v>#VALUE!</v>
      </c>
      <c r="O402">
        <v>2.9</v>
      </c>
      <c r="P402" s="154" t="e">
        <f t="shared" si="49"/>
        <v>#VALUE!</v>
      </c>
      <c r="Q402">
        <v>2.9</v>
      </c>
      <c r="R402" s="154" t="e">
        <f t="shared" si="50"/>
        <v>#VALUE!</v>
      </c>
      <c r="S402">
        <v>2.9</v>
      </c>
      <c r="T402" s="154" t="e">
        <f t="shared" si="51"/>
        <v>#VALUE!</v>
      </c>
      <c r="U402">
        <v>2.9</v>
      </c>
      <c r="V402" s="154" t="e">
        <f t="shared" si="52"/>
        <v>#VALUE!</v>
      </c>
      <c r="W402">
        <v>2.9</v>
      </c>
      <c r="X402" s="157" t="e">
        <f t="shared" si="53"/>
        <v>#VALUE!</v>
      </c>
      <c r="Y402">
        <v>2.9</v>
      </c>
      <c r="Z402" s="154" t="e">
        <f t="shared" si="54"/>
        <v>#VALUE!</v>
      </c>
      <c r="AA402">
        <v>2.9</v>
      </c>
      <c r="AB402" s="154" t="e">
        <f t="shared" si="55"/>
        <v>#VALUE!</v>
      </c>
      <c r="AC402">
        <v>2.9</v>
      </c>
      <c r="AD402" s="154" t="e">
        <f t="shared" si="56"/>
        <v>#VALUE!</v>
      </c>
      <c r="AE402">
        <v>2.9</v>
      </c>
    </row>
    <row r="403" spans="12:31" ht="15" x14ac:dyDescent="0.2">
      <c r="L403" s="154" t="e">
        <f t="shared" si="47"/>
        <v>#VALUE!</v>
      </c>
      <c r="M403">
        <v>2.91</v>
      </c>
      <c r="N403" s="154" t="e">
        <f t="shared" si="48"/>
        <v>#VALUE!</v>
      </c>
      <c r="O403">
        <v>2.91</v>
      </c>
      <c r="P403" s="154" t="e">
        <f t="shared" si="49"/>
        <v>#VALUE!</v>
      </c>
      <c r="Q403">
        <v>2.91</v>
      </c>
      <c r="R403" s="154" t="e">
        <f t="shared" si="50"/>
        <v>#VALUE!</v>
      </c>
      <c r="S403">
        <v>2.91</v>
      </c>
      <c r="T403" s="154" t="e">
        <f t="shared" si="51"/>
        <v>#VALUE!</v>
      </c>
      <c r="U403">
        <v>2.91</v>
      </c>
      <c r="V403" s="154" t="e">
        <f t="shared" si="52"/>
        <v>#VALUE!</v>
      </c>
      <c r="W403">
        <v>2.91</v>
      </c>
      <c r="X403" s="157" t="e">
        <f t="shared" si="53"/>
        <v>#VALUE!</v>
      </c>
      <c r="Y403">
        <v>2.91</v>
      </c>
      <c r="Z403" s="154" t="e">
        <f t="shared" si="54"/>
        <v>#VALUE!</v>
      </c>
      <c r="AA403">
        <v>2.91</v>
      </c>
      <c r="AB403" s="154" t="e">
        <f t="shared" si="55"/>
        <v>#VALUE!</v>
      </c>
      <c r="AC403">
        <v>2.91</v>
      </c>
      <c r="AD403" s="154" t="e">
        <f t="shared" si="56"/>
        <v>#VALUE!</v>
      </c>
      <c r="AE403">
        <v>2.91</v>
      </c>
    </row>
    <row r="404" spans="12:31" ht="15" x14ac:dyDescent="0.2">
      <c r="L404" s="154" t="e">
        <f t="shared" si="47"/>
        <v>#VALUE!</v>
      </c>
      <c r="M404">
        <v>2.92</v>
      </c>
      <c r="N404" s="154" t="e">
        <f t="shared" si="48"/>
        <v>#VALUE!</v>
      </c>
      <c r="O404">
        <v>2.92</v>
      </c>
      <c r="P404" s="154" t="e">
        <f t="shared" si="49"/>
        <v>#VALUE!</v>
      </c>
      <c r="Q404">
        <v>2.92</v>
      </c>
      <c r="R404" s="154" t="e">
        <f t="shared" si="50"/>
        <v>#VALUE!</v>
      </c>
      <c r="S404">
        <v>2.92</v>
      </c>
      <c r="T404" s="154" t="e">
        <f t="shared" si="51"/>
        <v>#VALUE!</v>
      </c>
      <c r="U404">
        <v>2.92</v>
      </c>
      <c r="V404" s="154" t="e">
        <f t="shared" si="52"/>
        <v>#VALUE!</v>
      </c>
      <c r="W404">
        <v>2.92</v>
      </c>
      <c r="X404" s="157" t="e">
        <f t="shared" si="53"/>
        <v>#VALUE!</v>
      </c>
      <c r="Y404">
        <v>2.92</v>
      </c>
      <c r="Z404" s="154" t="e">
        <f t="shared" si="54"/>
        <v>#VALUE!</v>
      </c>
      <c r="AA404">
        <v>2.92</v>
      </c>
      <c r="AB404" s="154" t="e">
        <f t="shared" si="55"/>
        <v>#VALUE!</v>
      </c>
      <c r="AC404">
        <v>2.92</v>
      </c>
      <c r="AD404" s="154" t="e">
        <f t="shared" si="56"/>
        <v>#VALUE!</v>
      </c>
      <c r="AE404">
        <v>2.92</v>
      </c>
    </row>
    <row r="405" spans="12:31" ht="15" x14ac:dyDescent="0.2">
      <c r="L405" s="154" t="e">
        <f t="shared" si="47"/>
        <v>#VALUE!</v>
      </c>
      <c r="M405">
        <v>2.93</v>
      </c>
      <c r="N405" s="154" t="e">
        <f t="shared" si="48"/>
        <v>#VALUE!</v>
      </c>
      <c r="O405">
        <v>2.93</v>
      </c>
      <c r="P405" s="154" t="e">
        <f t="shared" si="49"/>
        <v>#VALUE!</v>
      </c>
      <c r="Q405">
        <v>2.93</v>
      </c>
      <c r="R405" s="154" t="e">
        <f t="shared" si="50"/>
        <v>#VALUE!</v>
      </c>
      <c r="S405">
        <v>2.93</v>
      </c>
      <c r="T405" s="154" t="e">
        <f t="shared" si="51"/>
        <v>#VALUE!</v>
      </c>
      <c r="U405">
        <v>2.93</v>
      </c>
      <c r="V405" s="154" t="e">
        <f t="shared" si="52"/>
        <v>#VALUE!</v>
      </c>
      <c r="W405">
        <v>2.93</v>
      </c>
      <c r="X405" s="157" t="e">
        <f t="shared" si="53"/>
        <v>#VALUE!</v>
      </c>
      <c r="Y405">
        <v>2.93</v>
      </c>
      <c r="Z405" s="154" t="e">
        <f t="shared" si="54"/>
        <v>#VALUE!</v>
      </c>
      <c r="AA405">
        <v>2.93</v>
      </c>
      <c r="AB405" s="154" t="e">
        <f t="shared" si="55"/>
        <v>#VALUE!</v>
      </c>
      <c r="AC405">
        <v>2.93</v>
      </c>
      <c r="AD405" s="154" t="e">
        <f t="shared" si="56"/>
        <v>#VALUE!</v>
      </c>
      <c r="AE405">
        <v>2.93</v>
      </c>
    </row>
    <row r="406" spans="12:31" ht="15" x14ac:dyDescent="0.2">
      <c r="L406" s="154" t="e">
        <f t="shared" si="47"/>
        <v>#VALUE!</v>
      </c>
      <c r="M406">
        <v>2.94</v>
      </c>
      <c r="N406" s="154" t="e">
        <f t="shared" si="48"/>
        <v>#VALUE!</v>
      </c>
      <c r="O406">
        <v>2.94</v>
      </c>
      <c r="P406" s="154" t="e">
        <f t="shared" si="49"/>
        <v>#VALUE!</v>
      </c>
      <c r="Q406">
        <v>2.94</v>
      </c>
      <c r="R406" s="154" t="e">
        <f t="shared" si="50"/>
        <v>#VALUE!</v>
      </c>
      <c r="S406">
        <v>2.94</v>
      </c>
      <c r="T406" s="154" t="e">
        <f t="shared" si="51"/>
        <v>#VALUE!</v>
      </c>
      <c r="U406">
        <v>2.94</v>
      </c>
      <c r="V406" s="154" t="e">
        <f t="shared" si="52"/>
        <v>#VALUE!</v>
      </c>
      <c r="W406">
        <v>2.94</v>
      </c>
      <c r="X406" s="157" t="e">
        <f t="shared" si="53"/>
        <v>#VALUE!</v>
      </c>
      <c r="Y406">
        <v>2.94</v>
      </c>
      <c r="Z406" s="154" t="e">
        <f t="shared" si="54"/>
        <v>#VALUE!</v>
      </c>
      <c r="AA406">
        <v>2.94</v>
      </c>
      <c r="AB406" s="154" t="e">
        <f t="shared" si="55"/>
        <v>#VALUE!</v>
      </c>
      <c r="AC406">
        <v>2.94</v>
      </c>
      <c r="AD406" s="154" t="e">
        <f t="shared" si="56"/>
        <v>#VALUE!</v>
      </c>
      <c r="AE406">
        <v>2.94</v>
      </c>
    </row>
    <row r="407" spans="12:31" ht="15" x14ac:dyDescent="0.2">
      <c r="L407" s="154" t="e">
        <f t="shared" si="47"/>
        <v>#VALUE!</v>
      </c>
      <c r="M407">
        <v>2.95</v>
      </c>
      <c r="N407" s="154" t="e">
        <f t="shared" si="48"/>
        <v>#VALUE!</v>
      </c>
      <c r="O407">
        <v>2.95</v>
      </c>
      <c r="P407" s="154" t="e">
        <f t="shared" si="49"/>
        <v>#VALUE!</v>
      </c>
      <c r="Q407">
        <v>2.95</v>
      </c>
      <c r="R407" s="154" t="e">
        <f t="shared" si="50"/>
        <v>#VALUE!</v>
      </c>
      <c r="S407">
        <v>2.95</v>
      </c>
      <c r="T407" s="154" t="e">
        <f t="shared" si="51"/>
        <v>#VALUE!</v>
      </c>
      <c r="U407">
        <v>2.95</v>
      </c>
      <c r="V407" s="154" t="e">
        <f t="shared" si="52"/>
        <v>#VALUE!</v>
      </c>
      <c r="W407">
        <v>2.95</v>
      </c>
      <c r="X407" s="157" t="e">
        <f t="shared" si="53"/>
        <v>#VALUE!</v>
      </c>
      <c r="Y407">
        <v>2.95</v>
      </c>
      <c r="Z407" s="154" t="e">
        <f t="shared" si="54"/>
        <v>#VALUE!</v>
      </c>
      <c r="AA407">
        <v>2.95</v>
      </c>
      <c r="AB407" s="154" t="e">
        <f t="shared" si="55"/>
        <v>#VALUE!</v>
      </c>
      <c r="AC407">
        <v>2.95</v>
      </c>
      <c r="AD407" s="154" t="e">
        <f t="shared" si="56"/>
        <v>#VALUE!</v>
      </c>
      <c r="AE407">
        <v>2.95</v>
      </c>
    </row>
    <row r="408" spans="12:31" ht="15" x14ac:dyDescent="0.2">
      <c r="L408" s="154" t="e">
        <f t="shared" si="47"/>
        <v>#VALUE!</v>
      </c>
      <c r="M408">
        <v>2.96</v>
      </c>
      <c r="N408" s="154" t="e">
        <f t="shared" si="48"/>
        <v>#VALUE!</v>
      </c>
      <c r="O408">
        <v>2.96</v>
      </c>
      <c r="P408" s="154" t="e">
        <f t="shared" si="49"/>
        <v>#VALUE!</v>
      </c>
      <c r="Q408">
        <v>2.96</v>
      </c>
      <c r="R408" s="154" t="e">
        <f t="shared" si="50"/>
        <v>#VALUE!</v>
      </c>
      <c r="S408">
        <v>2.96</v>
      </c>
      <c r="T408" s="154" t="e">
        <f t="shared" si="51"/>
        <v>#VALUE!</v>
      </c>
      <c r="U408">
        <v>2.96</v>
      </c>
      <c r="V408" s="154" t="e">
        <f t="shared" si="52"/>
        <v>#VALUE!</v>
      </c>
      <c r="W408">
        <v>2.96</v>
      </c>
      <c r="X408" s="157" t="e">
        <f t="shared" si="53"/>
        <v>#VALUE!</v>
      </c>
      <c r="Y408">
        <v>2.96</v>
      </c>
      <c r="Z408" s="154" t="e">
        <f t="shared" si="54"/>
        <v>#VALUE!</v>
      </c>
      <c r="AA408">
        <v>2.96</v>
      </c>
      <c r="AB408" s="154" t="e">
        <f t="shared" si="55"/>
        <v>#VALUE!</v>
      </c>
      <c r="AC408">
        <v>2.96</v>
      </c>
      <c r="AD408" s="154" t="e">
        <f t="shared" si="56"/>
        <v>#VALUE!</v>
      </c>
      <c r="AE408">
        <v>2.96</v>
      </c>
    </row>
    <row r="409" spans="12:31" ht="15" x14ac:dyDescent="0.2">
      <c r="L409" s="154" t="e">
        <f t="shared" si="47"/>
        <v>#VALUE!</v>
      </c>
      <c r="M409">
        <v>2.97</v>
      </c>
      <c r="N409" s="154" t="e">
        <f t="shared" si="48"/>
        <v>#VALUE!</v>
      </c>
      <c r="O409">
        <v>2.97</v>
      </c>
      <c r="P409" s="154" t="e">
        <f t="shared" si="49"/>
        <v>#VALUE!</v>
      </c>
      <c r="Q409">
        <v>2.97</v>
      </c>
      <c r="R409" s="154" t="e">
        <f t="shared" si="50"/>
        <v>#VALUE!</v>
      </c>
      <c r="S409">
        <v>2.97</v>
      </c>
      <c r="T409" s="154" t="e">
        <f t="shared" si="51"/>
        <v>#VALUE!</v>
      </c>
      <c r="U409">
        <v>2.97</v>
      </c>
      <c r="V409" s="154" t="e">
        <f t="shared" si="52"/>
        <v>#VALUE!</v>
      </c>
      <c r="W409">
        <v>2.97</v>
      </c>
      <c r="X409" s="157" t="e">
        <f t="shared" si="53"/>
        <v>#VALUE!</v>
      </c>
      <c r="Y409">
        <v>2.97</v>
      </c>
      <c r="Z409" s="154" t="e">
        <f t="shared" si="54"/>
        <v>#VALUE!</v>
      </c>
      <c r="AA409">
        <v>2.97</v>
      </c>
      <c r="AB409" s="154" t="e">
        <f t="shared" si="55"/>
        <v>#VALUE!</v>
      </c>
      <c r="AC409">
        <v>2.97</v>
      </c>
      <c r="AD409" s="154" t="e">
        <f t="shared" si="56"/>
        <v>#VALUE!</v>
      </c>
      <c r="AE409">
        <v>2.97</v>
      </c>
    </row>
    <row r="410" spans="12:31" ht="15" x14ac:dyDescent="0.2">
      <c r="L410" s="154" t="e">
        <f t="shared" si="47"/>
        <v>#VALUE!</v>
      </c>
      <c r="M410">
        <v>2.98</v>
      </c>
      <c r="N410" s="154" t="e">
        <f t="shared" si="48"/>
        <v>#VALUE!</v>
      </c>
      <c r="O410">
        <v>2.98</v>
      </c>
      <c r="P410" s="154" t="e">
        <f t="shared" si="49"/>
        <v>#VALUE!</v>
      </c>
      <c r="Q410">
        <v>2.98</v>
      </c>
      <c r="R410" s="154" t="e">
        <f t="shared" si="50"/>
        <v>#VALUE!</v>
      </c>
      <c r="S410">
        <v>2.98</v>
      </c>
      <c r="T410" s="154" t="e">
        <f t="shared" si="51"/>
        <v>#VALUE!</v>
      </c>
      <c r="U410">
        <v>2.98</v>
      </c>
      <c r="V410" s="154" t="e">
        <f t="shared" si="52"/>
        <v>#VALUE!</v>
      </c>
      <c r="W410">
        <v>2.98</v>
      </c>
      <c r="X410" s="157" t="e">
        <f t="shared" si="53"/>
        <v>#VALUE!</v>
      </c>
      <c r="Y410">
        <v>2.98</v>
      </c>
      <c r="Z410" s="154" t="e">
        <f t="shared" si="54"/>
        <v>#VALUE!</v>
      </c>
      <c r="AA410">
        <v>2.98</v>
      </c>
      <c r="AB410" s="154" t="e">
        <f t="shared" si="55"/>
        <v>#VALUE!</v>
      </c>
      <c r="AC410">
        <v>2.98</v>
      </c>
      <c r="AD410" s="154" t="e">
        <f t="shared" si="56"/>
        <v>#VALUE!</v>
      </c>
      <c r="AE410">
        <v>2.98</v>
      </c>
    </row>
    <row r="411" spans="12:31" ht="15" x14ac:dyDescent="0.2">
      <c r="L411" s="154" t="e">
        <f t="shared" si="47"/>
        <v>#VALUE!</v>
      </c>
      <c r="M411">
        <v>2.99</v>
      </c>
      <c r="N411" s="154" t="e">
        <f t="shared" si="48"/>
        <v>#VALUE!</v>
      </c>
      <c r="O411">
        <v>2.99</v>
      </c>
      <c r="P411" s="154" t="e">
        <f t="shared" si="49"/>
        <v>#VALUE!</v>
      </c>
      <c r="Q411">
        <v>2.99</v>
      </c>
      <c r="R411" s="154" t="e">
        <f t="shared" si="50"/>
        <v>#VALUE!</v>
      </c>
      <c r="S411">
        <v>2.99</v>
      </c>
      <c r="T411" s="154" t="e">
        <f t="shared" si="51"/>
        <v>#VALUE!</v>
      </c>
      <c r="U411">
        <v>2.99</v>
      </c>
      <c r="V411" s="154" t="e">
        <f t="shared" si="52"/>
        <v>#VALUE!</v>
      </c>
      <c r="W411">
        <v>2.99</v>
      </c>
      <c r="X411" s="157" t="e">
        <f t="shared" si="53"/>
        <v>#VALUE!</v>
      </c>
      <c r="Y411">
        <v>2.99</v>
      </c>
      <c r="Z411" s="154" t="e">
        <f t="shared" si="54"/>
        <v>#VALUE!</v>
      </c>
      <c r="AA411">
        <v>2.99</v>
      </c>
      <c r="AB411" s="154" t="e">
        <f t="shared" si="55"/>
        <v>#VALUE!</v>
      </c>
      <c r="AC411">
        <v>2.99</v>
      </c>
      <c r="AD411" s="154" t="e">
        <f t="shared" si="56"/>
        <v>#VALUE!</v>
      </c>
      <c r="AE411">
        <v>2.99</v>
      </c>
    </row>
    <row r="412" spans="12:31" ht="15" x14ac:dyDescent="0.2">
      <c r="L412" s="154" t="e">
        <f t="shared" si="47"/>
        <v>#VALUE!</v>
      </c>
      <c r="M412">
        <v>3</v>
      </c>
      <c r="N412" s="154" t="e">
        <f t="shared" si="48"/>
        <v>#VALUE!</v>
      </c>
      <c r="O412">
        <v>3</v>
      </c>
      <c r="P412" s="154" t="e">
        <f t="shared" si="49"/>
        <v>#VALUE!</v>
      </c>
      <c r="Q412">
        <v>3</v>
      </c>
      <c r="R412" s="154" t="e">
        <f t="shared" si="50"/>
        <v>#VALUE!</v>
      </c>
      <c r="S412">
        <v>3</v>
      </c>
      <c r="T412" s="154" t="e">
        <f t="shared" si="51"/>
        <v>#VALUE!</v>
      </c>
      <c r="U412">
        <v>3</v>
      </c>
      <c r="V412" s="154" t="e">
        <f t="shared" si="52"/>
        <v>#VALUE!</v>
      </c>
      <c r="W412">
        <v>3</v>
      </c>
      <c r="X412" s="157" t="e">
        <f t="shared" si="53"/>
        <v>#VALUE!</v>
      </c>
      <c r="Y412">
        <v>3</v>
      </c>
      <c r="Z412" s="154" t="e">
        <f t="shared" si="54"/>
        <v>#VALUE!</v>
      </c>
      <c r="AA412">
        <v>3</v>
      </c>
      <c r="AB412" s="154" t="e">
        <f t="shared" si="55"/>
        <v>#VALUE!</v>
      </c>
      <c r="AC412">
        <v>3</v>
      </c>
      <c r="AD412" s="154" t="e">
        <f t="shared" si="56"/>
        <v>#VALUE!</v>
      </c>
      <c r="AE412">
        <v>3</v>
      </c>
    </row>
    <row r="413" spans="12:31" ht="15" x14ac:dyDescent="0.2">
      <c r="L413" s="154" t="e">
        <f t="shared" si="47"/>
        <v>#VALUE!</v>
      </c>
      <c r="M413">
        <v>3.01</v>
      </c>
      <c r="N413" s="154" t="e">
        <f t="shared" si="48"/>
        <v>#VALUE!</v>
      </c>
      <c r="O413">
        <v>3.01</v>
      </c>
      <c r="P413" s="154" t="e">
        <f t="shared" si="49"/>
        <v>#VALUE!</v>
      </c>
      <c r="Q413">
        <v>3.01</v>
      </c>
      <c r="R413" s="154" t="e">
        <f t="shared" si="50"/>
        <v>#VALUE!</v>
      </c>
      <c r="S413">
        <v>3.01</v>
      </c>
      <c r="T413" s="154" t="e">
        <f t="shared" si="51"/>
        <v>#VALUE!</v>
      </c>
      <c r="U413">
        <v>3.01</v>
      </c>
      <c r="V413" s="154" t="e">
        <f t="shared" si="52"/>
        <v>#VALUE!</v>
      </c>
      <c r="W413">
        <v>3.01</v>
      </c>
      <c r="X413" s="157" t="e">
        <f t="shared" si="53"/>
        <v>#VALUE!</v>
      </c>
      <c r="Y413">
        <v>3.01</v>
      </c>
      <c r="Z413" s="154" t="e">
        <f t="shared" si="54"/>
        <v>#VALUE!</v>
      </c>
      <c r="AA413">
        <v>3.01</v>
      </c>
      <c r="AB413" s="154" t="e">
        <f t="shared" si="55"/>
        <v>#VALUE!</v>
      </c>
      <c r="AC413">
        <v>3.01</v>
      </c>
      <c r="AD413" s="154" t="e">
        <f t="shared" si="56"/>
        <v>#VALUE!</v>
      </c>
      <c r="AE413">
        <v>3.01</v>
      </c>
    </row>
    <row r="414" spans="12:31" ht="15" x14ac:dyDescent="0.2">
      <c r="L414" s="154" t="e">
        <f t="shared" si="47"/>
        <v>#VALUE!</v>
      </c>
      <c r="M414">
        <v>3.02</v>
      </c>
      <c r="N414" s="154" t="e">
        <f t="shared" si="48"/>
        <v>#VALUE!</v>
      </c>
      <c r="O414">
        <v>3.02</v>
      </c>
      <c r="P414" s="154" t="e">
        <f t="shared" si="49"/>
        <v>#VALUE!</v>
      </c>
      <c r="Q414">
        <v>3.02</v>
      </c>
      <c r="R414" s="154" t="e">
        <f t="shared" si="50"/>
        <v>#VALUE!</v>
      </c>
      <c r="S414">
        <v>3.02</v>
      </c>
      <c r="T414" s="154" t="e">
        <f t="shared" si="51"/>
        <v>#VALUE!</v>
      </c>
      <c r="U414">
        <v>3.02</v>
      </c>
      <c r="V414" s="154" t="e">
        <f t="shared" si="52"/>
        <v>#VALUE!</v>
      </c>
      <c r="W414">
        <v>3.02</v>
      </c>
      <c r="X414" s="157" t="e">
        <f t="shared" si="53"/>
        <v>#VALUE!</v>
      </c>
      <c r="Y414">
        <v>3.02</v>
      </c>
      <c r="Z414" s="154" t="e">
        <f t="shared" si="54"/>
        <v>#VALUE!</v>
      </c>
      <c r="AA414">
        <v>3.02</v>
      </c>
      <c r="AB414" s="154" t="e">
        <f t="shared" si="55"/>
        <v>#VALUE!</v>
      </c>
      <c r="AC414">
        <v>3.02</v>
      </c>
      <c r="AD414" s="154" t="e">
        <f t="shared" si="56"/>
        <v>#VALUE!</v>
      </c>
      <c r="AE414">
        <v>3.02</v>
      </c>
    </row>
    <row r="415" spans="12:31" ht="15" x14ac:dyDescent="0.2">
      <c r="L415" s="154" t="e">
        <f t="shared" si="47"/>
        <v>#VALUE!</v>
      </c>
      <c r="M415">
        <v>3.03</v>
      </c>
      <c r="N415" s="154" t="e">
        <f t="shared" si="48"/>
        <v>#VALUE!</v>
      </c>
      <c r="O415">
        <v>3.03</v>
      </c>
      <c r="P415" s="154" t="e">
        <f t="shared" si="49"/>
        <v>#VALUE!</v>
      </c>
      <c r="Q415">
        <v>3.03</v>
      </c>
      <c r="R415" s="154" t="e">
        <f t="shared" si="50"/>
        <v>#VALUE!</v>
      </c>
      <c r="S415">
        <v>3.03</v>
      </c>
      <c r="T415" s="154" t="e">
        <f t="shared" si="51"/>
        <v>#VALUE!</v>
      </c>
      <c r="U415">
        <v>3.03</v>
      </c>
      <c r="V415" s="154" t="e">
        <f t="shared" si="52"/>
        <v>#VALUE!</v>
      </c>
      <c r="W415">
        <v>3.03</v>
      </c>
      <c r="X415" s="157" t="e">
        <f t="shared" si="53"/>
        <v>#VALUE!</v>
      </c>
      <c r="Y415">
        <v>3.03</v>
      </c>
      <c r="Z415" s="154" t="e">
        <f t="shared" si="54"/>
        <v>#VALUE!</v>
      </c>
      <c r="AA415">
        <v>3.03</v>
      </c>
      <c r="AB415" s="154" t="e">
        <f t="shared" si="55"/>
        <v>#VALUE!</v>
      </c>
      <c r="AC415">
        <v>3.03</v>
      </c>
      <c r="AD415" s="154" t="e">
        <f t="shared" si="56"/>
        <v>#VALUE!</v>
      </c>
      <c r="AE415">
        <v>3.03</v>
      </c>
    </row>
    <row r="416" spans="12:31" ht="15" x14ac:dyDescent="0.2">
      <c r="L416" s="154" t="e">
        <f t="shared" si="47"/>
        <v>#VALUE!</v>
      </c>
      <c r="M416">
        <v>3.04</v>
      </c>
      <c r="N416" s="154" t="e">
        <f t="shared" si="48"/>
        <v>#VALUE!</v>
      </c>
      <c r="O416">
        <v>3.04</v>
      </c>
      <c r="P416" s="154" t="e">
        <f t="shared" si="49"/>
        <v>#VALUE!</v>
      </c>
      <c r="Q416">
        <v>3.04</v>
      </c>
      <c r="R416" s="154" t="e">
        <f t="shared" si="50"/>
        <v>#VALUE!</v>
      </c>
      <c r="S416">
        <v>3.04</v>
      </c>
      <c r="T416" s="154" t="e">
        <f t="shared" si="51"/>
        <v>#VALUE!</v>
      </c>
      <c r="U416">
        <v>3.04</v>
      </c>
      <c r="V416" s="154" t="e">
        <f t="shared" si="52"/>
        <v>#VALUE!</v>
      </c>
      <c r="W416">
        <v>3.04</v>
      </c>
      <c r="X416" s="157" t="e">
        <f t="shared" si="53"/>
        <v>#VALUE!</v>
      </c>
      <c r="Y416">
        <v>3.04</v>
      </c>
      <c r="Z416" s="154" t="e">
        <f t="shared" si="54"/>
        <v>#VALUE!</v>
      </c>
      <c r="AA416">
        <v>3.04</v>
      </c>
      <c r="AB416" s="154" t="e">
        <f t="shared" si="55"/>
        <v>#VALUE!</v>
      </c>
      <c r="AC416">
        <v>3.04</v>
      </c>
      <c r="AD416" s="154" t="e">
        <f t="shared" si="56"/>
        <v>#VALUE!</v>
      </c>
      <c r="AE416">
        <v>3.04</v>
      </c>
    </row>
    <row r="417" spans="12:31" ht="15" x14ac:dyDescent="0.2">
      <c r="L417" s="154" t="e">
        <f t="shared" si="47"/>
        <v>#VALUE!</v>
      </c>
      <c r="M417">
        <v>3.05</v>
      </c>
      <c r="N417" s="154" t="e">
        <f t="shared" si="48"/>
        <v>#VALUE!</v>
      </c>
      <c r="O417">
        <v>3.05</v>
      </c>
      <c r="P417" s="154" t="e">
        <f t="shared" si="49"/>
        <v>#VALUE!</v>
      </c>
      <c r="Q417">
        <v>3.05</v>
      </c>
      <c r="R417" s="154" t="e">
        <f t="shared" si="50"/>
        <v>#VALUE!</v>
      </c>
      <c r="S417">
        <v>3.05</v>
      </c>
      <c r="T417" s="154" t="e">
        <f t="shared" si="51"/>
        <v>#VALUE!</v>
      </c>
      <c r="U417">
        <v>3.05</v>
      </c>
      <c r="V417" s="154" t="e">
        <f t="shared" si="52"/>
        <v>#VALUE!</v>
      </c>
      <c r="W417">
        <v>3.05</v>
      </c>
      <c r="X417" s="157" t="e">
        <f t="shared" si="53"/>
        <v>#VALUE!</v>
      </c>
      <c r="Y417">
        <v>3.05</v>
      </c>
      <c r="Z417" s="154" t="e">
        <f t="shared" si="54"/>
        <v>#VALUE!</v>
      </c>
      <c r="AA417">
        <v>3.05</v>
      </c>
      <c r="AB417" s="154" t="e">
        <f t="shared" si="55"/>
        <v>#VALUE!</v>
      </c>
      <c r="AC417">
        <v>3.05</v>
      </c>
      <c r="AD417" s="154" t="e">
        <f t="shared" si="56"/>
        <v>#VALUE!</v>
      </c>
      <c r="AE417">
        <v>3.05</v>
      </c>
    </row>
    <row r="418" spans="12:31" ht="15" x14ac:dyDescent="0.2">
      <c r="L418" s="154" t="e">
        <f t="shared" si="47"/>
        <v>#VALUE!</v>
      </c>
      <c r="M418">
        <v>3.06</v>
      </c>
      <c r="N418" s="154" t="e">
        <f t="shared" si="48"/>
        <v>#VALUE!</v>
      </c>
      <c r="O418">
        <v>3.06</v>
      </c>
      <c r="P418" s="154" t="e">
        <f t="shared" si="49"/>
        <v>#VALUE!</v>
      </c>
      <c r="Q418">
        <v>3.06</v>
      </c>
      <c r="R418" s="154" t="e">
        <f t="shared" si="50"/>
        <v>#VALUE!</v>
      </c>
      <c r="S418">
        <v>3.06</v>
      </c>
      <c r="T418" s="154" t="e">
        <f t="shared" si="51"/>
        <v>#VALUE!</v>
      </c>
      <c r="U418">
        <v>3.06</v>
      </c>
      <c r="V418" s="154" t="e">
        <f t="shared" si="52"/>
        <v>#VALUE!</v>
      </c>
      <c r="W418">
        <v>3.06</v>
      </c>
      <c r="X418" s="157" t="e">
        <f t="shared" si="53"/>
        <v>#VALUE!</v>
      </c>
      <c r="Y418">
        <v>3.06</v>
      </c>
      <c r="Z418" s="154" t="e">
        <f t="shared" si="54"/>
        <v>#VALUE!</v>
      </c>
      <c r="AA418">
        <v>3.06</v>
      </c>
      <c r="AB418" s="154" t="e">
        <f t="shared" si="55"/>
        <v>#VALUE!</v>
      </c>
      <c r="AC418">
        <v>3.06</v>
      </c>
      <c r="AD418" s="154" t="e">
        <f t="shared" si="56"/>
        <v>#VALUE!</v>
      </c>
      <c r="AE418">
        <v>3.06</v>
      </c>
    </row>
    <row r="419" spans="12:31" ht="15" x14ac:dyDescent="0.2">
      <c r="L419" s="154" t="e">
        <f t="shared" si="47"/>
        <v>#VALUE!</v>
      </c>
      <c r="M419">
        <v>3.07</v>
      </c>
      <c r="N419" s="154" t="e">
        <f t="shared" si="48"/>
        <v>#VALUE!</v>
      </c>
      <c r="O419">
        <v>3.07</v>
      </c>
      <c r="P419" s="154" t="e">
        <f t="shared" si="49"/>
        <v>#VALUE!</v>
      </c>
      <c r="Q419">
        <v>3.07</v>
      </c>
      <c r="R419" s="154" t="e">
        <f t="shared" si="50"/>
        <v>#VALUE!</v>
      </c>
      <c r="S419">
        <v>3.07</v>
      </c>
      <c r="T419" s="154" t="e">
        <f t="shared" si="51"/>
        <v>#VALUE!</v>
      </c>
      <c r="U419">
        <v>3.07</v>
      </c>
      <c r="V419" s="154" t="e">
        <f t="shared" si="52"/>
        <v>#VALUE!</v>
      </c>
      <c r="W419">
        <v>3.07</v>
      </c>
      <c r="X419" s="157" t="e">
        <f t="shared" si="53"/>
        <v>#VALUE!</v>
      </c>
      <c r="Y419">
        <v>3.07</v>
      </c>
      <c r="Z419" s="154" t="e">
        <f t="shared" si="54"/>
        <v>#VALUE!</v>
      </c>
      <c r="AA419">
        <v>3.07</v>
      </c>
      <c r="AB419" s="154" t="e">
        <f t="shared" si="55"/>
        <v>#VALUE!</v>
      </c>
      <c r="AC419">
        <v>3.07</v>
      </c>
      <c r="AD419" s="154" t="e">
        <f t="shared" si="56"/>
        <v>#VALUE!</v>
      </c>
      <c r="AE419">
        <v>3.07</v>
      </c>
    </row>
    <row r="420" spans="12:31" ht="15" x14ac:dyDescent="0.2">
      <c r="L420" s="154" t="e">
        <f t="shared" si="47"/>
        <v>#VALUE!</v>
      </c>
      <c r="M420">
        <v>3.08</v>
      </c>
      <c r="N420" s="154" t="e">
        <f t="shared" si="48"/>
        <v>#VALUE!</v>
      </c>
      <c r="O420">
        <v>3.08</v>
      </c>
      <c r="P420" s="154" t="e">
        <f t="shared" si="49"/>
        <v>#VALUE!</v>
      </c>
      <c r="Q420">
        <v>3.08</v>
      </c>
      <c r="R420" s="154" t="e">
        <f t="shared" si="50"/>
        <v>#VALUE!</v>
      </c>
      <c r="S420">
        <v>3.08</v>
      </c>
      <c r="T420" s="154" t="e">
        <f t="shared" si="51"/>
        <v>#VALUE!</v>
      </c>
      <c r="U420">
        <v>3.08</v>
      </c>
      <c r="V420" s="154" t="e">
        <f t="shared" si="52"/>
        <v>#VALUE!</v>
      </c>
      <c r="W420">
        <v>3.08</v>
      </c>
      <c r="X420" s="157" t="e">
        <f t="shared" si="53"/>
        <v>#VALUE!</v>
      </c>
      <c r="Y420">
        <v>3.08</v>
      </c>
      <c r="Z420" s="154" t="e">
        <f t="shared" si="54"/>
        <v>#VALUE!</v>
      </c>
      <c r="AA420">
        <v>3.08</v>
      </c>
      <c r="AB420" s="154" t="e">
        <f t="shared" si="55"/>
        <v>#VALUE!</v>
      </c>
      <c r="AC420">
        <v>3.08</v>
      </c>
      <c r="AD420" s="154" t="e">
        <f t="shared" si="56"/>
        <v>#VALUE!</v>
      </c>
      <c r="AE420">
        <v>3.08</v>
      </c>
    </row>
    <row r="421" spans="12:31" ht="15" x14ac:dyDescent="0.2">
      <c r="L421" s="154" t="e">
        <f t="shared" si="47"/>
        <v>#VALUE!</v>
      </c>
      <c r="M421">
        <v>3.09</v>
      </c>
      <c r="N421" s="154" t="e">
        <f t="shared" si="48"/>
        <v>#VALUE!</v>
      </c>
      <c r="O421">
        <v>3.09</v>
      </c>
      <c r="P421" s="154" t="e">
        <f t="shared" si="49"/>
        <v>#VALUE!</v>
      </c>
      <c r="Q421">
        <v>3.09</v>
      </c>
      <c r="R421" s="154" t="e">
        <f t="shared" si="50"/>
        <v>#VALUE!</v>
      </c>
      <c r="S421">
        <v>3.09</v>
      </c>
      <c r="T421" s="154" t="e">
        <f t="shared" si="51"/>
        <v>#VALUE!</v>
      </c>
      <c r="U421">
        <v>3.09</v>
      </c>
      <c r="V421" s="154" t="e">
        <f t="shared" si="52"/>
        <v>#VALUE!</v>
      </c>
      <c r="W421">
        <v>3.09</v>
      </c>
      <c r="X421" s="157" t="e">
        <f t="shared" si="53"/>
        <v>#VALUE!</v>
      </c>
      <c r="Y421">
        <v>3.09</v>
      </c>
      <c r="Z421" s="154" t="e">
        <f t="shared" si="54"/>
        <v>#VALUE!</v>
      </c>
      <c r="AA421">
        <v>3.09</v>
      </c>
      <c r="AB421" s="154" t="e">
        <f t="shared" si="55"/>
        <v>#VALUE!</v>
      </c>
      <c r="AC421">
        <v>3.09</v>
      </c>
      <c r="AD421" s="154" t="e">
        <f t="shared" si="56"/>
        <v>#VALUE!</v>
      </c>
      <c r="AE421">
        <v>3.09</v>
      </c>
    </row>
    <row r="422" spans="12:31" ht="15" x14ac:dyDescent="0.2">
      <c r="L422" s="154" t="e">
        <f t="shared" si="47"/>
        <v>#VALUE!</v>
      </c>
      <c r="M422">
        <v>3.1</v>
      </c>
      <c r="N422" s="154" t="e">
        <f t="shared" si="48"/>
        <v>#VALUE!</v>
      </c>
      <c r="O422">
        <v>3.1</v>
      </c>
      <c r="P422" s="154" t="e">
        <f t="shared" si="49"/>
        <v>#VALUE!</v>
      </c>
      <c r="Q422">
        <v>3.1</v>
      </c>
      <c r="R422" s="154" t="e">
        <f t="shared" si="50"/>
        <v>#VALUE!</v>
      </c>
      <c r="S422">
        <v>3.1</v>
      </c>
      <c r="T422" s="154" t="e">
        <f t="shared" si="51"/>
        <v>#VALUE!</v>
      </c>
      <c r="U422">
        <v>3.1</v>
      </c>
      <c r="V422" s="154" t="e">
        <f t="shared" si="52"/>
        <v>#VALUE!</v>
      </c>
      <c r="W422">
        <v>3.1</v>
      </c>
      <c r="X422" s="157" t="e">
        <f t="shared" si="53"/>
        <v>#VALUE!</v>
      </c>
      <c r="Y422">
        <v>3.1</v>
      </c>
      <c r="Z422" s="154" t="e">
        <f t="shared" si="54"/>
        <v>#VALUE!</v>
      </c>
      <c r="AA422">
        <v>3.1</v>
      </c>
      <c r="AB422" s="154" t="e">
        <f t="shared" si="55"/>
        <v>#VALUE!</v>
      </c>
      <c r="AC422">
        <v>3.1</v>
      </c>
      <c r="AD422" s="154" t="e">
        <f t="shared" si="56"/>
        <v>#VALUE!</v>
      </c>
      <c r="AE422">
        <v>3.1</v>
      </c>
    </row>
    <row r="423" spans="12:31" ht="15" x14ac:dyDescent="0.2">
      <c r="L423" s="154" t="e">
        <f t="shared" si="47"/>
        <v>#VALUE!</v>
      </c>
      <c r="M423">
        <v>3.11</v>
      </c>
      <c r="N423" s="154" t="e">
        <f t="shared" si="48"/>
        <v>#VALUE!</v>
      </c>
      <c r="O423">
        <v>3.11</v>
      </c>
      <c r="P423" s="154" t="e">
        <f t="shared" si="49"/>
        <v>#VALUE!</v>
      </c>
      <c r="Q423">
        <v>3.11</v>
      </c>
      <c r="R423" s="154" t="e">
        <f t="shared" si="50"/>
        <v>#VALUE!</v>
      </c>
      <c r="S423">
        <v>3.11</v>
      </c>
      <c r="T423" s="154" t="e">
        <f t="shared" si="51"/>
        <v>#VALUE!</v>
      </c>
      <c r="U423">
        <v>3.11</v>
      </c>
      <c r="V423" s="154" t="e">
        <f t="shared" si="52"/>
        <v>#VALUE!</v>
      </c>
      <c r="W423">
        <v>3.11</v>
      </c>
      <c r="X423" s="157" t="e">
        <f t="shared" si="53"/>
        <v>#VALUE!</v>
      </c>
      <c r="Y423">
        <v>3.11</v>
      </c>
      <c r="Z423" s="154" t="e">
        <f t="shared" si="54"/>
        <v>#VALUE!</v>
      </c>
      <c r="AA423">
        <v>3.11</v>
      </c>
      <c r="AB423" s="154" t="e">
        <f t="shared" si="55"/>
        <v>#VALUE!</v>
      </c>
      <c r="AC423">
        <v>3.11</v>
      </c>
      <c r="AD423" s="154" t="e">
        <f t="shared" si="56"/>
        <v>#VALUE!</v>
      </c>
      <c r="AE423">
        <v>3.11</v>
      </c>
    </row>
    <row r="424" spans="12:31" ht="15" x14ac:dyDescent="0.2">
      <c r="L424" s="154" t="e">
        <f t="shared" si="47"/>
        <v>#VALUE!</v>
      </c>
      <c r="M424">
        <v>3.12</v>
      </c>
      <c r="N424" s="154" t="e">
        <f t="shared" si="48"/>
        <v>#VALUE!</v>
      </c>
      <c r="O424">
        <v>3.12</v>
      </c>
      <c r="P424" s="154" t="e">
        <f t="shared" si="49"/>
        <v>#VALUE!</v>
      </c>
      <c r="Q424">
        <v>3.12</v>
      </c>
      <c r="R424" s="154" t="e">
        <f t="shared" si="50"/>
        <v>#VALUE!</v>
      </c>
      <c r="S424">
        <v>3.12</v>
      </c>
      <c r="T424" s="154" t="e">
        <f t="shared" si="51"/>
        <v>#VALUE!</v>
      </c>
      <c r="U424">
        <v>3.12</v>
      </c>
      <c r="V424" s="154" t="e">
        <f t="shared" si="52"/>
        <v>#VALUE!</v>
      </c>
      <c r="W424">
        <v>3.12</v>
      </c>
      <c r="X424" s="157" t="e">
        <f t="shared" si="53"/>
        <v>#VALUE!</v>
      </c>
      <c r="Y424">
        <v>3.12</v>
      </c>
      <c r="Z424" s="154" t="e">
        <f t="shared" si="54"/>
        <v>#VALUE!</v>
      </c>
      <c r="AA424">
        <v>3.12</v>
      </c>
      <c r="AB424" s="154" t="e">
        <f t="shared" si="55"/>
        <v>#VALUE!</v>
      </c>
      <c r="AC424">
        <v>3.12</v>
      </c>
      <c r="AD424" s="154" t="e">
        <f t="shared" si="56"/>
        <v>#VALUE!</v>
      </c>
      <c r="AE424">
        <v>3.12</v>
      </c>
    </row>
    <row r="425" spans="12:31" ht="15" x14ac:dyDescent="0.2">
      <c r="L425" s="154" t="e">
        <f t="shared" si="47"/>
        <v>#VALUE!</v>
      </c>
      <c r="M425">
        <v>3.13</v>
      </c>
      <c r="N425" s="154" t="e">
        <f t="shared" si="48"/>
        <v>#VALUE!</v>
      </c>
      <c r="O425">
        <v>3.13</v>
      </c>
      <c r="P425" s="154" t="e">
        <f t="shared" si="49"/>
        <v>#VALUE!</v>
      </c>
      <c r="Q425">
        <v>3.13</v>
      </c>
      <c r="R425" s="154" t="e">
        <f t="shared" si="50"/>
        <v>#VALUE!</v>
      </c>
      <c r="S425">
        <v>3.13</v>
      </c>
      <c r="T425" s="154" t="e">
        <f t="shared" si="51"/>
        <v>#VALUE!</v>
      </c>
      <c r="U425">
        <v>3.13</v>
      </c>
      <c r="V425" s="154" t="e">
        <f t="shared" si="52"/>
        <v>#VALUE!</v>
      </c>
      <c r="W425">
        <v>3.13</v>
      </c>
      <c r="X425" s="157" t="e">
        <f t="shared" si="53"/>
        <v>#VALUE!</v>
      </c>
      <c r="Y425">
        <v>3.13</v>
      </c>
      <c r="Z425" s="154" t="e">
        <f t="shared" si="54"/>
        <v>#VALUE!</v>
      </c>
      <c r="AA425">
        <v>3.13</v>
      </c>
      <c r="AB425" s="154" t="e">
        <f t="shared" si="55"/>
        <v>#VALUE!</v>
      </c>
      <c r="AC425">
        <v>3.13</v>
      </c>
      <c r="AD425" s="154" t="e">
        <f t="shared" si="56"/>
        <v>#VALUE!</v>
      </c>
      <c r="AE425">
        <v>3.13</v>
      </c>
    </row>
    <row r="426" spans="12:31" ht="15" x14ac:dyDescent="0.2">
      <c r="L426" s="154" t="e">
        <f t="shared" si="47"/>
        <v>#VALUE!</v>
      </c>
      <c r="M426">
        <v>3.14</v>
      </c>
      <c r="N426" s="154" t="e">
        <f t="shared" si="48"/>
        <v>#VALUE!</v>
      </c>
      <c r="O426">
        <v>3.14</v>
      </c>
      <c r="P426" s="154" t="e">
        <f t="shared" si="49"/>
        <v>#VALUE!</v>
      </c>
      <c r="Q426">
        <v>3.14</v>
      </c>
      <c r="R426" s="154" t="e">
        <f t="shared" si="50"/>
        <v>#VALUE!</v>
      </c>
      <c r="S426">
        <v>3.14</v>
      </c>
      <c r="T426" s="154" t="e">
        <f t="shared" si="51"/>
        <v>#VALUE!</v>
      </c>
      <c r="U426">
        <v>3.14</v>
      </c>
      <c r="V426" s="154" t="e">
        <f t="shared" si="52"/>
        <v>#VALUE!</v>
      </c>
      <c r="W426">
        <v>3.14</v>
      </c>
      <c r="X426" s="157" t="e">
        <f t="shared" si="53"/>
        <v>#VALUE!</v>
      </c>
      <c r="Y426">
        <v>3.14</v>
      </c>
      <c r="Z426" s="154" t="e">
        <f t="shared" si="54"/>
        <v>#VALUE!</v>
      </c>
      <c r="AA426">
        <v>3.14</v>
      </c>
      <c r="AB426" s="154" t="e">
        <f t="shared" si="55"/>
        <v>#VALUE!</v>
      </c>
      <c r="AC426">
        <v>3.14</v>
      </c>
      <c r="AD426" s="154" t="e">
        <f t="shared" si="56"/>
        <v>#VALUE!</v>
      </c>
      <c r="AE426">
        <v>3.14</v>
      </c>
    </row>
    <row r="427" spans="12:31" ht="15" x14ac:dyDescent="0.2">
      <c r="L427" s="154" t="e">
        <f t="shared" si="47"/>
        <v>#VALUE!</v>
      </c>
      <c r="M427">
        <v>3.15</v>
      </c>
      <c r="N427" s="154" t="e">
        <f t="shared" si="48"/>
        <v>#VALUE!</v>
      </c>
      <c r="O427">
        <v>3.15</v>
      </c>
      <c r="P427" s="154" t="e">
        <f t="shared" si="49"/>
        <v>#VALUE!</v>
      </c>
      <c r="Q427">
        <v>3.15</v>
      </c>
      <c r="R427" s="154" t="e">
        <f t="shared" si="50"/>
        <v>#VALUE!</v>
      </c>
      <c r="S427">
        <v>3.15</v>
      </c>
      <c r="T427" s="154" t="e">
        <f t="shared" si="51"/>
        <v>#VALUE!</v>
      </c>
      <c r="U427">
        <v>3.15</v>
      </c>
      <c r="V427" s="154" t="e">
        <f t="shared" si="52"/>
        <v>#VALUE!</v>
      </c>
      <c r="W427">
        <v>3.15</v>
      </c>
      <c r="X427" s="157" t="e">
        <f t="shared" si="53"/>
        <v>#VALUE!</v>
      </c>
      <c r="Y427">
        <v>3.15</v>
      </c>
      <c r="Z427" s="154" t="e">
        <f t="shared" si="54"/>
        <v>#VALUE!</v>
      </c>
      <c r="AA427">
        <v>3.15</v>
      </c>
      <c r="AB427" s="154" t="e">
        <f t="shared" si="55"/>
        <v>#VALUE!</v>
      </c>
      <c r="AC427">
        <v>3.15</v>
      </c>
      <c r="AD427" s="154" t="e">
        <f t="shared" si="56"/>
        <v>#VALUE!</v>
      </c>
      <c r="AE427">
        <v>3.15</v>
      </c>
    </row>
    <row r="428" spans="12:31" ht="15" x14ac:dyDescent="0.2">
      <c r="L428" s="154" t="e">
        <f t="shared" si="47"/>
        <v>#VALUE!</v>
      </c>
      <c r="M428">
        <v>3.16</v>
      </c>
      <c r="N428" s="154" t="e">
        <f t="shared" si="48"/>
        <v>#VALUE!</v>
      </c>
      <c r="O428">
        <v>3.16</v>
      </c>
      <c r="P428" s="154" t="e">
        <f t="shared" si="49"/>
        <v>#VALUE!</v>
      </c>
      <c r="Q428">
        <v>3.16</v>
      </c>
      <c r="R428" s="154" t="e">
        <f t="shared" si="50"/>
        <v>#VALUE!</v>
      </c>
      <c r="S428">
        <v>3.16</v>
      </c>
      <c r="T428" s="154" t="e">
        <f t="shared" si="51"/>
        <v>#VALUE!</v>
      </c>
      <c r="U428">
        <v>3.16</v>
      </c>
      <c r="V428" s="154" t="e">
        <f t="shared" si="52"/>
        <v>#VALUE!</v>
      </c>
      <c r="W428">
        <v>3.16</v>
      </c>
      <c r="X428" s="157" t="e">
        <f t="shared" si="53"/>
        <v>#VALUE!</v>
      </c>
      <c r="Y428">
        <v>3.16</v>
      </c>
      <c r="Z428" s="154" t="e">
        <f t="shared" si="54"/>
        <v>#VALUE!</v>
      </c>
      <c r="AA428">
        <v>3.16</v>
      </c>
      <c r="AB428" s="154" t="e">
        <f t="shared" si="55"/>
        <v>#VALUE!</v>
      </c>
      <c r="AC428">
        <v>3.16</v>
      </c>
      <c r="AD428" s="154" t="e">
        <f t="shared" si="56"/>
        <v>#VALUE!</v>
      </c>
      <c r="AE428">
        <v>3.16</v>
      </c>
    </row>
    <row r="429" spans="12:31" ht="15" x14ac:dyDescent="0.2">
      <c r="L429" s="154" t="e">
        <f t="shared" si="47"/>
        <v>#VALUE!</v>
      </c>
      <c r="M429">
        <v>3.17</v>
      </c>
      <c r="N429" s="154" t="e">
        <f t="shared" si="48"/>
        <v>#VALUE!</v>
      </c>
      <c r="O429">
        <v>3.17</v>
      </c>
      <c r="P429" s="154" t="e">
        <f t="shared" si="49"/>
        <v>#VALUE!</v>
      </c>
      <c r="Q429">
        <v>3.17</v>
      </c>
      <c r="R429" s="154" t="e">
        <f t="shared" si="50"/>
        <v>#VALUE!</v>
      </c>
      <c r="S429">
        <v>3.17</v>
      </c>
      <c r="T429" s="154" t="e">
        <f t="shared" si="51"/>
        <v>#VALUE!</v>
      </c>
      <c r="U429">
        <v>3.17</v>
      </c>
      <c r="V429" s="154" t="e">
        <f t="shared" si="52"/>
        <v>#VALUE!</v>
      </c>
      <c r="W429">
        <v>3.17</v>
      </c>
      <c r="X429" s="157" t="e">
        <f t="shared" si="53"/>
        <v>#VALUE!</v>
      </c>
      <c r="Y429">
        <v>3.17</v>
      </c>
      <c r="Z429" s="154" t="e">
        <f t="shared" si="54"/>
        <v>#VALUE!</v>
      </c>
      <c r="AA429">
        <v>3.17</v>
      </c>
      <c r="AB429" s="154" t="e">
        <f t="shared" si="55"/>
        <v>#VALUE!</v>
      </c>
      <c r="AC429">
        <v>3.17</v>
      </c>
      <c r="AD429" s="154" t="e">
        <f t="shared" si="56"/>
        <v>#VALUE!</v>
      </c>
      <c r="AE429">
        <v>3.17</v>
      </c>
    </row>
    <row r="430" spans="12:31" ht="15" x14ac:dyDescent="0.2">
      <c r="L430" s="154" t="e">
        <f t="shared" si="47"/>
        <v>#VALUE!</v>
      </c>
      <c r="M430">
        <v>3.18</v>
      </c>
      <c r="N430" s="154" t="e">
        <f t="shared" si="48"/>
        <v>#VALUE!</v>
      </c>
      <c r="O430">
        <v>3.18</v>
      </c>
      <c r="P430" s="154" t="e">
        <f t="shared" si="49"/>
        <v>#VALUE!</v>
      </c>
      <c r="Q430">
        <v>3.18</v>
      </c>
      <c r="R430" s="154" t="e">
        <f t="shared" si="50"/>
        <v>#VALUE!</v>
      </c>
      <c r="S430">
        <v>3.18</v>
      </c>
      <c r="T430" s="154" t="e">
        <f t="shared" si="51"/>
        <v>#VALUE!</v>
      </c>
      <c r="U430">
        <v>3.18</v>
      </c>
      <c r="V430" s="154" t="e">
        <f t="shared" si="52"/>
        <v>#VALUE!</v>
      </c>
      <c r="W430">
        <v>3.18</v>
      </c>
      <c r="X430" s="157" t="e">
        <f t="shared" si="53"/>
        <v>#VALUE!</v>
      </c>
      <c r="Y430">
        <v>3.18</v>
      </c>
      <c r="Z430" s="154" t="e">
        <f t="shared" si="54"/>
        <v>#VALUE!</v>
      </c>
      <c r="AA430">
        <v>3.18</v>
      </c>
      <c r="AB430" s="154" t="e">
        <f t="shared" si="55"/>
        <v>#VALUE!</v>
      </c>
      <c r="AC430">
        <v>3.18</v>
      </c>
      <c r="AD430" s="154" t="e">
        <f t="shared" si="56"/>
        <v>#VALUE!</v>
      </c>
      <c r="AE430">
        <v>3.18</v>
      </c>
    </row>
    <row r="431" spans="12:31" ht="15" x14ac:dyDescent="0.2">
      <c r="L431" s="154" t="e">
        <f t="shared" si="47"/>
        <v>#VALUE!</v>
      </c>
      <c r="M431">
        <v>3.19</v>
      </c>
      <c r="N431" s="154" t="e">
        <f t="shared" si="48"/>
        <v>#VALUE!</v>
      </c>
      <c r="O431">
        <v>3.19</v>
      </c>
      <c r="P431" s="154" t="e">
        <f t="shared" si="49"/>
        <v>#VALUE!</v>
      </c>
      <c r="Q431">
        <v>3.19</v>
      </c>
      <c r="R431" s="154" t="e">
        <f t="shared" si="50"/>
        <v>#VALUE!</v>
      </c>
      <c r="S431">
        <v>3.19</v>
      </c>
      <c r="T431" s="154" t="e">
        <f t="shared" si="51"/>
        <v>#VALUE!</v>
      </c>
      <c r="U431">
        <v>3.19</v>
      </c>
      <c r="V431" s="154" t="e">
        <f t="shared" si="52"/>
        <v>#VALUE!</v>
      </c>
      <c r="W431">
        <v>3.19</v>
      </c>
      <c r="X431" s="157" t="e">
        <f t="shared" si="53"/>
        <v>#VALUE!</v>
      </c>
      <c r="Y431">
        <v>3.19</v>
      </c>
      <c r="Z431" s="154" t="e">
        <f t="shared" si="54"/>
        <v>#VALUE!</v>
      </c>
      <c r="AA431">
        <v>3.19</v>
      </c>
      <c r="AB431" s="154" t="e">
        <f t="shared" si="55"/>
        <v>#VALUE!</v>
      </c>
      <c r="AC431">
        <v>3.19</v>
      </c>
      <c r="AD431" s="154" t="e">
        <f t="shared" si="56"/>
        <v>#VALUE!</v>
      </c>
      <c r="AE431">
        <v>3.19</v>
      </c>
    </row>
    <row r="432" spans="12:31" ht="15" x14ac:dyDescent="0.2">
      <c r="L432" s="154" t="e">
        <f t="shared" si="47"/>
        <v>#VALUE!</v>
      </c>
      <c r="M432">
        <v>3.2</v>
      </c>
      <c r="N432" s="154" t="e">
        <f t="shared" si="48"/>
        <v>#VALUE!</v>
      </c>
      <c r="O432">
        <v>3.2</v>
      </c>
      <c r="P432" s="154" t="e">
        <f t="shared" si="49"/>
        <v>#VALUE!</v>
      </c>
      <c r="Q432">
        <v>3.2</v>
      </c>
      <c r="R432" s="154" t="e">
        <f t="shared" si="50"/>
        <v>#VALUE!</v>
      </c>
      <c r="S432">
        <v>3.2</v>
      </c>
      <c r="T432" s="154" t="e">
        <f t="shared" si="51"/>
        <v>#VALUE!</v>
      </c>
      <c r="U432">
        <v>3.2</v>
      </c>
      <c r="V432" s="154" t="e">
        <f t="shared" si="52"/>
        <v>#VALUE!</v>
      </c>
      <c r="W432">
        <v>3.2</v>
      </c>
      <c r="X432" s="157" t="e">
        <f t="shared" si="53"/>
        <v>#VALUE!</v>
      </c>
      <c r="Y432">
        <v>3.2</v>
      </c>
      <c r="Z432" s="154" t="e">
        <f t="shared" si="54"/>
        <v>#VALUE!</v>
      </c>
      <c r="AA432">
        <v>3.2</v>
      </c>
      <c r="AB432" s="154" t="e">
        <f t="shared" si="55"/>
        <v>#VALUE!</v>
      </c>
      <c r="AC432">
        <v>3.2</v>
      </c>
      <c r="AD432" s="154" t="e">
        <f t="shared" si="56"/>
        <v>#VALUE!</v>
      </c>
      <c r="AE432">
        <v>3.2</v>
      </c>
    </row>
    <row r="433" spans="12:31" ht="15" x14ac:dyDescent="0.2">
      <c r="L433" s="154" t="e">
        <f t="shared" ref="L433:L496" si="57">((1.486/$D$33)*((((PI()*($D$46/12)^2)/4)-((($D$46/12)/2)^2*((2*ACOS(((($D$46/12)/2)-(($D$46/12)-(M433/12)))/(($D$46/12)/2)))-SIN(2*ACOS(((($D$46/12)/2)-(($D$46/12)-(M433/12)))/(($D$46/12)/2))))/2))/((PI()*($D$46/12))-((2*ACOS(((($D$46/12)/2)-(($D$46/12)-(M433/12)))/(($D$46/12)/2)))*(($D$46/12)/2))))^(2/3)*$H$17^0.5)*(((PI()*($D$46/12)^2)/4)-((($D$46/12)/2)^2*((2*ACOS(((($D$46/12)/2)-(($D$46/12)-(M433/12)))/(($D$46/12)/2)))-SIN(2*ACOS(((($D$46/12)/2)-(($D$46/12)-(M433/12)))/(($D$46/12)/2))))/2))</f>
        <v>#VALUE!</v>
      </c>
      <c r="M433">
        <v>3.21</v>
      </c>
      <c r="N433" s="154" t="e">
        <f t="shared" ref="N433:N496" si="58">((1.486/$D$34)*((((PI()*($D$47/12)^2)/4)-((($D$47/12)/2)^2*((2*ACOS(((($D$47/12)/2)-(($D$47/12)-(O433/12)))/(($D$47/12)/2)))-SIN(2*ACOS(((($D$47/12)/2)-(($D$47/12)-(O433/12)))/(($D$47/12)/2))))/2))/((PI()*($D$47/12))-((2*ACOS(((($D$47/12)/2)-(($D$47/12)-(O433/12)))/(($D$47/12)/2)))*(($D$47/12)/2))))^(2/3)*$H$18^0.5)*(((PI()*($D$47/12)^2)/4)-((($D$47/12)/2)^2*((2*ACOS(((($D$47/12)/2)-(($D$47/12)-(O433/12)))/(($D$47/12)/2)))-SIN(2*ACOS(((($D$47/12)/2)-(($D$47/12)-(O433/12)))/(($D$47/12)/2))))/2))</f>
        <v>#VALUE!</v>
      </c>
      <c r="O433">
        <v>3.21</v>
      </c>
      <c r="P433" s="154" t="e">
        <f t="shared" ref="P433:P496" si="59">((1.486/$D$35)*((((PI()*($D$48/12)^2)/4)-((($D$48/12)/2)^2*((2*ACOS(((($D$48/12)/2)-(($D$48/12)-(Q433/12)))/(($D$48/12)/2)))-SIN(2*ACOS(((($D$48/12)/2)-(($D$48/12)-(Q433/12)))/(($D$48/12)/2))))/2))/((PI()*($D$48/12))-((2*ACOS(((($D$48/12)/2)-(($D$48/12)-(Q433/12)))/(($D$48/12)/2)))*(($D$48/12)/2))))^(2/3)*$H$19^0.5)*(((PI()*($D$48/12)^2)/4)-((($D$48/12)/2)^2*((2*ACOS(((($D$48/12)/2)-(($D$48/12)-(Q433/12)))/(($D$48/12)/2)))-SIN(2*ACOS(((($D$48/12)/2)-(($D$48/12)-(Q433/12)))/(($D$48/12)/2))))/2))</f>
        <v>#VALUE!</v>
      </c>
      <c r="Q433">
        <v>3.21</v>
      </c>
      <c r="R433" s="154" t="e">
        <f t="shared" ref="R433:R496" si="60">((1.486/$D$36)*((((PI()*($D$49/12)^2)/4)-((($D$49/12)/2)^2*((2*ACOS(((($D$49/12)/2)-(($D$49/12)-(S433/12)))/(($D$49/12)/2)))-SIN(2*ACOS(((($D$49/12)/2)-(($D$49/12)-(S433/12)))/(($D$49/12)/2))))/2))/((PI()*($D$49/12))-((2*ACOS(((($D$49/12)/2)-(($D$49/12)-(S433/12)))/(($D$49/12)/2)))*(($D$49/12)/2))))^(2/3)*$H$20^0.5)*(((PI()*($D$49/12)^2)/4)-((($D$49/12)/2)^2*((2*ACOS(((($D$49/12)/2)-(($D$49/12)-(S433/12)))/(($D$49/12)/2)))-SIN(2*ACOS(((($D$49/12)/2)-(($D$49/12)-(S433/12)))/(($D$49/12)/2))))/2))</f>
        <v>#VALUE!</v>
      </c>
      <c r="S433">
        <v>3.21</v>
      </c>
      <c r="T433" s="154" t="e">
        <f t="shared" ref="T433:T496" si="61">((1.486/$D$37)*((((PI()*($D$50/12)^2)/4)-((($D$50/12)/2)^2*((2*ACOS(((($D$50/12)/2)-(($D$50/12)-(U433/12)))/(($D$50/12)/2)))-SIN(2*ACOS(((($D$50/12)/2)-(($D$50/12)-(U433/12)))/(($D$50/12)/2))))/2))/((PI()*($D$50/12))-((2*ACOS(((($D$50/12)/2)-(($D$50/12)-(U433/12)))/(($D$50/12)/2)))*(($D$50/12)/2))))^(2/3)*$H$21^0.5)*(((PI()*($D$50/12)^2)/4)-((($D$50/12)/2)^2*((2*ACOS(((($D$50/12)/2)-(($D$50/12)-(U433/12)))/(($D$50/12)/2)))-SIN(2*ACOS(((($D$50/12)/2)-(($D$50/12)-(U433/12)))/(($D$50/12)/2))))/2))</f>
        <v>#VALUE!</v>
      </c>
      <c r="U433">
        <v>3.21</v>
      </c>
      <c r="V433" s="154" t="e">
        <f t="shared" ref="V433:V496" si="62">((1.486/$D$38)*((((PI()*($D$51/12)^2)/4)-((($D$51/12)/2)^2*((2*ACOS(((($D$51/12)/2)-(($D$51/12)-(W433/12)))/(($D$51/12)/2)))-SIN(2*ACOS(((($D$51/12)/2)-(($D$51/12)-(W433/12)))/(($D$51/12)/2))))/2))/((PI()*($D$51/12))-((2*ACOS(((($D$51/12)/2)-(($D$51/12)-(W433/12)))/(($D$51/12)/2)))*(($D$51/12)/2))))^(2/3)*$H$22^0.5)*(((PI()*($D$51/12)^2)/4)-((($D$51/12)/2)^2*((2*ACOS(((($D$51/12)/2)-(($D$51/12)-(W433/12)))/(($D$51/12)/2)))-SIN(2*ACOS(((($D$51/12)/2)-(($D$51/12)-(W433/12)))/(($D$51/12)/2))))/2))</f>
        <v>#VALUE!</v>
      </c>
      <c r="W433">
        <v>3.21</v>
      </c>
      <c r="X433" s="157" t="e">
        <f t="shared" ref="X433:X496" si="63">((1.486/$D$39)*((((PI()*($D$52/12)^2)/4)-((($D$52/12)/2)^2*((2*ACOS(((($D$52/12)/2)-(($D$52/12)-(Y433/12)))/(($D$52/12)/2)))-SIN(2*ACOS(((($D$52/12)/2)-(($D$52/12)-(Y433/12)))/(($D$52/12)/2))))/2))/((PI()*($D$52/12))-((2*ACOS(((($D$52/12)/2)-(($D$52/12)-(Y433/12)))/(($D$52/12)/2)))*(($D$52/12)/2))))^(2/3)*$H$23^0.5)*(((PI()*($D$52/12)^2)/4)-((($D$52/12)/2)^2*((2*ACOS(((($D$52/12)/2)-(($D$52/12)-(Y433/12)))/(($D$52/12)/2)))-SIN(2*ACOS(((($D$52/12)/2)-(($D$52/12)-(Y433/12)))/(($D$52/12)/2))))/2))</f>
        <v>#VALUE!</v>
      </c>
      <c r="Y433">
        <v>3.21</v>
      </c>
      <c r="Z433" s="154" t="e">
        <f t="shared" ref="Z433:Z496" si="64">((1.486/$D$40)*((((PI()*($D$53/12)^2)/4)-((($D$53/12)/2)^2*((2*ACOS(((($D$53/12)/2)-(($D$53/12)-(AA433/12)))/(($D$53/12)/2)))-SIN(2*ACOS(((($D$53/12)/2)-(($D$53/12)-(AA433/12)))/(($D$53/12)/2))))/2))/((PI()*($D$53/12))-((2*ACOS(((($D$53/12)/2)-(($D$53/12)-(AA433/12)))/(($D$53/12)/2)))*(($D$53/12)/2))))^(2/3)*$H$24^0.5)*(((PI()*($D$53/12)^2)/4)-((($D$53/12)/2)^2*((2*ACOS(((($D$53/12)/2)-(($D$53/12)-(AA433/12)))/(($D$53/12)/2)))-SIN(2*ACOS(((($D$53/12)/2)-(($D$53/12)-(AA433/12)))/(($D$53/12)/2))))/2))</f>
        <v>#VALUE!</v>
      </c>
      <c r="AA433">
        <v>3.21</v>
      </c>
      <c r="AB433" s="154" t="e">
        <f t="shared" ref="AB433:AB496" si="65">((1.486/$D$41)*((((PI()*($D$54/12)^2)/4)-((($D$54/12)/2)^2*((2*ACOS(((($D$54/12)/2)-(($D$54/12)-(AC433/12)))/(($D$54/12)/2)))-SIN(2*ACOS(((($D$54/12)/2)-(($D$54/12)-(AC433/12)))/(($D$54/12)/2))))/2))/((PI()*($D$54/12))-((2*ACOS(((($D$54/12)/2)-(($D$54/12)-(AC433/12)))/(($D$54/12)/2)))*(($D$54/12)/2))))^(2/3)*$H$25^0.5)*(((PI()*($D$54/12)^2)/4)-((($D$54/12)/2)^2*((2*ACOS(((($D$54/12)/2)-(($D$54/12)-(AC433/12)))/(($D$54/12)/2)))-SIN(2*ACOS(((($D$54/12)/2)-(($D$54/12)-(AC433/12)))/(($D$54/12)/2))))/2))</f>
        <v>#VALUE!</v>
      </c>
      <c r="AC433">
        <v>3.21</v>
      </c>
      <c r="AD433" s="154" t="e">
        <f t="shared" ref="AD433:AD496" si="66">((1.486/$D$42)*((((PI()*($D$55/12)^2)/4)-((($D$55/12)/2)^2*((2*ACOS(((($D$55/12)/2)-(($D$55/12)-(AE433/12)))/(($D$55/12)/2)))-SIN(2*ACOS(((($D$55/12)/2)-(($D$55/12)-(AE433/12)))/(($D$55/12)/2))))/2))/((PI()*($D$55/12))-((2*ACOS(((($D$55/12)/2)-(($D$55/12)-(AE433/12)))/(($D$55/12)/2)))*(($D$55/12)/2))))^(2/3)*$H$26^0.5)*(((PI()*($D$55/12)^2)/4)-((($D$55/12)/2)^2*((2*ACOS(((($D$55/12)/2)-(($D$55/12)-(AE433/12)))/(($D$55/12)/2)))-SIN(2*ACOS(((($D$55/12)/2)-(($D$55/12)-(AE433/12)))/(($D$55/12)/2))))/2))</f>
        <v>#VALUE!</v>
      </c>
      <c r="AE433">
        <v>3.21</v>
      </c>
    </row>
    <row r="434" spans="12:31" ht="15" x14ac:dyDescent="0.2">
      <c r="L434" s="154" t="e">
        <f t="shared" si="57"/>
        <v>#VALUE!</v>
      </c>
      <c r="M434">
        <v>3.22</v>
      </c>
      <c r="N434" s="154" t="e">
        <f t="shared" si="58"/>
        <v>#VALUE!</v>
      </c>
      <c r="O434">
        <v>3.22</v>
      </c>
      <c r="P434" s="154" t="e">
        <f t="shared" si="59"/>
        <v>#VALUE!</v>
      </c>
      <c r="Q434">
        <v>3.22</v>
      </c>
      <c r="R434" s="154" t="e">
        <f t="shared" si="60"/>
        <v>#VALUE!</v>
      </c>
      <c r="S434">
        <v>3.22</v>
      </c>
      <c r="T434" s="154" t="e">
        <f t="shared" si="61"/>
        <v>#VALUE!</v>
      </c>
      <c r="U434">
        <v>3.22</v>
      </c>
      <c r="V434" s="154" t="e">
        <f t="shared" si="62"/>
        <v>#VALUE!</v>
      </c>
      <c r="W434">
        <v>3.22</v>
      </c>
      <c r="X434" s="157" t="e">
        <f t="shared" si="63"/>
        <v>#VALUE!</v>
      </c>
      <c r="Y434">
        <v>3.22</v>
      </c>
      <c r="Z434" s="154" t="e">
        <f t="shared" si="64"/>
        <v>#VALUE!</v>
      </c>
      <c r="AA434">
        <v>3.22</v>
      </c>
      <c r="AB434" s="154" t="e">
        <f t="shared" si="65"/>
        <v>#VALUE!</v>
      </c>
      <c r="AC434">
        <v>3.22</v>
      </c>
      <c r="AD434" s="154" t="e">
        <f t="shared" si="66"/>
        <v>#VALUE!</v>
      </c>
      <c r="AE434">
        <v>3.22</v>
      </c>
    </row>
    <row r="435" spans="12:31" ht="15" x14ac:dyDescent="0.2">
      <c r="L435" s="154" t="e">
        <f t="shared" si="57"/>
        <v>#VALUE!</v>
      </c>
      <c r="M435">
        <v>3.23</v>
      </c>
      <c r="N435" s="154" t="e">
        <f t="shared" si="58"/>
        <v>#VALUE!</v>
      </c>
      <c r="O435">
        <v>3.23</v>
      </c>
      <c r="P435" s="154" t="e">
        <f t="shared" si="59"/>
        <v>#VALUE!</v>
      </c>
      <c r="Q435">
        <v>3.23</v>
      </c>
      <c r="R435" s="154" t="e">
        <f t="shared" si="60"/>
        <v>#VALUE!</v>
      </c>
      <c r="S435">
        <v>3.23</v>
      </c>
      <c r="T435" s="154" t="e">
        <f t="shared" si="61"/>
        <v>#VALUE!</v>
      </c>
      <c r="U435">
        <v>3.23</v>
      </c>
      <c r="V435" s="154" t="e">
        <f t="shared" si="62"/>
        <v>#VALUE!</v>
      </c>
      <c r="W435">
        <v>3.23</v>
      </c>
      <c r="X435" s="157" t="e">
        <f t="shared" si="63"/>
        <v>#VALUE!</v>
      </c>
      <c r="Y435">
        <v>3.23</v>
      </c>
      <c r="Z435" s="154" t="e">
        <f t="shared" si="64"/>
        <v>#VALUE!</v>
      </c>
      <c r="AA435">
        <v>3.23</v>
      </c>
      <c r="AB435" s="154" t="e">
        <f t="shared" si="65"/>
        <v>#VALUE!</v>
      </c>
      <c r="AC435">
        <v>3.23</v>
      </c>
      <c r="AD435" s="154" t="e">
        <f t="shared" si="66"/>
        <v>#VALUE!</v>
      </c>
      <c r="AE435">
        <v>3.23</v>
      </c>
    </row>
    <row r="436" spans="12:31" ht="15" x14ac:dyDescent="0.2">
      <c r="L436" s="154" t="e">
        <f t="shared" si="57"/>
        <v>#VALUE!</v>
      </c>
      <c r="M436">
        <v>3.24</v>
      </c>
      <c r="N436" s="154" t="e">
        <f t="shared" si="58"/>
        <v>#VALUE!</v>
      </c>
      <c r="O436">
        <v>3.24</v>
      </c>
      <c r="P436" s="154" t="e">
        <f t="shared" si="59"/>
        <v>#VALUE!</v>
      </c>
      <c r="Q436">
        <v>3.24</v>
      </c>
      <c r="R436" s="154" t="e">
        <f t="shared" si="60"/>
        <v>#VALUE!</v>
      </c>
      <c r="S436">
        <v>3.24</v>
      </c>
      <c r="T436" s="154" t="e">
        <f t="shared" si="61"/>
        <v>#VALUE!</v>
      </c>
      <c r="U436">
        <v>3.24</v>
      </c>
      <c r="V436" s="154" t="e">
        <f t="shared" si="62"/>
        <v>#VALUE!</v>
      </c>
      <c r="W436">
        <v>3.24</v>
      </c>
      <c r="X436" s="157" t="e">
        <f t="shared" si="63"/>
        <v>#VALUE!</v>
      </c>
      <c r="Y436">
        <v>3.24</v>
      </c>
      <c r="Z436" s="154" t="e">
        <f t="shared" si="64"/>
        <v>#VALUE!</v>
      </c>
      <c r="AA436">
        <v>3.24</v>
      </c>
      <c r="AB436" s="154" t="e">
        <f t="shared" si="65"/>
        <v>#VALUE!</v>
      </c>
      <c r="AC436">
        <v>3.24</v>
      </c>
      <c r="AD436" s="154" t="e">
        <f t="shared" si="66"/>
        <v>#VALUE!</v>
      </c>
      <c r="AE436">
        <v>3.24</v>
      </c>
    </row>
    <row r="437" spans="12:31" ht="15" x14ac:dyDescent="0.2">
      <c r="L437" s="154" t="e">
        <f t="shared" si="57"/>
        <v>#VALUE!</v>
      </c>
      <c r="M437">
        <v>3.25</v>
      </c>
      <c r="N437" s="154" t="e">
        <f t="shared" si="58"/>
        <v>#VALUE!</v>
      </c>
      <c r="O437">
        <v>3.25</v>
      </c>
      <c r="P437" s="154" t="e">
        <f t="shared" si="59"/>
        <v>#VALUE!</v>
      </c>
      <c r="Q437">
        <v>3.25</v>
      </c>
      <c r="R437" s="154" t="e">
        <f t="shared" si="60"/>
        <v>#VALUE!</v>
      </c>
      <c r="S437">
        <v>3.25</v>
      </c>
      <c r="T437" s="154" t="e">
        <f t="shared" si="61"/>
        <v>#VALUE!</v>
      </c>
      <c r="U437">
        <v>3.25</v>
      </c>
      <c r="V437" s="154" t="e">
        <f t="shared" si="62"/>
        <v>#VALUE!</v>
      </c>
      <c r="W437">
        <v>3.25</v>
      </c>
      <c r="X437" s="157" t="e">
        <f t="shared" si="63"/>
        <v>#VALUE!</v>
      </c>
      <c r="Y437">
        <v>3.25</v>
      </c>
      <c r="Z437" s="154" t="e">
        <f t="shared" si="64"/>
        <v>#VALUE!</v>
      </c>
      <c r="AA437">
        <v>3.25</v>
      </c>
      <c r="AB437" s="154" t="e">
        <f t="shared" si="65"/>
        <v>#VALUE!</v>
      </c>
      <c r="AC437">
        <v>3.25</v>
      </c>
      <c r="AD437" s="154" t="e">
        <f t="shared" si="66"/>
        <v>#VALUE!</v>
      </c>
      <c r="AE437">
        <v>3.25</v>
      </c>
    </row>
    <row r="438" spans="12:31" ht="15" x14ac:dyDescent="0.2">
      <c r="L438" s="154" t="e">
        <f t="shared" si="57"/>
        <v>#VALUE!</v>
      </c>
      <c r="M438">
        <v>3.26</v>
      </c>
      <c r="N438" s="154" t="e">
        <f t="shared" si="58"/>
        <v>#VALUE!</v>
      </c>
      <c r="O438">
        <v>3.26</v>
      </c>
      <c r="P438" s="154" t="e">
        <f t="shared" si="59"/>
        <v>#VALUE!</v>
      </c>
      <c r="Q438">
        <v>3.26</v>
      </c>
      <c r="R438" s="154" t="e">
        <f t="shared" si="60"/>
        <v>#VALUE!</v>
      </c>
      <c r="S438">
        <v>3.26</v>
      </c>
      <c r="T438" s="154" t="e">
        <f t="shared" si="61"/>
        <v>#VALUE!</v>
      </c>
      <c r="U438">
        <v>3.26</v>
      </c>
      <c r="V438" s="154" t="e">
        <f t="shared" si="62"/>
        <v>#VALUE!</v>
      </c>
      <c r="W438">
        <v>3.26</v>
      </c>
      <c r="X438" s="157" t="e">
        <f t="shared" si="63"/>
        <v>#VALUE!</v>
      </c>
      <c r="Y438">
        <v>3.26</v>
      </c>
      <c r="Z438" s="154" t="e">
        <f t="shared" si="64"/>
        <v>#VALUE!</v>
      </c>
      <c r="AA438">
        <v>3.26</v>
      </c>
      <c r="AB438" s="154" t="e">
        <f t="shared" si="65"/>
        <v>#VALUE!</v>
      </c>
      <c r="AC438">
        <v>3.26</v>
      </c>
      <c r="AD438" s="154" t="e">
        <f t="shared" si="66"/>
        <v>#VALUE!</v>
      </c>
      <c r="AE438">
        <v>3.26</v>
      </c>
    </row>
    <row r="439" spans="12:31" ht="15" x14ac:dyDescent="0.2">
      <c r="L439" s="154" t="e">
        <f t="shared" si="57"/>
        <v>#VALUE!</v>
      </c>
      <c r="M439">
        <v>3.27</v>
      </c>
      <c r="N439" s="154" t="e">
        <f t="shared" si="58"/>
        <v>#VALUE!</v>
      </c>
      <c r="O439">
        <v>3.27</v>
      </c>
      <c r="P439" s="154" t="e">
        <f t="shared" si="59"/>
        <v>#VALUE!</v>
      </c>
      <c r="Q439">
        <v>3.27</v>
      </c>
      <c r="R439" s="154" t="e">
        <f t="shared" si="60"/>
        <v>#VALUE!</v>
      </c>
      <c r="S439">
        <v>3.27</v>
      </c>
      <c r="T439" s="154" t="e">
        <f t="shared" si="61"/>
        <v>#VALUE!</v>
      </c>
      <c r="U439">
        <v>3.27</v>
      </c>
      <c r="V439" s="154" t="e">
        <f t="shared" si="62"/>
        <v>#VALUE!</v>
      </c>
      <c r="W439">
        <v>3.27</v>
      </c>
      <c r="X439" s="157" t="e">
        <f t="shared" si="63"/>
        <v>#VALUE!</v>
      </c>
      <c r="Y439">
        <v>3.27</v>
      </c>
      <c r="Z439" s="154" t="e">
        <f t="shared" si="64"/>
        <v>#VALUE!</v>
      </c>
      <c r="AA439">
        <v>3.27</v>
      </c>
      <c r="AB439" s="154" t="e">
        <f t="shared" si="65"/>
        <v>#VALUE!</v>
      </c>
      <c r="AC439">
        <v>3.27</v>
      </c>
      <c r="AD439" s="154" t="e">
        <f t="shared" si="66"/>
        <v>#VALUE!</v>
      </c>
      <c r="AE439">
        <v>3.27</v>
      </c>
    </row>
    <row r="440" spans="12:31" ht="15" x14ac:dyDescent="0.2">
      <c r="L440" s="154" t="e">
        <f t="shared" si="57"/>
        <v>#VALUE!</v>
      </c>
      <c r="M440">
        <v>3.28</v>
      </c>
      <c r="N440" s="154" t="e">
        <f t="shared" si="58"/>
        <v>#VALUE!</v>
      </c>
      <c r="O440">
        <v>3.28</v>
      </c>
      <c r="P440" s="154" t="e">
        <f t="shared" si="59"/>
        <v>#VALUE!</v>
      </c>
      <c r="Q440">
        <v>3.28</v>
      </c>
      <c r="R440" s="154" t="e">
        <f t="shared" si="60"/>
        <v>#VALUE!</v>
      </c>
      <c r="S440">
        <v>3.28</v>
      </c>
      <c r="T440" s="154" t="e">
        <f t="shared" si="61"/>
        <v>#VALUE!</v>
      </c>
      <c r="U440">
        <v>3.28</v>
      </c>
      <c r="V440" s="154" t="e">
        <f t="shared" si="62"/>
        <v>#VALUE!</v>
      </c>
      <c r="W440">
        <v>3.28</v>
      </c>
      <c r="X440" s="157" t="e">
        <f t="shared" si="63"/>
        <v>#VALUE!</v>
      </c>
      <c r="Y440">
        <v>3.28</v>
      </c>
      <c r="Z440" s="154" t="e">
        <f t="shared" si="64"/>
        <v>#VALUE!</v>
      </c>
      <c r="AA440">
        <v>3.28</v>
      </c>
      <c r="AB440" s="154" t="e">
        <f t="shared" si="65"/>
        <v>#VALUE!</v>
      </c>
      <c r="AC440">
        <v>3.28</v>
      </c>
      <c r="AD440" s="154" t="e">
        <f t="shared" si="66"/>
        <v>#VALUE!</v>
      </c>
      <c r="AE440">
        <v>3.28</v>
      </c>
    </row>
    <row r="441" spans="12:31" ht="15" x14ac:dyDescent="0.2">
      <c r="L441" s="154" t="e">
        <f t="shared" si="57"/>
        <v>#VALUE!</v>
      </c>
      <c r="M441">
        <v>3.29</v>
      </c>
      <c r="N441" s="154" t="e">
        <f t="shared" si="58"/>
        <v>#VALUE!</v>
      </c>
      <c r="O441">
        <v>3.29</v>
      </c>
      <c r="P441" s="154" t="e">
        <f t="shared" si="59"/>
        <v>#VALUE!</v>
      </c>
      <c r="Q441">
        <v>3.29</v>
      </c>
      <c r="R441" s="154" t="e">
        <f t="shared" si="60"/>
        <v>#VALUE!</v>
      </c>
      <c r="S441">
        <v>3.29</v>
      </c>
      <c r="T441" s="154" t="e">
        <f t="shared" si="61"/>
        <v>#VALUE!</v>
      </c>
      <c r="U441">
        <v>3.29</v>
      </c>
      <c r="V441" s="154" t="e">
        <f t="shared" si="62"/>
        <v>#VALUE!</v>
      </c>
      <c r="W441">
        <v>3.29</v>
      </c>
      <c r="X441" s="157" t="e">
        <f t="shared" si="63"/>
        <v>#VALUE!</v>
      </c>
      <c r="Y441">
        <v>3.29</v>
      </c>
      <c r="Z441" s="154" t="e">
        <f t="shared" si="64"/>
        <v>#VALUE!</v>
      </c>
      <c r="AA441">
        <v>3.29</v>
      </c>
      <c r="AB441" s="154" t="e">
        <f t="shared" si="65"/>
        <v>#VALUE!</v>
      </c>
      <c r="AC441">
        <v>3.29</v>
      </c>
      <c r="AD441" s="154" t="e">
        <f t="shared" si="66"/>
        <v>#VALUE!</v>
      </c>
      <c r="AE441">
        <v>3.29</v>
      </c>
    </row>
    <row r="442" spans="12:31" ht="15" x14ac:dyDescent="0.2">
      <c r="L442" s="154" t="e">
        <f t="shared" si="57"/>
        <v>#VALUE!</v>
      </c>
      <c r="M442">
        <v>3.3</v>
      </c>
      <c r="N442" s="154" t="e">
        <f t="shared" si="58"/>
        <v>#VALUE!</v>
      </c>
      <c r="O442">
        <v>3.3</v>
      </c>
      <c r="P442" s="154" t="e">
        <f t="shared" si="59"/>
        <v>#VALUE!</v>
      </c>
      <c r="Q442">
        <v>3.3</v>
      </c>
      <c r="R442" s="154" t="e">
        <f t="shared" si="60"/>
        <v>#VALUE!</v>
      </c>
      <c r="S442">
        <v>3.3</v>
      </c>
      <c r="T442" s="154" t="e">
        <f t="shared" si="61"/>
        <v>#VALUE!</v>
      </c>
      <c r="U442">
        <v>3.3</v>
      </c>
      <c r="V442" s="154" t="e">
        <f t="shared" si="62"/>
        <v>#VALUE!</v>
      </c>
      <c r="W442">
        <v>3.3</v>
      </c>
      <c r="X442" s="157" t="e">
        <f t="shared" si="63"/>
        <v>#VALUE!</v>
      </c>
      <c r="Y442">
        <v>3.3</v>
      </c>
      <c r="Z442" s="154" t="e">
        <f t="shared" si="64"/>
        <v>#VALUE!</v>
      </c>
      <c r="AA442">
        <v>3.3</v>
      </c>
      <c r="AB442" s="154" t="e">
        <f t="shared" si="65"/>
        <v>#VALUE!</v>
      </c>
      <c r="AC442">
        <v>3.3</v>
      </c>
      <c r="AD442" s="154" t="e">
        <f t="shared" si="66"/>
        <v>#VALUE!</v>
      </c>
      <c r="AE442">
        <v>3.3</v>
      </c>
    </row>
    <row r="443" spans="12:31" ht="15" x14ac:dyDescent="0.2">
      <c r="L443" s="154" t="e">
        <f t="shared" si="57"/>
        <v>#VALUE!</v>
      </c>
      <c r="M443">
        <v>3.31</v>
      </c>
      <c r="N443" s="154" t="e">
        <f t="shared" si="58"/>
        <v>#VALUE!</v>
      </c>
      <c r="O443">
        <v>3.31</v>
      </c>
      <c r="P443" s="154" t="e">
        <f t="shared" si="59"/>
        <v>#VALUE!</v>
      </c>
      <c r="Q443">
        <v>3.31</v>
      </c>
      <c r="R443" s="154" t="e">
        <f t="shared" si="60"/>
        <v>#VALUE!</v>
      </c>
      <c r="S443">
        <v>3.31</v>
      </c>
      <c r="T443" s="154" t="e">
        <f t="shared" si="61"/>
        <v>#VALUE!</v>
      </c>
      <c r="U443">
        <v>3.31</v>
      </c>
      <c r="V443" s="154" t="e">
        <f t="shared" si="62"/>
        <v>#VALUE!</v>
      </c>
      <c r="W443">
        <v>3.31</v>
      </c>
      <c r="X443" s="157" t="e">
        <f t="shared" si="63"/>
        <v>#VALUE!</v>
      </c>
      <c r="Y443">
        <v>3.31</v>
      </c>
      <c r="Z443" s="154" t="e">
        <f t="shared" si="64"/>
        <v>#VALUE!</v>
      </c>
      <c r="AA443">
        <v>3.31</v>
      </c>
      <c r="AB443" s="154" t="e">
        <f t="shared" si="65"/>
        <v>#VALUE!</v>
      </c>
      <c r="AC443">
        <v>3.31</v>
      </c>
      <c r="AD443" s="154" t="e">
        <f t="shared" si="66"/>
        <v>#VALUE!</v>
      </c>
      <c r="AE443">
        <v>3.31</v>
      </c>
    </row>
    <row r="444" spans="12:31" ht="15" x14ac:dyDescent="0.2">
      <c r="L444" s="154" t="e">
        <f t="shared" si="57"/>
        <v>#VALUE!</v>
      </c>
      <c r="M444">
        <v>3.32</v>
      </c>
      <c r="N444" s="154" t="e">
        <f t="shared" si="58"/>
        <v>#VALUE!</v>
      </c>
      <c r="O444">
        <v>3.32</v>
      </c>
      <c r="P444" s="154" t="e">
        <f t="shared" si="59"/>
        <v>#VALUE!</v>
      </c>
      <c r="Q444">
        <v>3.32</v>
      </c>
      <c r="R444" s="154" t="e">
        <f t="shared" si="60"/>
        <v>#VALUE!</v>
      </c>
      <c r="S444">
        <v>3.32</v>
      </c>
      <c r="T444" s="154" t="e">
        <f t="shared" si="61"/>
        <v>#VALUE!</v>
      </c>
      <c r="U444">
        <v>3.32</v>
      </c>
      <c r="V444" s="154" t="e">
        <f t="shared" si="62"/>
        <v>#VALUE!</v>
      </c>
      <c r="W444">
        <v>3.32</v>
      </c>
      <c r="X444" s="157" t="e">
        <f t="shared" si="63"/>
        <v>#VALUE!</v>
      </c>
      <c r="Y444">
        <v>3.32</v>
      </c>
      <c r="Z444" s="154" t="e">
        <f t="shared" si="64"/>
        <v>#VALUE!</v>
      </c>
      <c r="AA444">
        <v>3.32</v>
      </c>
      <c r="AB444" s="154" t="e">
        <f t="shared" si="65"/>
        <v>#VALUE!</v>
      </c>
      <c r="AC444">
        <v>3.32</v>
      </c>
      <c r="AD444" s="154" t="e">
        <f t="shared" si="66"/>
        <v>#VALUE!</v>
      </c>
      <c r="AE444">
        <v>3.32</v>
      </c>
    </row>
    <row r="445" spans="12:31" ht="15" x14ac:dyDescent="0.2">
      <c r="L445" s="154" t="e">
        <f t="shared" si="57"/>
        <v>#VALUE!</v>
      </c>
      <c r="M445">
        <v>3.33</v>
      </c>
      <c r="N445" s="154" t="e">
        <f t="shared" si="58"/>
        <v>#VALUE!</v>
      </c>
      <c r="O445">
        <v>3.33</v>
      </c>
      <c r="P445" s="154" t="e">
        <f t="shared" si="59"/>
        <v>#VALUE!</v>
      </c>
      <c r="Q445">
        <v>3.33</v>
      </c>
      <c r="R445" s="154" t="e">
        <f t="shared" si="60"/>
        <v>#VALUE!</v>
      </c>
      <c r="S445">
        <v>3.33</v>
      </c>
      <c r="T445" s="154" t="e">
        <f t="shared" si="61"/>
        <v>#VALUE!</v>
      </c>
      <c r="U445">
        <v>3.33</v>
      </c>
      <c r="V445" s="154" t="e">
        <f t="shared" si="62"/>
        <v>#VALUE!</v>
      </c>
      <c r="W445">
        <v>3.33</v>
      </c>
      <c r="X445" s="157" t="e">
        <f t="shared" si="63"/>
        <v>#VALUE!</v>
      </c>
      <c r="Y445">
        <v>3.33</v>
      </c>
      <c r="Z445" s="154" t="e">
        <f t="shared" si="64"/>
        <v>#VALUE!</v>
      </c>
      <c r="AA445">
        <v>3.33</v>
      </c>
      <c r="AB445" s="154" t="e">
        <f t="shared" si="65"/>
        <v>#VALUE!</v>
      </c>
      <c r="AC445">
        <v>3.33</v>
      </c>
      <c r="AD445" s="154" t="e">
        <f t="shared" si="66"/>
        <v>#VALUE!</v>
      </c>
      <c r="AE445">
        <v>3.33</v>
      </c>
    </row>
    <row r="446" spans="12:31" ht="15" x14ac:dyDescent="0.2">
      <c r="L446" s="154" t="e">
        <f t="shared" si="57"/>
        <v>#VALUE!</v>
      </c>
      <c r="M446">
        <v>3.34</v>
      </c>
      <c r="N446" s="154" t="e">
        <f t="shared" si="58"/>
        <v>#VALUE!</v>
      </c>
      <c r="O446">
        <v>3.34</v>
      </c>
      <c r="P446" s="154" t="e">
        <f t="shared" si="59"/>
        <v>#VALUE!</v>
      </c>
      <c r="Q446">
        <v>3.34</v>
      </c>
      <c r="R446" s="154" t="e">
        <f t="shared" si="60"/>
        <v>#VALUE!</v>
      </c>
      <c r="S446">
        <v>3.34</v>
      </c>
      <c r="T446" s="154" t="e">
        <f t="shared" si="61"/>
        <v>#VALUE!</v>
      </c>
      <c r="U446">
        <v>3.34</v>
      </c>
      <c r="V446" s="154" t="e">
        <f t="shared" si="62"/>
        <v>#VALUE!</v>
      </c>
      <c r="W446">
        <v>3.34</v>
      </c>
      <c r="X446" s="157" t="e">
        <f t="shared" si="63"/>
        <v>#VALUE!</v>
      </c>
      <c r="Y446">
        <v>3.34</v>
      </c>
      <c r="Z446" s="154" t="e">
        <f t="shared" si="64"/>
        <v>#VALUE!</v>
      </c>
      <c r="AA446">
        <v>3.34</v>
      </c>
      <c r="AB446" s="154" t="e">
        <f t="shared" si="65"/>
        <v>#VALUE!</v>
      </c>
      <c r="AC446">
        <v>3.34</v>
      </c>
      <c r="AD446" s="154" t="e">
        <f t="shared" si="66"/>
        <v>#VALUE!</v>
      </c>
      <c r="AE446">
        <v>3.34</v>
      </c>
    </row>
    <row r="447" spans="12:31" ht="15" x14ac:dyDescent="0.2">
      <c r="L447" s="154" t="e">
        <f t="shared" si="57"/>
        <v>#VALUE!</v>
      </c>
      <c r="M447">
        <v>3.35</v>
      </c>
      <c r="N447" s="154" t="e">
        <f t="shared" si="58"/>
        <v>#VALUE!</v>
      </c>
      <c r="O447">
        <v>3.35</v>
      </c>
      <c r="P447" s="154" t="e">
        <f t="shared" si="59"/>
        <v>#VALUE!</v>
      </c>
      <c r="Q447">
        <v>3.35</v>
      </c>
      <c r="R447" s="154" t="e">
        <f t="shared" si="60"/>
        <v>#VALUE!</v>
      </c>
      <c r="S447">
        <v>3.35</v>
      </c>
      <c r="T447" s="154" t="e">
        <f t="shared" si="61"/>
        <v>#VALUE!</v>
      </c>
      <c r="U447">
        <v>3.35</v>
      </c>
      <c r="V447" s="154" t="e">
        <f t="shared" si="62"/>
        <v>#VALUE!</v>
      </c>
      <c r="W447">
        <v>3.35</v>
      </c>
      <c r="X447" s="157" t="e">
        <f t="shared" si="63"/>
        <v>#VALUE!</v>
      </c>
      <c r="Y447">
        <v>3.35</v>
      </c>
      <c r="Z447" s="154" t="e">
        <f t="shared" si="64"/>
        <v>#VALUE!</v>
      </c>
      <c r="AA447">
        <v>3.35</v>
      </c>
      <c r="AB447" s="154" t="e">
        <f t="shared" si="65"/>
        <v>#VALUE!</v>
      </c>
      <c r="AC447">
        <v>3.35</v>
      </c>
      <c r="AD447" s="154" t="e">
        <f t="shared" si="66"/>
        <v>#VALUE!</v>
      </c>
      <c r="AE447">
        <v>3.35</v>
      </c>
    </row>
    <row r="448" spans="12:31" ht="15" x14ac:dyDescent="0.2">
      <c r="L448" s="154" t="e">
        <f t="shared" si="57"/>
        <v>#VALUE!</v>
      </c>
      <c r="M448">
        <v>3.36</v>
      </c>
      <c r="N448" s="154" t="e">
        <f t="shared" si="58"/>
        <v>#VALUE!</v>
      </c>
      <c r="O448">
        <v>3.36</v>
      </c>
      <c r="P448" s="154" t="e">
        <f t="shared" si="59"/>
        <v>#VALUE!</v>
      </c>
      <c r="Q448">
        <v>3.36</v>
      </c>
      <c r="R448" s="154" t="e">
        <f t="shared" si="60"/>
        <v>#VALUE!</v>
      </c>
      <c r="S448">
        <v>3.36</v>
      </c>
      <c r="T448" s="154" t="e">
        <f t="shared" si="61"/>
        <v>#VALUE!</v>
      </c>
      <c r="U448">
        <v>3.36</v>
      </c>
      <c r="V448" s="154" t="e">
        <f t="shared" si="62"/>
        <v>#VALUE!</v>
      </c>
      <c r="W448">
        <v>3.36</v>
      </c>
      <c r="X448" s="157" t="e">
        <f t="shared" si="63"/>
        <v>#VALUE!</v>
      </c>
      <c r="Y448">
        <v>3.36</v>
      </c>
      <c r="Z448" s="154" t="e">
        <f t="shared" si="64"/>
        <v>#VALUE!</v>
      </c>
      <c r="AA448">
        <v>3.36</v>
      </c>
      <c r="AB448" s="154" t="e">
        <f t="shared" si="65"/>
        <v>#VALUE!</v>
      </c>
      <c r="AC448">
        <v>3.36</v>
      </c>
      <c r="AD448" s="154" t="e">
        <f t="shared" si="66"/>
        <v>#VALUE!</v>
      </c>
      <c r="AE448">
        <v>3.36</v>
      </c>
    </row>
    <row r="449" spans="12:31" ht="15" x14ac:dyDescent="0.2">
      <c r="L449" s="154" t="e">
        <f t="shared" si="57"/>
        <v>#VALUE!</v>
      </c>
      <c r="M449">
        <v>3.37</v>
      </c>
      <c r="N449" s="154" t="e">
        <f t="shared" si="58"/>
        <v>#VALUE!</v>
      </c>
      <c r="O449">
        <v>3.37</v>
      </c>
      <c r="P449" s="154" t="e">
        <f t="shared" si="59"/>
        <v>#VALUE!</v>
      </c>
      <c r="Q449">
        <v>3.37</v>
      </c>
      <c r="R449" s="154" t="e">
        <f t="shared" si="60"/>
        <v>#VALUE!</v>
      </c>
      <c r="S449">
        <v>3.37</v>
      </c>
      <c r="T449" s="154" t="e">
        <f t="shared" si="61"/>
        <v>#VALUE!</v>
      </c>
      <c r="U449">
        <v>3.37</v>
      </c>
      <c r="V449" s="154" t="e">
        <f t="shared" si="62"/>
        <v>#VALUE!</v>
      </c>
      <c r="W449">
        <v>3.37</v>
      </c>
      <c r="X449" s="157" t="e">
        <f t="shared" si="63"/>
        <v>#VALUE!</v>
      </c>
      <c r="Y449">
        <v>3.37</v>
      </c>
      <c r="Z449" s="154" t="e">
        <f t="shared" si="64"/>
        <v>#VALUE!</v>
      </c>
      <c r="AA449">
        <v>3.37</v>
      </c>
      <c r="AB449" s="154" t="e">
        <f t="shared" si="65"/>
        <v>#VALUE!</v>
      </c>
      <c r="AC449">
        <v>3.37</v>
      </c>
      <c r="AD449" s="154" t="e">
        <f t="shared" si="66"/>
        <v>#VALUE!</v>
      </c>
      <c r="AE449">
        <v>3.37</v>
      </c>
    </row>
    <row r="450" spans="12:31" ht="15" x14ac:dyDescent="0.2">
      <c r="L450" s="154" t="e">
        <f t="shared" si="57"/>
        <v>#VALUE!</v>
      </c>
      <c r="M450">
        <v>3.38</v>
      </c>
      <c r="N450" s="154" t="e">
        <f t="shared" si="58"/>
        <v>#VALUE!</v>
      </c>
      <c r="O450">
        <v>3.38</v>
      </c>
      <c r="P450" s="154" t="e">
        <f t="shared" si="59"/>
        <v>#VALUE!</v>
      </c>
      <c r="Q450">
        <v>3.38</v>
      </c>
      <c r="R450" s="154" t="e">
        <f t="shared" si="60"/>
        <v>#VALUE!</v>
      </c>
      <c r="S450">
        <v>3.38</v>
      </c>
      <c r="T450" s="154" t="e">
        <f t="shared" si="61"/>
        <v>#VALUE!</v>
      </c>
      <c r="U450">
        <v>3.38</v>
      </c>
      <c r="V450" s="154" t="e">
        <f t="shared" si="62"/>
        <v>#VALUE!</v>
      </c>
      <c r="W450">
        <v>3.38</v>
      </c>
      <c r="X450" s="157" t="e">
        <f t="shared" si="63"/>
        <v>#VALUE!</v>
      </c>
      <c r="Y450">
        <v>3.38</v>
      </c>
      <c r="Z450" s="154" t="e">
        <f t="shared" si="64"/>
        <v>#VALUE!</v>
      </c>
      <c r="AA450">
        <v>3.38</v>
      </c>
      <c r="AB450" s="154" t="e">
        <f t="shared" si="65"/>
        <v>#VALUE!</v>
      </c>
      <c r="AC450">
        <v>3.38</v>
      </c>
      <c r="AD450" s="154" t="e">
        <f t="shared" si="66"/>
        <v>#VALUE!</v>
      </c>
      <c r="AE450">
        <v>3.38</v>
      </c>
    </row>
    <row r="451" spans="12:31" ht="15" x14ac:dyDescent="0.2">
      <c r="L451" s="154" t="e">
        <f t="shared" si="57"/>
        <v>#VALUE!</v>
      </c>
      <c r="M451">
        <v>3.39</v>
      </c>
      <c r="N451" s="154" t="e">
        <f t="shared" si="58"/>
        <v>#VALUE!</v>
      </c>
      <c r="O451">
        <v>3.39</v>
      </c>
      <c r="P451" s="154" t="e">
        <f t="shared" si="59"/>
        <v>#VALUE!</v>
      </c>
      <c r="Q451">
        <v>3.39</v>
      </c>
      <c r="R451" s="154" t="e">
        <f t="shared" si="60"/>
        <v>#VALUE!</v>
      </c>
      <c r="S451">
        <v>3.39</v>
      </c>
      <c r="T451" s="154" t="e">
        <f t="shared" si="61"/>
        <v>#VALUE!</v>
      </c>
      <c r="U451">
        <v>3.39</v>
      </c>
      <c r="V451" s="154" t="e">
        <f t="shared" si="62"/>
        <v>#VALUE!</v>
      </c>
      <c r="W451">
        <v>3.39</v>
      </c>
      <c r="X451" s="157" t="e">
        <f t="shared" si="63"/>
        <v>#VALUE!</v>
      </c>
      <c r="Y451">
        <v>3.39</v>
      </c>
      <c r="Z451" s="154" t="e">
        <f t="shared" si="64"/>
        <v>#VALUE!</v>
      </c>
      <c r="AA451">
        <v>3.39</v>
      </c>
      <c r="AB451" s="154" t="e">
        <f t="shared" si="65"/>
        <v>#VALUE!</v>
      </c>
      <c r="AC451">
        <v>3.39</v>
      </c>
      <c r="AD451" s="154" t="e">
        <f t="shared" si="66"/>
        <v>#VALUE!</v>
      </c>
      <c r="AE451">
        <v>3.39</v>
      </c>
    </row>
    <row r="452" spans="12:31" ht="15" x14ac:dyDescent="0.2">
      <c r="L452" s="154" t="e">
        <f t="shared" si="57"/>
        <v>#VALUE!</v>
      </c>
      <c r="M452">
        <v>3.4</v>
      </c>
      <c r="N452" s="154" t="e">
        <f t="shared" si="58"/>
        <v>#VALUE!</v>
      </c>
      <c r="O452">
        <v>3.4</v>
      </c>
      <c r="P452" s="154" t="e">
        <f t="shared" si="59"/>
        <v>#VALUE!</v>
      </c>
      <c r="Q452">
        <v>3.4</v>
      </c>
      <c r="R452" s="154" t="e">
        <f t="shared" si="60"/>
        <v>#VALUE!</v>
      </c>
      <c r="S452">
        <v>3.4</v>
      </c>
      <c r="T452" s="154" t="e">
        <f t="shared" si="61"/>
        <v>#VALUE!</v>
      </c>
      <c r="U452">
        <v>3.4</v>
      </c>
      <c r="V452" s="154" t="e">
        <f t="shared" si="62"/>
        <v>#VALUE!</v>
      </c>
      <c r="W452">
        <v>3.4</v>
      </c>
      <c r="X452" s="157" t="e">
        <f t="shared" si="63"/>
        <v>#VALUE!</v>
      </c>
      <c r="Y452">
        <v>3.4</v>
      </c>
      <c r="Z452" s="154" t="e">
        <f t="shared" si="64"/>
        <v>#VALUE!</v>
      </c>
      <c r="AA452">
        <v>3.4</v>
      </c>
      <c r="AB452" s="154" t="e">
        <f t="shared" si="65"/>
        <v>#VALUE!</v>
      </c>
      <c r="AC452">
        <v>3.4</v>
      </c>
      <c r="AD452" s="154" t="e">
        <f t="shared" si="66"/>
        <v>#VALUE!</v>
      </c>
      <c r="AE452">
        <v>3.4</v>
      </c>
    </row>
    <row r="453" spans="12:31" ht="15" x14ac:dyDescent="0.2">
      <c r="L453" s="154" t="e">
        <f t="shared" si="57"/>
        <v>#VALUE!</v>
      </c>
      <c r="M453">
        <v>3.41</v>
      </c>
      <c r="N453" s="154" t="e">
        <f t="shared" si="58"/>
        <v>#VALUE!</v>
      </c>
      <c r="O453">
        <v>3.41</v>
      </c>
      <c r="P453" s="154" t="e">
        <f t="shared" si="59"/>
        <v>#VALUE!</v>
      </c>
      <c r="Q453">
        <v>3.41</v>
      </c>
      <c r="R453" s="154" t="e">
        <f t="shared" si="60"/>
        <v>#VALUE!</v>
      </c>
      <c r="S453">
        <v>3.41</v>
      </c>
      <c r="T453" s="154" t="e">
        <f t="shared" si="61"/>
        <v>#VALUE!</v>
      </c>
      <c r="U453">
        <v>3.41</v>
      </c>
      <c r="V453" s="154" t="e">
        <f t="shared" si="62"/>
        <v>#VALUE!</v>
      </c>
      <c r="W453">
        <v>3.41</v>
      </c>
      <c r="X453" s="157" t="e">
        <f t="shared" si="63"/>
        <v>#VALUE!</v>
      </c>
      <c r="Y453">
        <v>3.41</v>
      </c>
      <c r="Z453" s="154" t="e">
        <f t="shared" si="64"/>
        <v>#VALUE!</v>
      </c>
      <c r="AA453">
        <v>3.41</v>
      </c>
      <c r="AB453" s="154" t="e">
        <f t="shared" si="65"/>
        <v>#VALUE!</v>
      </c>
      <c r="AC453">
        <v>3.41</v>
      </c>
      <c r="AD453" s="154" t="e">
        <f t="shared" si="66"/>
        <v>#VALUE!</v>
      </c>
      <c r="AE453">
        <v>3.41</v>
      </c>
    </row>
    <row r="454" spans="12:31" ht="15" x14ac:dyDescent="0.2">
      <c r="L454" s="154" t="e">
        <f t="shared" si="57"/>
        <v>#VALUE!</v>
      </c>
      <c r="M454">
        <v>3.42</v>
      </c>
      <c r="N454" s="154" t="e">
        <f t="shared" si="58"/>
        <v>#VALUE!</v>
      </c>
      <c r="O454">
        <v>3.42</v>
      </c>
      <c r="P454" s="154" t="e">
        <f t="shared" si="59"/>
        <v>#VALUE!</v>
      </c>
      <c r="Q454">
        <v>3.42</v>
      </c>
      <c r="R454" s="154" t="e">
        <f t="shared" si="60"/>
        <v>#VALUE!</v>
      </c>
      <c r="S454">
        <v>3.42</v>
      </c>
      <c r="T454" s="154" t="e">
        <f t="shared" si="61"/>
        <v>#VALUE!</v>
      </c>
      <c r="U454">
        <v>3.42</v>
      </c>
      <c r="V454" s="154" t="e">
        <f t="shared" si="62"/>
        <v>#VALUE!</v>
      </c>
      <c r="W454">
        <v>3.42</v>
      </c>
      <c r="X454" s="157" t="e">
        <f t="shared" si="63"/>
        <v>#VALUE!</v>
      </c>
      <c r="Y454">
        <v>3.42</v>
      </c>
      <c r="Z454" s="154" t="e">
        <f t="shared" si="64"/>
        <v>#VALUE!</v>
      </c>
      <c r="AA454">
        <v>3.42</v>
      </c>
      <c r="AB454" s="154" t="e">
        <f t="shared" si="65"/>
        <v>#VALUE!</v>
      </c>
      <c r="AC454">
        <v>3.42</v>
      </c>
      <c r="AD454" s="154" t="e">
        <f t="shared" si="66"/>
        <v>#VALUE!</v>
      </c>
      <c r="AE454">
        <v>3.42</v>
      </c>
    </row>
    <row r="455" spans="12:31" ht="15" x14ac:dyDescent="0.2">
      <c r="L455" s="154" t="e">
        <f t="shared" si="57"/>
        <v>#VALUE!</v>
      </c>
      <c r="M455">
        <v>3.43</v>
      </c>
      <c r="N455" s="154" t="e">
        <f t="shared" si="58"/>
        <v>#VALUE!</v>
      </c>
      <c r="O455">
        <v>3.43</v>
      </c>
      <c r="P455" s="154" t="e">
        <f t="shared" si="59"/>
        <v>#VALUE!</v>
      </c>
      <c r="Q455">
        <v>3.43</v>
      </c>
      <c r="R455" s="154" t="e">
        <f t="shared" si="60"/>
        <v>#VALUE!</v>
      </c>
      <c r="S455">
        <v>3.43</v>
      </c>
      <c r="T455" s="154" t="e">
        <f t="shared" si="61"/>
        <v>#VALUE!</v>
      </c>
      <c r="U455">
        <v>3.43</v>
      </c>
      <c r="V455" s="154" t="e">
        <f t="shared" si="62"/>
        <v>#VALUE!</v>
      </c>
      <c r="W455">
        <v>3.43</v>
      </c>
      <c r="X455" s="157" t="e">
        <f t="shared" si="63"/>
        <v>#VALUE!</v>
      </c>
      <c r="Y455">
        <v>3.43</v>
      </c>
      <c r="Z455" s="154" t="e">
        <f t="shared" si="64"/>
        <v>#VALUE!</v>
      </c>
      <c r="AA455">
        <v>3.43</v>
      </c>
      <c r="AB455" s="154" t="e">
        <f t="shared" si="65"/>
        <v>#VALUE!</v>
      </c>
      <c r="AC455">
        <v>3.43</v>
      </c>
      <c r="AD455" s="154" t="e">
        <f t="shared" si="66"/>
        <v>#VALUE!</v>
      </c>
      <c r="AE455">
        <v>3.43</v>
      </c>
    </row>
    <row r="456" spans="12:31" ht="15" x14ac:dyDescent="0.2">
      <c r="L456" s="154" t="e">
        <f t="shared" si="57"/>
        <v>#VALUE!</v>
      </c>
      <c r="M456">
        <v>3.44</v>
      </c>
      <c r="N456" s="154" t="e">
        <f t="shared" si="58"/>
        <v>#VALUE!</v>
      </c>
      <c r="O456">
        <v>3.44</v>
      </c>
      <c r="P456" s="154" t="e">
        <f t="shared" si="59"/>
        <v>#VALUE!</v>
      </c>
      <c r="Q456">
        <v>3.44</v>
      </c>
      <c r="R456" s="154" t="e">
        <f t="shared" si="60"/>
        <v>#VALUE!</v>
      </c>
      <c r="S456">
        <v>3.44</v>
      </c>
      <c r="T456" s="154" t="e">
        <f t="shared" si="61"/>
        <v>#VALUE!</v>
      </c>
      <c r="U456">
        <v>3.44</v>
      </c>
      <c r="V456" s="154" t="e">
        <f t="shared" si="62"/>
        <v>#VALUE!</v>
      </c>
      <c r="W456">
        <v>3.44</v>
      </c>
      <c r="X456" s="157" t="e">
        <f t="shared" si="63"/>
        <v>#VALUE!</v>
      </c>
      <c r="Y456">
        <v>3.44</v>
      </c>
      <c r="Z456" s="154" t="e">
        <f t="shared" si="64"/>
        <v>#VALUE!</v>
      </c>
      <c r="AA456">
        <v>3.44</v>
      </c>
      <c r="AB456" s="154" t="e">
        <f t="shared" si="65"/>
        <v>#VALUE!</v>
      </c>
      <c r="AC456">
        <v>3.44</v>
      </c>
      <c r="AD456" s="154" t="e">
        <f t="shared" si="66"/>
        <v>#VALUE!</v>
      </c>
      <c r="AE456">
        <v>3.44</v>
      </c>
    </row>
    <row r="457" spans="12:31" ht="15" x14ac:dyDescent="0.2">
      <c r="L457" s="154" t="e">
        <f t="shared" si="57"/>
        <v>#VALUE!</v>
      </c>
      <c r="M457">
        <v>3.45</v>
      </c>
      <c r="N457" s="154" t="e">
        <f t="shared" si="58"/>
        <v>#VALUE!</v>
      </c>
      <c r="O457">
        <v>3.45</v>
      </c>
      <c r="P457" s="154" t="e">
        <f t="shared" si="59"/>
        <v>#VALUE!</v>
      </c>
      <c r="Q457">
        <v>3.45</v>
      </c>
      <c r="R457" s="154" t="e">
        <f t="shared" si="60"/>
        <v>#VALUE!</v>
      </c>
      <c r="S457">
        <v>3.45</v>
      </c>
      <c r="T457" s="154" t="e">
        <f t="shared" si="61"/>
        <v>#VALUE!</v>
      </c>
      <c r="U457">
        <v>3.45</v>
      </c>
      <c r="V457" s="154" t="e">
        <f t="shared" si="62"/>
        <v>#VALUE!</v>
      </c>
      <c r="W457">
        <v>3.45</v>
      </c>
      <c r="X457" s="157" t="e">
        <f t="shared" si="63"/>
        <v>#VALUE!</v>
      </c>
      <c r="Y457">
        <v>3.45</v>
      </c>
      <c r="Z457" s="154" t="e">
        <f t="shared" si="64"/>
        <v>#VALUE!</v>
      </c>
      <c r="AA457">
        <v>3.45</v>
      </c>
      <c r="AB457" s="154" t="e">
        <f t="shared" si="65"/>
        <v>#VALUE!</v>
      </c>
      <c r="AC457">
        <v>3.45</v>
      </c>
      <c r="AD457" s="154" t="e">
        <f t="shared" si="66"/>
        <v>#VALUE!</v>
      </c>
      <c r="AE457">
        <v>3.45</v>
      </c>
    </row>
    <row r="458" spans="12:31" ht="15" x14ac:dyDescent="0.2">
      <c r="L458" s="154" t="e">
        <f t="shared" si="57"/>
        <v>#VALUE!</v>
      </c>
      <c r="M458">
        <v>3.46</v>
      </c>
      <c r="N458" s="154" t="e">
        <f t="shared" si="58"/>
        <v>#VALUE!</v>
      </c>
      <c r="O458">
        <v>3.46</v>
      </c>
      <c r="P458" s="154" t="e">
        <f t="shared" si="59"/>
        <v>#VALUE!</v>
      </c>
      <c r="Q458">
        <v>3.46</v>
      </c>
      <c r="R458" s="154" t="e">
        <f t="shared" si="60"/>
        <v>#VALUE!</v>
      </c>
      <c r="S458">
        <v>3.46</v>
      </c>
      <c r="T458" s="154" t="e">
        <f t="shared" si="61"/>
        <v>#VALUE!</v>
      </c>
      <c r="U458">
        <v>3.46</v>
      </c>
      <c r="V458" s="154" t="e">
        <f t="shared" si="62"/>
        <v>#VALUE!</v>
      </c>
      <c r="W458">
        <v>3.46</v>
      </c>
      <c r="X458" s="157" t="e">
        <f t="shared" si="63"/>
        <v>#VALUE!</v>
      </c>
      <c r="Y458">
        <v>3.46</v>
      </c>
      <c r="Z458" s="154" t="e">
        <f t="shared" si="64"/>
        <v>#VALUE!</v>
      </c>
      <c r="AA458">
        <v>3.46</v>
      </c>
      <c r="AB458" s="154" t="e">
        <f t="shared" si="65"/>
        <v>#VALUE!</v>
      </c>
      <c r="AC458">
        <v>3.46</v>
      </c>
      <c r="AD458" s="154" t="e">
        <f t="shared" si="66"/>
        <v>#VALUE!</v>
      </c>
      <c r="AE458">
        <v>3.46</v>
      </c>
    </row>
    <row r="459" spans="12:31" ht="15" x14ac:dyDescent="0.2">
      <c r="L459" s="154" t="e">
        <f t="shared" si="57"/>
        <v>#VALUE!</v>
      </c>
      <c r="M459">
        <v>3.47</v>
      </c>
      <c r="N459" s="154" t="e">
        <f t="shared" si="58"/>
        <v>#VALUE!</v>
      </c>
      <c r="O459">
        <v>3.47</v>
      </c>
      <c r="P459" s="154" t="e">
        <f t="shared" si="59"/>
        <v>#VALUE!</v>
      </c>
      <c r="Q459">
        <v>3.47</v>
      </c>
      <c r="R459" s="154" t="e">
        <f t="shared" si="60"/>
        <v>#VALUE!</v>
      </c>
      <c r="S459">
        <v>3.47</v>
      </c>
      <c r="T459" s="154" t="e">
        <f t="shared" si="61"/>
        <v>#VALUE!</v>
      </c>
      <c r="U459">
        <v>3.47</v>
      </c>
      <c r="V459" s="154" t="e">
        <f t="shared" si="62"/>
        <v>#VALUE!</v>
      </c>
      <c r="W459">
        <v>3.47</v>
      </c>
      <c r="X459" s="157" t="e">
        <f t="shared" si="63"/>
        <v>#VALUE!</v>
      </c>
      <c r="Y459">
        <v>3.47</v>
      </c>
      <c r="Z459" s="154" t="e">
        <f t="shared" si="64"/>
        <v>#VALUE!</v>
      </c>
      <c r="AA459">
        <v>3.47</v>
      </c>
      <c r="AB459" s="154" t="e">
        <f t="shared" si="65"/>
        <v>#VALUE!</v>
      </c>
      <c r="AC459">
        <v>3.47</v>
      </c>
      <c r="AD459" s="154" t="e">
        <f t="shared" si="66"/>
        <v>#VALUE!</v>
      </c>
      <c r="AE459">
        <v>3.47</v>
      </c>
    </row>
    <row r="460" spans="12:31" ht="15" x14ac:dyDescent="0.2">
      <c r="L460" s="154" t="e">
        <f t="shared" si="57"/>
        <v>#VALUE!</v>
      </c>
      <c r="M460">
        <v>3.48</v>
      </c>
      <c r="N460" s="154" t="e">
        <f t="shared" si="58"/>
        <v>#VALUE!</v>
      </c>
      <c r="O460">
        <v>3.48</v>
      </c>
      <c r="P460" s="154" t="e">
        <f t="shared" si="59"/>
        <v>#VALUE!</v>
      </c>
      <c r="Q460">
        <v>3.48</v>
      </c>
      <c r="R460" s="154" t="e">
        <f t="shared" si="60"/>
        <v>#VALUE!</v>
      </c>
      <c r="S460">
        <v>3.48</v>
      </c>
      <c r="T460" s="154" t="e">
        <f t="shared" si="61"/>
        <v>#VALUE!</v>
      </c>
      <c r="U460">
        <v>3.48</v>
      </c>
      <c r="V460" s="154" t="e">
        <f t="shared" si="62"/>
        <v>#VALUE!</v>
      </c>
      <c r="W460">
        <v>3.48</v>
      </c>
      <c r="X460" s="157" t="e">
        <f t="shared" si="63"/>
        <v>#VALUE!</v>
      </c>
      <c r="Y460">
        <v>3.48</v>
      </c>
      <c r="Z460" s="154" t="e">
        <f t="shared" si="64"/>
        <v>#VALUE!</v>
      </c>
      <c r="AA460">
        <v>3.48</v>
      </c>
      <c r="AB460" s="154" t="e">
        <f t="shared" si="65"/>
        <v>#VALUE!</v>
      </c>
      <c r="AC460">
        <v>3.48</v>
      </c>
      <c r="AD460" s="154" t="e">
        <f t="shared" si="66"/>
        <v>#VALUE!</v>
      </c>
      <c r="AE460">
        <v>3.48</v>
      </c>
    </row>
    <row r="461" spans="12:31" ht="15" x14ac:dyDescent="0.2">
      <c r="L461" s="154" t="e">
        <f t="shared" si="57"/>
        <v>#VALUE!</v>
      </c>
      <c r="M461">
        <v>3.49</v>
      </c>
      <c r="N461" s="154" t="e">
        <f t="shared" si="58"/>
        <v>#VALUE!</v>
      </c>
      <c r="O461">
        <v>3.49</v>
      </c>
      <c r="P461" s="154" t="e">
        <f t="shared" si="59"/>
        <v>#VALUE!</v>
      </c>
      <c r="Q461">
        <v>3.49</v>
      </c>
      <c r="R461" s="154" t="e">
        <f t="shared" si="60"/>
        <v>#VALUE!</v>
      </c>
      <c r="S461">
        <v>3.49</v>
      </c>
      <c r="T461" s="154" t="e">
        <f t="shared" si="61"/>
        <v>#VALUE!</v>
      </c>
      <c r="U461">
        <v>3.49</v>
      </c>
      <c r="V461" s="154" t="e">
        <f t="shared" si="62"/>
        <v>#VALUE!</v>
      </c>
      <c r="W461">
        <v>3.49</v>
      </c>
      <c r="X461" s="157" t="e">
        <f t="shared" si="63"/>
        <v>#VALUE!</v>
      </c>
      <c r="Y461">
        <v>3.49</v>
      </c>
      <c r="Z461" s="154" t="e">
        <f t="shared" si="64"/>
        <v>#VALUE!</v>
      </c>
      <c r="AA461">
        <v>3.49</v>
      </c>
      <c r="AB461" s="154" t="e">
        <f t="shared" si="65"/>
        <v>#VALUE!</v>
      </c>
      <c r="AC461">
        <v>3.49</v>
      </c>
      <c r="AD461" s="154" t="e">
        <f t="shared" si="66"/>
        <v>#VALUE!</v>
      </c>
      <c r="AE461">
        <v>3.49</v>
      </c>
    </row>
    <row r="462" spans="12:31" ht="15" x14ac:dyDescent="0.2">
      <c r="L462" s="154" t="e">
        <f t="shared" si="57"/>
        <v>#VALUE!</v>
      </c>
      <c r="M462">
        <v>3.5</v>
      </c>
      <c r="N462" s="154" t="e">
        <f t="shared" si="58"/>
        <v>#VALUE!</v>
      </c>
      <c r="O462">
        <v>3.5</v>
      </c>
      <c r="P462" s="154" t="e">
        <f t="shared" si="59"/>
        <v>#VALUE!</v>
      </c>
      <c r="Q462">
        <v>3.5</v>
      </c>
      <c r="R462" s="154" t="e">
        <f t="shared" si="60"/>
        <v>#VALUE!</v>
      </c>
      <c r="S462">
        <v>3.5</v>
      </c>
      <c r="T462" s="154" t="e">
        <f t="shared" si="61"/>
        <v>#VALUE!</v>
      </c>
      <c r="U462">
        <v>3.5</v>
      </c>
      <c r="V462" s="154" t="e">
        <f t="shared" si="62"/>
        <v>#VALUE!</v>
      </c>
      <c r="W462">
        <v>3.5</v>
      </c>
      <c r="X462" s="157" t="e">
        <f t="shared" si="63"/>
        <v>#VALUE!</v>
      </c>
      <c r="Y462">
        <v>3.5</v>
      </c>
      <c r="Z462" s="154" t="e">
        <f t="shared" si="64"/>
        <v>#VALUE!</v>
      </c>
      <c r="AA462">
        <v>3.5</v>
      </c>
      <c r="AB462" s="154" t="e">
        <f t="shared" si="65"/>
        <v>#VALUE!</v>
      </c>
      <c r="AC462">
        <v>3.5</v>
      </c>
      <c r="AD462" s="154" t="e">
        <f t="shared" si="66"/>
        <v>#VALUE!</v>
      </c>
      <c r="AE462">
        <v>3.5</v>
      </c>
    </row>
    <row r="463" spans="12:31" ht="15" x14ac:dyDescent="0.2">
      <c r="L463" s="154" t="e">
        <f t="shared" si="57"/>
        <v>#VALUE!</v>
      </c>
      <c r="M463">
        <v>3.51</v>
      </c>
      <c r="N463" s="154" t="e">
        <f t="shared" si="58"/>
        <v>#VALUE!</v>
      </c>
      <c r="O463">
        <v>3.51</v>
      </c>
      <c r="P463" s="154" t="e">
        <f t="shared" si="59"/>
        <v>#VALUE!</v>
      </c>
      <c r="Q463">
        <v>3.51</v>
      </c>
      <c r="R463" s="154" t="e">
        <f t="shared" si="60"/>
        <v>#VALUE!</v>
      </c>
      <c r="S463">
        <v>3.51</v>
      </c>
      <c r="T463" s="154" t="e">
        <f t="shared" si="61"/>
        <v>#VALUE!</v>
      </c>
      <c r="U463">
        <v>3.51</v>
      </c>
      <c r="V463" s="154" t="e">
        <f t="shared" si="62"/>
        <v>#VALUE!</v>
      </c>
      <c r="W463">
        <v>3.51</v>
      </c>
      <c r="X463" s="157" t="e">
        <f t="shared" si="63"/>
        <v>#VALUE!</v>
      </c>
      <c r="Y463">
        <v>3.51</v>
      </c>
      <c r="Z463" s="154" t="e">
        <f t="shared" si="64"/>
        <v>#VALUE!</v>
      </c>
      <c r="AA463">
        <v>3.51</v>
      </c>
      <c r="AB463" s="154" t="e">
        <f t="shared" si="65"/>
        <v>#VALUE!</v>
      </c>
      <c r="AC463">
        <v>3.51</v>
      </c>
      <c r="AD463" s="154" t="e">
        <f t="shared" si="66"/>
        <v>#VALUE!</v>
      </c>
      <c r="AE463">
        <v>3.51</v>
      </c>
    </row>
    <row r="464" spans="12:31" ht="15" x14ac:dyDescent="0.2">
      <c r="L464" s="154" t="e">
        <f t="shared" si="57"/>
        <v>#VALUE!</v>
      </c>
      <c r="M464">
        <v>3.52</v>
      </c>
      <c r="N464" s="154" t="e">
        <f t="shared" si="58"/>
        <v>#VALUE!</v>
      </c>
      <c r="O464">
        <v>3.52</v>
      </c>
      <c r="P464" s="154" t="e">
        <f t="shared" si="59"/>
        <v>#VALUE!</v>
      </c>
      <c r="Q464">
        <v>3.52</v>
      </c>
      <c r="R464" s="154" t="e">
        <f t="shared" si="60"/>
        <v>#VALUE!</v>
      </c>
      <c r="S464">
        <v>3.52</v>
      </c>
      <c r="T464" s="154" t="e">
        <f t="shared" si="61"/>
        <v>#VALUE!</v>
      </c>
      <c r="U464">
        <v>3.52</v>
      </c>
      <c r="V464" s="154" t="e">
        <f t="shared" si="62"/>
        <v>#VALUE!</v>
      </c>
      <c r="W464">
        <v>3.52</v>
      </c>
      <c r="X464" s="157" t="e">
        <f t="shared" si="63"/>
        <v>#VALUE!</v>
      </c>
      <c r="Y464">
        <v>3.52</v>
      </c>
      <c r="Z464" s="154" t="e">
        <f t="shared" si="64"/>
        <v>#VALUE!</v>
      </c>
      <c r="AA464">
        <v>3.52</v>
      </c>
      <c r="AB464" s="154" t="e">
        <f t="shared" si="65"/>
        <v>#VALUE!</v>
      </c>
      <c r="AC464">
        <v>3.52</v>
      </c>
      <c r="AD464" s="154" t="e">
        <f t="shared" si="66"/>
        <v>#VALUE!</v>
      </c>
      <c r="AE464">
        <v>3.52</v>
      </c>
    </row>
    <row r="465" spans="12:31" ht="15" x14ac:dyDescent="0.2">
      <c r="L465" s="154" t="e">
        <f t="shared" si="57"/>
        <v>#VALUE!</v>
      </c>
      <c r="M465">
        <v>3.53</v>
      </c>
      <c r="N465" s="154" t="e">
        <f t="shared" si="58"/>
        <v>#VALUE!</v>
      </c>
      <c r="O465">
        <v>3.53</v>
      </c>
      <c r="P465" s="154" t="e">
        <f t="shared" si="59"/>
        <v>#VALUE!</v>
      </c>
      <c r="Q465">
        <v>3.53</v>
      </c>
      <c r="R465" s="154" t="e">
        <f t="shared" si="60"/>
        <v>#VALUE!</v>
      </c>
      <c r="S465">
        <v>3.53</v>
      </c>
      <c r="T465" s="154" t="e">
        <f t="shared" si="61"/>
        <v>#VALUE!</v>
      </c>
      <c r="U465">
        <v>3.53</v>
      </c>
      <c r="V465" s="154" t="e">
        <f t="shared" si="62"/>
        <v>#VALUE!</v>
      </c>
      <c r="W465">
        <v>3.53</v>
      </c>
      <c r="X465" s="157" t="e">
        <f t="shared" si="63"/>
        <v>#VALUE!</v>
      </c>
      <c r="Y465">
        <v>3.53</v>
      </c>
      <c r="Z465" s="154" t="e">
        <f t="shared" si="64"/>
        <v>#VALUE!</v>
      </c>
      <c r="AA465">
        <v>3.53</v>
      </c>
      <c r="AB465" s="154" t="e">
        <f t="shared" si="65"/>
        <v>#VALUE!</v>
      </c>
      <c r="AC465">
        <v>3.53</v>
      </c>
      <c r="AD465" s="154" t="e">
        <f t="shared" si="66"/>
        <v>#VALUE!</v>
      </c>
      <c r="AE465">
        <v>3.53</v>
      </c>
    </row>
    <row r="466" spans="12:31" ht="15" x14ac:dyDescent="0.2">
      <c r="L466" s="154" t="e">
        <f t="shared" si="57"/>
        <v>#VALUE!</v>
      </c>
      <c r="M466">
        <v>3.54</v>
      </c>
      <c r="N466" s="154" t="e">
        <f t="shared" si="58"/>
        <v>#VALUE!</v>
      </c>
      <c r="O466">
        <v>3.54</v>
      </c>
      <c r="P466" s="154" t="e">
        <f t="shared" si="59"/>
        <v>#VALUE!</v>
      </c>
      <c r="Q466">
        <v>3.54</v>
      </c>
      <c r="R466" s="154" t="e">
        <f t="shared" si="60"/>
        <v>#VALUE!</v>
      </c>
      <c r="S466">
        <v>3.54</v>
      </c>
      <c r="T466" s="154" t="e">
        <f t="shared" si="61"/>
        <v>#VALUE!</v>
      </c>
      <c r="U466">
        <v>3.54</v>
      </c>
      <c r="V466" s="154" t="e">
        <f t="shared" si="62"/>
        <v>#VALUE!</v>
      </c>
      <c r="W466">
        <v>3.54</v>
      </c>
      <c r="X466" s="157" t="e">
        <f t="shared" si="63"/>
        <v>#VALUE!</v>
      </c>
      <c r="Y466">
        <v>3.54</v>
      </c>
      <c r="Z466" s="154" t="e">
        <f t="shared" si="64"/>
        <v>#VALUE!</v>
      </c>
      <c r="AA466">
        <v>3.54</v>
      </c>
      <c r="AB466" s="154" t="e">
        <f t="shared" si="65"/>
        <v>#VALUE!</v>
      </c>
      <c r="AC466">
        <v>3.54</v>
      </c>
      <c r="AD466" s="154" t="e">
        <f t="shared" si="66"/>
        <v>#VALUE!</v>
      </c>
      <c r="AE466">
        <v>3.54</v>
      </c>
    </row>
    <row r="467" spans="12:31" ht="15" x14ac:dyDescent="0.2">
      <c r="L467" s="154" t="e">
        <f t="shared" si="57"/>
        <v>#VALUE!</v>
      </c>
      <c r="M467">
        <v>3.55</v>
      </c>
      <c r="N467" s="154" t="e">
        <f t="shared" si="58"/>
        <v>#VALUE!</v>
      </c>
      <c r="O467">
        <v>3.55</v>
      </c>
      <c r="P467" s="154" t="e">
        <f t="shared" si="59"/>
        <v>#VALUE!</v>
      </c>
      <c r="Q467">
        <v>3.55</v>
      </c>
      <c r="R467" s="154" t="e">
        <f t="shared" si="60"/>
        <v>#VALUE!</v>
      </c>
      <c r="S467">
        <v>3.55</v>
      </c>
      <c r="T467" s="154" t="e">
        <f t="shared" si="61"/>
        <v>#VALUE!</v>
      </c>
      <c r="U467">
        <v>3.55</v>
      </c>
      <c r="V467" s="154" t="e">
        <f t="shared" si="62"/>
        <v>#VALUE!</v>
      </c>
      <c r="W467">
        <v>3.55</v>
      </c>
      <c r="X467" s="157" t="e">
        <f t="shared" si="63"/>
        <v>#VALUE!</v>
      </c>
      <c r="Y467">
        <v>3.55</v>
      </c>
      <c r="Z467" s="154" t="e">
        <f t="shared" si="64"/>
        <v>#VALUE!</v>
      </c>
      <c r="AA467">
        <v>3.55</v>
      </c>
      <c r="AB467" s="154" t="e">
        <f t="shared" si="65"/>
        <v>#VALUE!</v>
      </c>
      <c r="AC467">
        <v>3.55</v>
      </c>
      <c r="AD467" s="154" t="e">
        <f t="shared" si="66"/>
        <v>#VALUE!</v>
      </c>
      <c r="AE467">
        <v>3.55</v>
      </c>
    </row>
    <row r="468" spans="12:31" ht="15" x14ac:dyDescent="0.2">
      <c r="L468" s="154" t="e">
        <f t="shared" si="57"/>
        <v>#VALUE!</v>
      </c>
      <c r="M468">
        <v>3.56</v>
      </c>
      <c r="N468" s="154" t="e">
        <f t="shared" si="58"/>
        <v>#VALUE!</v>
      </c>
      <c r="O468">
        <v>3.56</v>
      </c>
      <c r="P468" s="154" t="e">
        <f t="shared" si="59"/>
        <v>#VALUE!</v>
      </c>
      <c r="Q468">
        <v>3.56</v>
      </c>
      <c r="R468" s="154" t="e">
        <f t="shared" si="60"/>
        <v>#VALUE!</v>
      </c>
      <c r="S468">
        <v>3.56</v>
      </c>
      <c r="T468" s="154" t="e">
        <f t="shared" si="61"/>
        <v>#VALUE!</v>
      </c>
      <c r="U468">
        <v>3.56</v>
      </c>
      <c r="V468" s="154" t="e">
        <f t="shared" si="62"/>
        <v>#VALUE!</v>
      </c>
      <c r="W468">
        <v>3.56</v>
      </c>
      <c r="X468" s="157" t="e">
        <f t="shared" si="63"/>
        <v>#VALUE!</v>
      </c>
      <c r="Y468">
        <v>3.56</v>
      </c>
      <c r="Z468" s="154" t="e">
        <f t="shared" si="64"/>
        <v>#VALUE!</v>
      </c>
      <c r="AA468">
        <v>3.56</v>
      </c>
      <c r="AB468" s="154" t="e">
        <f t="shared" si="65"/>
        <v>#VALUE!</v>
      </c>
      <c r="AC468">
        <v>3.56</v>
      </c>
      <c r="AD468" s="154" t="e">
        <f t="shared" si="66"/>
        <v>#VALUE!</v>
      </c>
      <c r="AE468">
        <v>3.56</v>
      </c>
    </row>
    <row r="469" spans="12:31" ht="15" x14ac:dyDescent="0.2">
      <c r="L469" s="154" t="e">
        <f t="shared" si="57"/>
        <v>#VALUE!</v>
      </c>
      <c r="M469">
        <v>3.57</v>
      </c>
      <c r="N469" s="154" t="e">
        <f t="shared" si="58"/>
        <v>#VALUE!</v>
      </c>
      <c r="O469">
        <v>3.57</v>
      </c>
      <c r="P469" s="154" t="e">
        <f t="shared" si="59"/>
        <v>#VALUE!</v>
      </c>
      <c r="Q469">
        <v>3.57</v>
      </c>
      <c r="R469" s="154" t="e">
        <f t="shared" si="60"/>
        <v>#VALUE!</v>
      </c>
      <c r="S469">
        <v>3.57</v>
      </c>
      <c r="T469" s="154" t="e">
        <f t="shared" si="61"/>
        <v>#VALUE!</v>
      </c>
      <c r="U469">
        <v>3.57</v>
      </c>
      <c r="V469" s="154" t="e">
        <f t="shared" si="62"/>
        <v>#VALUE!</v>
      </c>
      <c r="W469">
        <v>3.57</v>
      </c>
      <c r="X469" s="157" t="e">
        <f t="shared" si="63"/>
        <v>#VALUE!</v>
      </c>
      <c r="Y469">
        <v>3.57</v>
      </c>
      <c r="Z469" s="154" t="e">
        <f t="shared" si="64"/>
        <v>#VALUE!</v>
      </c>
      <c r="AA469">
        <v>3.57</v>
      </c>
      <c r="AB469" s="154" t="e">
        <f t="shared" si="65"/>
        <v>#VALUE!</v>
      </c>
      <c r="AC469">
        <v>3.57</v>
      </c>
      <c r="AD469" s="154" t="e">
        <f t="shared" si="66"/>
        <v>#VALUE!</v>
      </c>
      <c r="AE469">
        <v>3.57</v>
      </c>
    </row>
    <row r="470" spans="12:31" ht="15" x14ac:dyDescent="0.2">
      <c r="L470" s="154" t="e">
        <f t="shared" si="57"/>
        <v>#VALUE!</v>
      </c>
      <c r="M470">
        <v>3.58</v>
      </c>
      <c r="N470" s="154" t="e">
        <f t="shared" si="58"/>
        <v>#VALUE!</v>
      </c>
      <c r="O470">
        <v>3.58</v>
      </c>
      <c r="P470" s="154" t="e">
        <f t="shared" si="59"/>
        <v>#VALUE!</v>
      </c>
      <c r="Q470">
        <v>3.58</v>
      </c>
      <c r="R470" s="154" t="e">
        <f t="shared" si="60"/>
        <v>#VALUE!</v>
      </c>
      <c r="S470">
        <v>3.58</v>
      </c>
      <c r="T470" s="154" t="e">
        <f t="shared" si="61"/>
        <v>#VALUE!</v>
      </c>
      <c r="U470">
        <v>3.58</v>
      </c>
      <c r="V470" s="154" t="e">
        <f t="shared" si="62"/>
        <v>#VALUE!</v>
      </c>
      <c r="W470">
        <v>3.58</v>
      </c>
      <c r="X470" s="157" t="e">
        <f t="shared" si="63"/>
        <v>#VALUE!</v>
      </c>
      <c r="Y470">
        <v>3.58</v>
      </c>
      <c r="Z470" s="154" t="e">
        <f t="shared" si="64"/>
        <v>#VALUE!</v>
      </c>
      <c r="AA470">
        <v>3.58</v>
      </c>
      <c r="AB470" s="154" t="e">
        <f t="shared" si="65"/>
        <v>#VALUE!</v>
      </c>
      <c r="AC470">
        <v>3.58</v>
      </c>
      <c r="AD470" s="154" t="e">
        <f t="shared" si="66"/>
        <v>#VALUE!</v>
      </c>
      <c r="AE470">
        <v>3.58</v>
      </c>
    </row>
    <row r="471" spans="12:31" ht="15" x14ac:dyDescent="0.2">
      <c r="L471" s="154" t="e">
        <f t="shared" si="57"/>
        <v>#VALUE!</v>
      </c>
      <c r="M471">
        <v>3.59</v>
      </c>
      <c r="N471" s="154" t="e">
        <f t="shared" si="58"/>
        <v>#VALUE!</v>
      </c>
      <c r="O471">
        <v>3.59</v>
      </c>
      <c r="P471" s="154" t="e">
        <f t="shared" si="59"/>
        <v>#VALUE!</v>
      </c>
      <c r="Q471">
        <v>3.59</v>
      </c>
      <c r="R471" s="154" t="e">
        <f t="shared" si="60"/>
        <v>#VALUE!</v>
      </c>
      <c r="S471">
        <v>3.59</v>
      </c>
      <c r="T471" s="154" t="e">
        <f t="shared" si="61"/>
        <v>#VALUE!</v>
      </c>
      <c r="U471">
        <v>3.59</v>
      </c>
      <c r="V471" s="154" t="e">
        <f t="shared" si="62"/>
        <v>#VALUE!</v>
      </c>
      <c r="W471">
        <v>3.59</v>
      </c>
      <c r="X471" s="157" t="e">
        <f t="shared" si="63"/>
        <v>#VALUE!</v>
      </c>
      <c r="Y471">
        <v>3.59</v>
      </c>
      <c r="Z471" s="154" t="e">
        <f t="shared" si="64"/>
        <v>#VALUE!</v>
      </c>
      <c r="AA471">
        <v>3.59</v>
      </c>
      <c r="AB471" s="154" t="e">
        <f t="shared" si="65"/>
        <v>#VALUE!</v>
      </c>
      <c r="AC471">
        <v>3.59</v>
      </c>
      <c r="AD471" s="154" t="e">
        <f t="shared" si="66"/>
        <v>#VALUE!</v>
      </c>
      <c r="AE471">
        <v>3.59</v>
      </c>
    </row>
    <row r="472" spans="12:31" ht="15" x14ac:dyDescent="0.2">
      <c r="L472" s="154" t="e">
        <f t="shared" si="57"/>
        <v>#VALUE!</v>
      </c>
      <c r="M472">
        <v>3.6</v>
      </c>
      <c r="N472" s="154" t="e">
        <f t="shared" si="58"/>
        <v>#VALUE!</v>
      </c>
      <c r="O472">
        <v>3.6</v>
      </c>
      <c r="P472" s="154" t="e">
        <f t="shared" si="59"/>
        <v>#VALUE!</v>
      </c>
      <c r="Q472">
        <v>3.6</v>
      </c>
      <c r="R472" s="154" t="e">
        <f t="shared" si="60"/>
        <v>#VALUE!</v>
      </c>
      <c r="S472">
        <v>3.6</v>
      </c>
      <c r="T472" s="154" t="e">
        <f t="shared" si="61"/>
        <v>#VALUE!</v>
      </c>
      <c r="U472">
        <v>3.6</v>
      </c>
      <c r="V472" s="154" t="e">
        <f t="shared" si="62"/>
        <v>#VALUE!</v>
      </c>
      <c r="W472">
        <v>3.6</v>
      </c>
      <c r="X472" s="157" t="e">
        <f t="shared" si="63"/>
        <v>#VALUE!</v>
      </c>
      <c r="Y472">
        <v>3.6</v>
      </c>
      <c r="Z472" s="154" t="e">
        <f t="shared" si="64"/>
        <v>#VALUE!</v>
      </c>
      <c r="AA472">
        <v>3.6</v>
      </c>
      <c r="AB472" s="154" t="e">
        <f t="shared" si="65"/>
        <v>#VALUE!</v>
      </c>
      <c r="AC472">
        <v>3.6</v>
      </c>
      <c r="AD472" s="154" t="e">
        <f t="shared" si="66"/>
        <v>#VALUE!</v>
      </c>
      <c r="AE472">
        <v>3.6</v>
      </c>
    </row>
    <row r="473" spans="12:31" ht="15" x14ac:dyDescent="0.2">
      <c r="L473" s="154" t="e">
        <f t="shared" si="57"/>
        <v>#VALUE!</v>
      </c>
      <c r="M473">
        <v>3.61</v>
      </c>
      <c r="N473" s="154" t="e">
        <f t="shared" si="58"/>
        <v>#VALUE!</v>
      </c>
      <c r="O473">
        <v>3.61</v>
      </c>
      <c r="P473" s="154" t="e">
        <f t="shared" si="59"/>
        <v>#VALUE!</v>
      </c>
      <c r="Q473">
        <v>3.61</v>
      </c>
      <c r="R473" s="154" t="e">
        <f t="shared" si="60"/>
        <v>#VALUE!</v>
      </c>
      <c r="S473">
        <v>3.61</v>
      </c>
      <c r="T473" s="154" t="e">
        <f t="shared" si="61"/>
        <v>#VALUE!</v>
      </c>
      <c r="U473">
        <v>3.61</v>
      </c>
      <c r="V473" s="154" t="e">
        <f t="shared" si="62"/>
        <v>#VALUE!</v>
      </c>
      <c r="W473">
        <v>3.61</v>
      </c>
      <c r="X473" s="157" t="e">
        <f t="shared" si="63"/>
        <v>#VALUE!</v>
      </c>
      <c r="Y473">
        <v>3.61</v>
      </c>
      <c r="Z473" s="154" t="e">
        <f t="shared" si="64"/>
        <v>#VALUE!</v>
      </c>
      <c r="AA473">
        <v>3.61</v>
      </c>
      <c r="AB473" s="154" t="e">
        <f t="shared" si="65"/>
        <v>#VALUE!</v>
      </c>
      <c r="AC473">
        <v>3.61</v>
      </c>
      <c r="AD473" s="154" t="e">
        <f t="shared" si="66"/>
        <v>#VALUE!</v>
      </c>
      <c r="AE473">
        <v>3.61</v>
      </c>
    </row>
    <row r="474" spans="12:31" ht="15" x14ac:dyDescent="0.2">
      <c r="L474" s="154" t="e">
        <f t="shared" si="57"/>
        <v>#VALUE!</v>
      </c>
      <c r="M474">
        <v>3.62</v>
      </c>
      <c r="N474" s="154" t="e">
        <f t="shared" si="58"/>
        <v>#VALUE!</v>
      </c>
      <c r="O474">
        <v>3.62</v>
      </c>
      <c r="P474" s="154" t="e">
        <f t="shared" si="59"/>
        <v>#VALUE!</v>
      </c>
      <c r="Q474">
        <v>3.62</v>
      </c>
      <c r="R474" s="154" t="e">
        <f t="shared" si="60"/>
        <v>#VALUE!</v>
      </c>
      <c r="S474">
        <v>3.62</v>
      </c>
      <c r="T474" s="154" t="e">
        <f t="shared" si="61"/>
        <v>#VALUE!</v>
      </c>
      <c r="U474">
        <v>3.62</v>
      </c>
      <c r="V474" s="154" t="e">
        <f t="shared" si="62"/>
        <v>#VALUE!</v>
      </c>
      <c r="W474">
        <v>3.62</v>
      </c>
      <c r="X474" s="157" t="e">
        <f t="shared" si="63"/>
        <v>#VALUE!</v>
      </c>
      <c r="Y474">
        <v>3.62</v>
      </c>
      <c r="Z474" s="154" t="e">
        <f t="shared" si="64"/>
        <v>#VALUE!</v>
      </c>
      <c r="AA474">
        <v>3.62</v>
      </c>
      <c r="AB474" s="154" t="e">
        <f t="shared" si="65"/>
        <v>#VALUE!</v>
      </c>
      <c r="AC474">
        <v>3.62</v>
      </c>
      <c r="AD474" s="154" t="e">
        <f t="shared" si="66"/>
        <v>#VALUE!</v>
      </c>
      <c r="AE474">
        <v>3.62</v>
      </c>
    </row>
    <row r="475" spans="12:31" ht="15" x14ac:dyDescent="0.2">
      <c r="L475" s="154" t="e">
        <f t="shared" si="57"/>
        <v>#VALUE!</v>
      </c>
      <c r="M475">
        <v>3.63</v>
      </c>
      <c r="N475" s="154" t="e">
        <f t="shared" si="58"/>
        <v>#VALUE!</v>
      </c>
      <c r="O475">
        <v>3.63</v>
      </c>
      <c r="P475" s="154" t="e">
        <f t="shared" si="59"/>
        <v>#VALUE!</v>
      </c>
      <c r="Q475">
        <v>3.63</v>
      </c>
      <c r="R475" s="154" t="e">
        <f t="shared" si="60"/>
        <v>#VALUE!</v>
      </c>
      <c r="S475">
        <v>3.63</v>
      </c>
      <c r="T475" s="154" t="e">
        <f t="shared" si="61"/>
        <v>#VALUE!</v>
      </c>
      <c r="U475">
        <v>3.63</v>
      </c>
      <c r="V475" s="154" t="e">
        <f t="shared" si="62"/>
        <v>#VALUE!</v>
      </c>
      <c r="W475">
        <v>3.63</v>
      </c>
      <c r="X475" s="157" t="e">
        <f t="shared" si="63"/>
        <v>#VALUE!</v>
      </c>
      <c r="Y475">
        <v>3.63</v>
      </c>
      <c r="Z475" s="154" t="e">
        <f t="shared" si="64"/>
        <v>#VALUE!</v>
      </c>
      <c r="AA475">
        <v>3.63</v>
      </c>
      <c r="AB475" s="154" t="e">
        <f t="shared" si="65"/>
        <v>#VALUE!</v>
      </c>
      <c r="AC475">
        <v>3.63</v>
      </c>
      <c r="AD475" s="154" t="e">
        <f t="shared" si="66"/>
        <v>#VALUE!</v>
      </c>
      <c r="AE475">
        <v>3.63</v>
      </c>
    </row>
    <row r="476" spans="12:31" ht="15" x14ac:dyDescent="0.2">
      <c r="L476" s="154" t="e">
        <f t="shared" si="57"/>
        <v>#VALUE!</v>
      </c>
      <c r="M476">
        <v>3.64</v>
      </c>
      <c r="N476" s="154" t="e">
        <f t="shared" si="58"/>
        <v>#VALUE!</v>
      </c>
      <c r="O476">
        <v>3.64</v>
      </c>
      <c r="P476" s="154" t="e">
        <f t="shared" si="59"/>
        <v>#VALUE!</v>
      </c>
      <c r="Q476">
        <v>3.64</v>
      </c>
      <c r="R476" s="154" t="e">
        <f t="shared" si="60"/>
        <v>#VALUE!</v>
      </c>
      <c r="S476">
        <v>3.64</v>
      </c>
      <c r="T476" s="154" t="e">
        <f t="shared" si="61"/>
        <v>#VALUE!</v>
      </c>
      <c r="U476">
        <v>3.64</v>
      </c>
      <c r="V476" s="154" t="e">
        <f t="shared" si="62"/>
        <v>#VALUE!</v>
      </c>
      <c r="W476">
        <v>3.64</v>
      </c>
      <c r="X476" s="157" t="e">
        <f t="shared" si="63"/>
        <v>#VALUE!</v>
      </c>
      <c r="Y476">
        <v>3.64</v>
      </c>
      <c r="Z476" s="154" t="e">
        <f t="shared" si="64"/>
        <v>#VALUE!</v>
      </c>
      <c r="AA476">
        <v>3.64</v>
      </c>
      <c r="AB476" s="154" t="e">
        <f t="shared" si="65"/>
        <v>#VALUE!</v>
      </c>
      <c r="AC476">
        <v>3.64</v>
      </c>
      <c r="AD476" s="154" t="e">
        <f t="shared" si="66"/>
        <v>#VALUE!</v>
      </c>
      <c r="AE476">
        <v>3.64</v>
      </c>
    </row>
    <row r="477" spans="12:31" ht="15" x14ac:dyDescent="0.2">
      <c r="L477" s="154" t="e">
        <f t="shared" si="57"/>
        <v>#VALUE!</v>
      </c>
      <c r="M477">
        <v>3.65</v>
      </c>
      <c r="N477" s="154" t="e">
        <f t="shared" si="58"/>
        <v>#VALUE!</v>
      </c>
      <c r="O477">
        <v>3.65</v>
      </c>
      <c r="P477" s="154" t="e">
        <f t="shared" si="59"/>
        <v>#VALUE!</v>
      </c>
      <c r="Q477">
        <v>3.65</v>
      </c>
      <c r="R477" s="154" t="e">
        <f t="shared" si="60"/>
        <v>#VALUE!</v>
      </c>
      <c r="S477">
        <v>3.65</v>
      </c>
      <c r="T477" s="154" t="e">
        <f t="shared" si="61"/>
        <v>#VALUE!</v>
      </c>
      <c r="U477">
        <v>3.65</v>
      </c>
      <c r="V477" s="154" t="e">
        <f t="shared" si="62"/>
        <v>#VALUE!</v>
      </c>
      <c r="W477">
        <v>3.65</v>
      </c>
      <c r="X477" s="157" t="e">
        <f t="shared" si="63"/>
        <v>#VALUE!</v>
      </c>
      <c r="Y477">
        <v>3.65</v>
      </c>
      <c r="Z477" s="154" t="e">
        <f t="shared" si="64"/>
        <v>#VALUE!</v>
      </c>
      <c r="AA477">
        <v>3.65</v>
      </c>
      <c r="AB477" s="154" t="e">
        <f t="shared" si="65"/>
        <v>#VALUE!</v>
      </c>
      <c r="AC477">
        <v>3.65</v>
      </c>
      <c r="AD477" s="154" t="e">
        <f t="shared" si="66"/>
        <v>#VALUE!</v>
      </c>
      <c r="AE477">
        <v>3.65</v>
      </c>
    </row>
    <row r="478" spans="12:31" ht="15" x14ac:dyDescent="0.2">
      <c r="L478" s="154" t="e">
        <f t="shared" si="57"/>
        <v>#VALUE!</v>
      </c>
      <c r="M478">
        <v>3.66</v>
      </c>
      <c r="N478" s="154" t="e">
        <f t="shared" si="58"/>
        <v>#VALUE!</v>
      </c>
      <c r="O478">
        <v>3.66</v>
      </c>
      <c r="P478" s="154" t="e">
        <f t="shared" si="59"/>
        <v>#VALUE!</v>
      </c>
      <c r="Q478">
        <v>3.66</v>
      </c>
      <c r="R478" s="154" t="e">
        <f t="shared" si="60"/>
        <v>#VALUE!</v>
      </c>
      <c r="S478">
        <v>3.66</v>
      </c>
      <c r="T478" s="154" t="e">
        <f t="shared" si="61"/>
        <v>#VALUE!</v>
      </c>
      <c r="U478">
        <v>3.66</v>
      </c>
      <c r="V478" s="154" t="e">
        <f t="shared" si="62"/>
        <v>#VALUE!</v>
      </c>
      <c r="W478">
        <v>3.66</v>
      </c>
      <c r="X478" s="157" t="e">
        <f t="shared" si="63"/>
        <v>#VALUE!</v>
      </c>
      <c r="Y478">
        <v>3.66</v>
      </c>
      <c r="Z478" s="154" t="e">
        <f t="shared" si="64"/>
        <v>#VALUE!</v>
      </c>
      <c r="AA478">
        <v>3.66</v>
      </c>
      <c r="AB478" s="154" t="e">
        <f t="shared" si="65"/>
        <v>#VALUE!</v>
      </c>
      <c r="AC478">
        <v>3.66</v>
      </c>
      <c r="AD478" s="154" t="e">
        <f t="shared" si="66"/>
        <v>#VALUE!</v>
      </c>
      <c r="AE478">
        <v>3.66</v>
      </c>
    </row>
    <row r="479" spans="12:31" ht="15" x14ac:dyDescent="0.2">
      <c r="L479" s="154" t="e">
        <f t="shared" si="57"/>
        <v>#VALUE!</v>
      </c>
      <c r="M479">
        <v>3.67</v>
      </c>
      <c r="N479" s="154" t="e">
        <f t="shared" si="58"/>
        <v>#VALUE!</v>
      </c>
      <c r="O479">
        <v>3.67</v>
      </c>
      <c r="P479" s="154" t="e">
        <f t="shared" si="59"/>
        <v>#VALUE!</v>
      </c>
      <c r="Q479">
        <v>3.67</v>
      </c>
      <c r="R479" s="154" t="e">
        <f t="shared" si="60"/>
        <v>#VALUE!</v>
      </c>
      <c r="S479">
        <v>3.67</v>
      </c>
      <c r="T479" s="154" t="e">
        <f t="shared" si="61"/>
        <v>#VALUE!</v>
      </c>
      <c r="U479">
        <v>3.67</v>
      </c>
      <c r="V479" s="154" t="e">
        <f t="shared" si="62"/>
        <v>#VALUE!</v>
      </c>
      <c r="W479">
        <v>3.67</v>
      </c>
      <c r="X479" s="157" t="e">
        <f t="shared" si="63"/>
        <v>#VALUE!</v>
      </c>
      <c r="Y479">
        <v>3.67</v>
      </c>
      <c r="Z479" s="154" t="e">
        <f t="shared" si="64"/>
        <v>#VALUE!</v>
      </c>
      <c r="AA479">
        <v>3.67</v>
      </c>
      <c r="AB479" s="154" t="e">
        <f t="shared" si="65"/>
        <v>#VALUE!</v>
      </c>
      <c r="AC479">
        <v>3.67</v>
      </c>
      <c r="AD479" s="154" t="e">
        <f t="shared" si="66"/>
        <v>#VALUE!</v>
      </c>
      <c r="AE479">
        <v>3.67</v>
      </c>
    </row>
    <row r="480" spans="12:31" ht="15" x14ac:dyDescent="0.2">
      <c r="L480" s="154" t="e">
        <f t="shared" si="57"/>
        <v>#VALUE!</v>
      </c>
      <c r="M480">
        <v>3.68</v>
      </c>
      <c r="N480" s="154" t="e">
        <f t="shared" si="58"/>
        <v>#VALUE!</v>
      </c>
      <c r="O480">
        <v>3.68</v>
      </c>
      <c r="P480" s="154" t="e">
        <f t="shared" si="59"/>
        <v>#VALUE!</v>
      </c>
      <c r="Q480">
        <v>3.68</v>
      </c>
      <c r="R480" s="154" t="e">
        <f t="shared" si="60"/>
        <v>#VALUE!</v>
      </c>
      <c r="S480">
        <v>3.68</v>
      </c>
      <c r="T480" s="154" t="e">
        <f t="shared" si="61"/>
        <v>#VALUE!</v>
      </c>
      <c r="U480">
        <v>3.68</v>
      </c>
      <c r="V480" s="154" t="e">
        <f t="shared" si="62"/>
        <v>#VALUE!</v>
      </c>
      <c r="W480">
        <v>3.68</v>
      </c>
      <c r="X480" s="157" t="e">
        <f t="shared" si="63"/>
        <v>#VALUE!</v>
      </c>
      <c r="Y480">
        <v>3.68</v>
      </c>
      <c r="Z480" s="154" t="e">
        <f t="shared" si="64"/>
        <v>#VALUE!</v>
      </c>
      <c r="AA480">
        <v>3.68</v>
      </c>
      <c r="AB480" s="154" t="e">
        <f t="shared" si="65"/>
        <v>#VALUE!</v>
      </c>
      <c r="AC480">
        <v>3.68</v>
      </c>
      <c r="AD480" s="154" t="e">
        <f t="shared" si="66"/>
        <v>#VALUE!</v>
      </c>
      <c r="AE480">
        <v>3.68</v>
      </c>
    </row>
    <row r="481" spans="12:31" ht="15" x14ac:dyDescent="0.2">
      <c r="L481" s="154" t="e">
        <f t="shared" si="57"/>
        <v>#VALUE!</v>
      </c>
      <c r="M481">
        <v>3.69</v>
      </c>
      <c r="N481" s="154" t="e">
        <f t="shared" si="58"/>
        <v>#VALUE!</v>
      </c>
      <c r="O481">
        <v>3.69</v>
      </c>
      <c r="P481" s="154" t="e">
        <f t="shared" si="59"/>
        <v>#VALUE!</v>
      </c>
      <c r="Q481">
        <v>3.69</v>
      </c>
      <c r="R481" s="154" t="e">
        <f t="shared" si="60"/>
        <v>#VALUE!</v>
      </c>
      <c r="S481">
        <v>3.69</v>
      </c>
      <c r="T481" s="154" t="e">
        <f t="shared" si="61"/>
        <v>#VALUE!</v>
      </c>
      <c r="U481">
        <v>3.69</v>
      </c>
      <c r="V481" s="154" t="e">
        <f t="shared" si="62"/>
        <v>#VALUE!</v>
      </c>
      <c r="W481">
        <v>3.69</v>
      </c>
      <c r="X481" s="157" t="e">
        <f t="shared" si="63"/>
        <v>#VALUE!</v>
      </c>
      <c r="Y481">
        <v>3.69</v>
      </c>
      <c r="Z481" s="154" t="e">
        <f t="shared" si="64"/>
        <v>#VALUE!</v>
      </c>
      <c r="AA481">
        <v>3.69</v>
      </c>
      <c r="AB481" s="154" t="e">
        <f t="shared" si="65"/>
        <v>#VALUE!</v>
      </c>
      <c r="AC481">
        <v>3.69</v>
      </c>
      <c r="AD481" s="154" t="e">
        <f t="shared" si="66"/>
        <v>#VALUE!</v>
      </c>
      <c r="AE481">
        <v>3.69</v>
      </c>
    </row>
    <row r="482" spans="12:31" ht="15" x14ac:dyDescent="0.2">
      <c r="L482" s="154" t="e">
        <f t="shared" si="57"/>
        <v>#VALUE!</v>
      </c>
      <c r="M482">
        <v>3.7</v>
      </c>
      <c r="N482" s="154" t="e">
        <f t="shared" si="58"/>
        <v>#VALUE!</v>
      </c>
      <c r="O482">
        <v>3.7</v>
      </c>
      <c r="P482" s="154" t="e">
        <f t="shared" si="59"/>
        <v>#VALUE!</v>
      </c>
      <c r="Q482">
        <v>3.7</v>
      </c>
      <c r="R482" s="154" t="e">
        <f t="shared" si="60"/>
        <v>#VALUE!</v>
      </c>
      <c r="S482">
        <v>3.7</v>
      </c>
      <c r="T482" s="154" t="e">
        <f t="shared" si="61"/>
        <v>#VALUE!</v>
      </c>
      <c r="U482">
        <v>3.7</v>
      </c>
      <c r="V482" s="154" t="e">
        <f t="shared" si="62"/>
        <v>#VALUE!</v>
      </c>
      <c r="W482">
        <v>3.7</v>
      </c>
      <c r="X482" s="157" t="e">
        <f t="shared" si="63"/>
        <v>#VALUE!</v>
      </c>
      <c r="Y482">
        <v>3.7</v>
      </c>
      <c r="Z482" s="154" t="e">
        <f t="shared" si="64"/>
        <v>#VALUE!</v>
      </c>
      <c r="AA482">
        <v>3.7</v>
      </c>
      <c r="AB482" s="154" t="e">
        <f t="shared" si="65"/>
        <v>#VALUE!</v>
      </c>
      <c r="AC482">
        <v>3.7</v>
      </c>
      <c r="AD482" s="154" t="e">
        <f t="shared" si="66"/>
        <v>#VALUE!</v>
      </c>
      <c r="AE482">
        <v>3.7</v>
      </c>
    </row>
    <row r="483" spans="12:31" ht="15" x14ac:dyDescent="0.2">
      <c r="L483" s="154" t="e">
        <f t="shared" si="57"/>
        <v>#VALUE!</v>
      </c>
      <c r="M483">
        <v>3.71</v>
      </c>
      <c r="N483" s="154" t="e">
        <f t="shared" si="58"/>
        <v>#VALUE!</v>
      </c>
      <c r="O483">
        <v>3.71</v>
      </c>
      <c r="P483" s="154" t="e">
        <f t="shared" si="59"/>
        <v>#VALUE!</v>
      </c>
      <c r="Q483">
        <v>3.71</v>
      </c>
      <c r="R483" s="154" t="e">
        <f t="shared" si="60"/>
        <v>#VALUE!</v>
      </c>
      <c r="S483">
        <v>3.71</v>
      </c>
      <c r="T483" s="154" t="e">
        <f t="shared" si="61"/>
        <v>#VALUE!</v>
      </c>
      <c r="U483">
        <v>3.71</v>
      </c>
      <c r="V483" s="154" t="e">
        <f t="shared" si="62"/>
        <v>#VALUE!</v>
      </c>
      <c r="W483">
        <v>3.71</v>
      </c>
      <c r="X483" s="157" t="e">
        <f t="shared" si="63"/>
        <v>#VALUE!</v>
      </c>
      <c r="Y483">
        <v>3.71</v>
      </c>
      <c r="Z483" s="154" t="e">
        <f t="shared" si="64"/>
        <v>#VALUE!</v>
      </c>
      <c r="AA483">
        <v>3.71</v>
      </c>
      <c r="AB483" s="154" t="e">
        <f t="shared" si="65"/>
        <v>#VALUE!</v>
      </c>
      <c r="AC483">
        <v>3.71</v>
      </c>
      <c r="AD483" s="154" t="e">
        <f t="shared" si="66"/>
        <v>#VALUE!</v>
      </c>
      <c r="AE483">
        <v>3.71</v>
      </c>
    </row>
    <row r="484" spans="12:31" ht="15" x14ac:dyDescent="0.2">
      <c r="L484" s="154" t="e">
        <f t="shared" si="57"/>
        <v>#VALUE!</v>
      </c>
      <c r="M484">
        <v>3.72</v>
      </c>
      <c r="N484" s="154" t="e">
        <f t="shared" si="58"/>
        <v>#VALUE!</v>
      </c>
      <c r="O484">
        <v>3.72</v>
      </c>
      <c r="P484" s="154" t="e">
        <f t="shared" si="59"/>
        <v>#VALUE!</v>
      </c>
      <c r="Q484">
        <v>3.72</v>
      </c>
      <c r="R484" s="154" t="e">
        <f t="shared" si="60"/>
        <v>#VALUE!</v>
      </c>
      <c r="S484">
        <v>3.72</v>
      </c>
      <c r="T484" s="154" t="e">
        <f t="shared" si="61"/>
        <v>#VALUE!</v>
      </c>
      <c r="U484">
        <v>3.72</v>
      </c>
      <c r="V484" s="154" t="e">
        <f t="shared" si="62"/>
        <v>#VALUE!</v>
      </c>
      <c r="W484">
        <v>3.72</v>
      </c>
      <c r="X484" s="157" t="e">
        <f t="shared" si="63"/>
        <v>#VALUE!</v>
      </c>
      <c r="Y484">
        <v>3.72</v>
      </c>
      <c r="Z484" s="154" t="e">
        <f t="shared" si="64"/>
        <v>#VALUE!</v>
      </c>
      <c r="AA484">
        <v>3.72</v>
      </c>
      <c r="AB484" s="154" t="e">
        <f t="shared" si="65"/>
        <v>#VALUE!</v>
      </c>
      <c r="AC484">
        <v>3.72</v>
      </c>
      <c r="AD484" s="154" t="e">
        <f t="shared" si="66"/>
        <v>#VALUE!</v>
      </c>
      <c r="AE484">
        <v>3.72</v>
      </c>
    </row>
    <row r="485" spans="12:31" ht="15" x14ac:dyDescent="0.2">
      <c r="L485" s="154" t="e">
        <f t="shared" si="57"/>
        <v>#VALUE!</v>
      </c>
      <c r="M485">
        <v>3.73</v>
      </c>
      <c r="N485" s="154" t="e">
        <f t="shared" si="58"/>
        <v>#VALUE!</v>
      </c>
      <c r="O485">
        <v>3.73</v>
      </c>
      <c r="P485" s="154" t="e">
        <f t="shared" si="59"/>
        <v>#VALUE!</v>
      </c>
      <c r="Q485">
        <v>3.73</v>
      </c>
      <c r="R485" s="154" t="e">
        <f t="shared" si="60"/>
        <v>#VALUE!</v>
      </c>
      <c r="S485">
        <v>3.73</v>
      </c>
      <c r="T485" s="154" t="e">
        <f t="shared" si="61"/>
        <v>#VALUE!</v>
      </c>
      <c r="U485">
        <v>3.73</v>
      </c>
      <c r="V485" s="154" t="e">
        <f t="shared" si="62"/>
        <v>#VALUE!</v>
      </c>
      <c r="W485">
        <v>3.73</v>
      </c>
      <c r="X485" s="157" t="e">
        <f t="shared" si="63"/>
        <v>#VALUE!</v>
      </c>
      <c r="Y485">
        <v>3.73</v>
      </c>
      <c r="Z485" s="154" t="e">
        <f t="shared" si="64"/>
        <v>#VALUE!</v>
      </c>
      <c r="AA485">
        <v>3.73</v>
      </c>
      <c r="AB485" s="154" t="e">
        <f t="shared" si="65"/>
        <v>#VALUE!</v>
      </c>
      <c r="AC485">
        <v>3.73</v>
      </c>
      <c r="AD485" s="154" t="e">
        <f t="shared" si="66"/>
        <v>#VALUE!</v>
      </c>
      <c r="AE485">
        <v>3.73</v>
      </c>
    </row>
    <row r="486" spans="12:31" ht="15" x14ac:dyDescent="0.2">
      <c r="L486" s="154" t="e">
        <f t="shared" si="57"/>
        <v>#VALUE!</v>
      </c>
      <c r="M486">
        <v>3.74</v>
      </c>
      <c r="N486" s="154" t="e">
        <f t="shared" si="58"/>
        <v>#VALUE!</v>
      </c>
      <c r="O486">
        <v>3.74</v>
      </c>
      <c r="P486" s="154" t="e">
        <f t="shared" si="59"/>
        <v>#VALUE!</v>
      </c>
      <c r="Q486">
        <v>3.74</v>
      </c>
      <c r="R486" s="154" t="e">
        <f t="shared" si="60"/>
        <v>#VALUE!</v>
      </c>
      <c r="S486">
        <v>3.74</v>
      </c>
      <c r="T486" s="154" t="e">
        <f t="shared" si="61"/>
        <v>#VALUE!</v>
      </c>
      <c r="U486">
        <v>3.74</v>
      </c>
      <c r="V486" s="154" t="e">
        <f t="shared" si="62"/>
        <v>#VALUE!</v>
      </c>
      <c r="W486">
        <v>3.74</v>
      </c>
      <c r="X486" s="157" t="e">
        <f t="shared" si="63"/>
        <v>#VALUE!</v>
      </c>
      <c r="Y486">
        <v>3.74</v>
      </c>
      <c r="Z486" s="154" t="e">
        <f t="shared" si="64"/>
        <v>#VALUE!</v>
      </c>
      <c r="AA486">
        <v>3.74</v>
      </c>
      <c r="AB486" s="154" t="e">
        <f t="shared" si="65"/>
        <v>#VALUE!</v>
      </c>
      <c r="AC486">
        <v>3.74</v>
      </c>
      <c r="AD486" s="154" t="e">
        <f t="shared" si="66"/>
        <v>#VALUE!</v>
      </c>
      <c r="AE486">
        <v>3.74</v>
      </c>
    </row>
    <row r="487" spans="12:31" ht="15" x14ac:dyDescent="0.2">
      <c r="L487" s="154" t="e">
        <f t="shared" si="57"/>
        <v>#VALUE!</v>
      </c>
      <c r="M487">
        <v>3.75</v>
      </c>
      <c r="N487" s="154" t="e">
        <f t="shared" si="58"/>
        <v>#VALUE!</v>
      </c>
      <c r="O487">
        <v>3.75</v>
      </c>
      <c r="P487" s="154" t="e">
        <f t="shared" si="59"/>
        <v>#VALUE!</v>
      </c>
      <c r="Q487">
        <v>3.75</v>
      </c>
      <c r="R487" s="154" t="e">
        <f t="shared" si="60"/>
        <v>#VALUE!</v>
      </c>
      <c r="S487">
        <v>3.75</v>
      </c>
      <c r="T487" s="154" t="e">
        <f t="shared" si="61"/>
        <v>#VALUE!</v>
      </c>
      <c r="U487">
        <v>3.75</v>
      </c>
      <c r="V487" s="154" t="e">
        <f t="shared" si="62"/>
        <v>#VALUE!</v>
      </c>
      <c r="W487">
        <v>3.75</v>
      </c>
      <c r="X487" s="157" t="e">
        <f t="shared" si="63"/>
        <v>#VALUE!</v>
      </c>
      <c r="Y487">
        <v>3.75</v>
      </c>
      <c r="Z487" s="154" t="e">
        <f t="shared" si="64"/>
        <v>#VALUE!</v>
      </c>
      <c r="AA487">
        <v>3.75</v>
      </c>
      <c r="AB487" s="154" t="e">
        <f t="shared" si="65"/>
        <v>#VALUE!</v>
      </c>
      <c r="AC487">
        <v>3.75</v>
      </c>
      <c r="AD487" s="154" t="e">
        <f t="shared" si="66"/>
        <v>#VALUE!</v>
      </c>
      <c r="AE487">
        <v>3.75</v>
      </c>
    </row>
    <row r="488" spans="12:31" ht="15" x14ac:dyDescent="0.2">
      <c r="L488" s="154" t="e">
        <f t="shared" si="57"/>
        <v>#VALUE!</v>
      </c>
      <c r="M488">
        <v>3.76</v>
      </c>
      <c r="N488" s="154" t="e">
        <f t="shared" si="58"/>
        <v>#VALUE!</v>
      </c>
      <c r="O488">
        <v>3.76</v>
      </c>
      <c r="P488" s="154" t="e">
        <f t="shared" si="59"/>
        <v>#VALUE!</v>
      </c>
      <c r="Q488">
        <v>3.76</v>
      </c>
      <c r="R488" s="154" t="e">
        <f t="shared" si="60"/>
        <v>#VALUE!</v>
      </c>
      <c r="S488">
        <v>3.76</v>
      </c>
      <c r="T488" s="154" t="e">
        <f t="shared" si="61"/>
        <v>#VALUE!</v>
      </c>
      <c r="U488">
        <v>3.76</v>
      </c>
      <c r="V488" s="154" t="e">
        <f t="shared" si="62"/>
        <v>#VALUE!</v>
      </c>
      <c r="W488">
        <v>3.76</v>
      </c>
      <c r="X488" s="157" t="e">
        <f t="shared" si="63"/>
        <v>#VALUE!</v>
      </c>
      <c r="Y488">
        <v>3.76</v>
      </c>
      <c r="Z488" s="154" t="e">
        <f t="shared" si="64"/>
        <v>#VALUE!</v>
      </c>
      <c r="AA488">
        <v>3.76</v>
      </c>
      <c r="AB488" s="154" t="e">
        <f t="shared" si="65"/>
        <v>#VALUE!</v>
      </c>
      <c r="AC488">
        <v>3.76</v>
      </c>
      <c r="AD488" s="154" t="e">
        <f t="shared" si="66"/>
        <v>#VALUE!</v>
      </c>
      <c r="AE488">
        <v>3.76</v>
      </c>
    </row>
    <row r="489" spans="12:31" ht="15" x14ac:dyDescent="0.2">
      <c r="L489" s="154" t="e">
        <f t="shared" si="57"/>
        <v>#VALUE!</v>
      </c>
      <c r="M489">
        <v>3.77</v>
      </c>
      <c r="N489" s="154" t="e">
        <f t="shared" si="58"/>
        <v>#VALUE!</v>
      </c>
      <c r="O489">
        <v>3.77</v>
      </c>
      <c r="P489" s="154" t="e">
        <f t="shared" si="59"/>
        <v>#VALUE!</v>
      </c>
      <c r="Q489">
        <v>3.77</v>
      </c>
      <c r="R489" s="154" t="e">
        <f t="shared" si="60"/>
        <v>#VALUE!</v>
      </c>
      <c r="S489">
        <v>3.77</v>
      </c>
      <c r="T489" s="154" t="e">
        <f t="shared" si="61"/>
        <v>#VALUE!</v>
      </c>
      <c r="U489">
        <v>3.77</v>
      </c>
      <c r="V489" s="154" t="e">
        <f t="shared" si="62"/>
        <v>#VALUE!</v>
      </c>
      <c r="W489">
        <v>3.77</v>
      </c>
      <c r="X489" s="157" t="e">
        <f t="shared" si="63"/>
        <v>#VALUE!</v>
      </c>
      <c r="Y489">
        <v>3.77</v>
      </c>
      <c r="Z489" s="154" t="e">
        <f t="shared" si="64"/>
        <v>#VALUE!</v>
      </c>
      <c r="AA489">
        <v>3.77</v>
      </c>
      <c r="AB489" s="154" t="e">
        <f t="shared" si="65"/>
        <v>#VALUE!</v>
      </c>
      <c r="AC489">
        <v>3.77</v>
      </c>
      <c r="AD489" s="154" t="e">
        <f t="shared" si="66"/>
        <v>#VALUE!</v>
      </c>
      <c r="AE489">
        <v>3.77</v>
      </c>
    </row>
    <row r="490" spans="12:31" ht="15" x14ac:dyDescent="0.2">
      <c r="L490" s="154" t="e">
        <f t="shared" si="57"/>
        <v>#VALUE!</v>
      </c>
      <c r="M490">
        <v>3.78</v>
      </c>
      <c r="N490" s="154" t="e">
        <f t="shared" si="58"/>
        <v>#VALUE!</v>
      </c>
      <c r="O490">
        <v>3.78</v>
      </c>
      <c r="P490" s="154" t="e">
        <f t="shared" si="59"/>
        <v>#VALUE!</v>
      </c>
      <c r="Q490">
        <v>3.78</v>
      </c>
      <c r="R490" s="154" t="e">
        <f t="shared" si="60"/>
        <v>#VALUE!</v>
      </c>
      <c r="S490">
        <v>3.78</v>
      </c>
      <c r="T490" s="154" t="e">
        <f t="shared" si="61"/>
        <v>#VALUE!</v>
      </c>
      <c r="U490">
        <v>3.78</v>
      </c>
      <c r="V490" s="154" t="e">
        <f t="shared" si="62"/>
        <v>#VALUE!</v>
      </c>
      <c r="W490">
        <v>3.78</v>
      </c>
      <c r="X490" s="157" t="e">
        <f t="shared" si="63"/>
        <v>#VALUE!</v>
      </c>
      <c r="Y490">
        <v>3.78</v>
      </c>
      <c r="Z490" s="154" t="e">
        <f t="shared" si="64"/>
        <v>#VALUE!</v>
      </c>
      <c r="AA490">
        <v>3.78</v>
      </c>
      <c r="AB490" s="154" t="e">
        <f t="shared" si="65"/>
        <v>#VALUE!</v>
      </c>
      <c r="AC490">
        <v>3.78</v>
      </c>
      <c r="AD490" s="154" t="e">
        <f t="shared" si="66"/>
        <v>#VALUE!</v>
      </c>
      <c r="AE490">
        <v>3.78</v>
      </c>
    </row>
    <row r="491" spans="12:31" ht="15" x14ac:dyDescent="0.2">
      <c r="L491" s="154" t="e">
        <f t="shared" si="57"/>
        <v>#VALUE!</v>
      </c>
      <c r="M491">
        <v>3.79</v>
      </c>
      <c r="N491" s="154" t="e">
        <f t="shared" si="58"/>
        <v>#VALUE!</v>
      </c>
      <c r="O491">
        <v>3.79</v>
      </c>
      <c r="P491" s="154" t="e">
        <f t="shared" si="59"/>
        <v>#VALUE!</v>
      </c>
      <c r="Q491">
        <v>3.79</v>
      </c>
      <c r="R491" s="154" t="e">
        <f t="shared" si="60"/>
        <v>#VALUE!</v>
      </c>
      <c r="S491">
        <v>3.79</v>
      </c>
      <c r="T491" s="154" t="e">
        <f t="shared" si="61"/>
        <v>#VALUE!</v>
      </c>
      <c r="U491">
        <v>3.79</v>
      </c>
      <c r="V491" s="154" t="e">
        <f t="shared" si="62"/>
        <v>#VALUE!</v>
      </c>
      <c r="W491">
        <v>3.79</v>
      </c>
      <c r="X491" s="157" t="e">
        <f t="shared" si="63"/>
        <v>#VALUE!</v>
      </c>
      <c r="Y491">
        <v>3.79</v>
      </c>
      <c r="Z491" s="154" t="e">
        <f t="shared" si="64"/>
        <v>#VALUE!</v>
      </c>
      <c r="AA491">
        <v>3.79</v>
      </c>
      <c r="AB491" s="154" t="e">
        <f t="shared" si="65"/>
        <v>#VALUE!</v>
      </c>
      <c r="AC491">
        <v>3.79</v>
      </c>
      <c r="AD491" s="154" t="e">
        <f t="shared" si="66"/>
        <v>#VALUE!</v>
      </c>
      <c r="AE491">
        <v>3.79</v>
      </c>
    </row>
    <row r="492" spans="12:31" ht="15" x14ac:dyDescent="0.2">
      <c r="L492" s="154" t="e">
        <f t="shared" si="57"/>
        <v>#VALUE!</v>
      </c>
      <c r="M492">
        <v>3.8</v>
      </c>
      <c r="N492" s="154" t="e">
        <f t="shared" si="58"/>
        <v>#VALUE!</v>
      </c>
      <c r="O492">
        <v>3.8</v>
      </c>
      <c r="P492" s="154" t="e">
        <f t="shared" si="59"/>
        <v>#VALUE!</v>
      </c>
      <c r="Q492">
        <v>3.8</v>
      </c>
      <c r="R492" s="154" t="e">
        <f t="shared" si="60"/>
        <v>#VALUE!</v>
      </c>
      <c r="S492">
        <v>3.8</v>
      </c>
      <c r="T492" s="154" t="e">
        <f t="shared" si="61"/>
        <v>#VALUE!</v>
      </c>
      <c r="U492">
        <v>3.8</v>
      </c>
      <c r="V492" s="154" t="e">
        <f t="shared" si="62"/>
        <v>#VALUE!</v>
      </c>
      <c r="W492">
        <v>3.8</v>
      </c>
      <c r="X492" s="157" t="e">
        <f t="shared" si="63"/>
        <v>#VALUE!</v>
      </c>
      <c r="Y492">
        <v>3.8</v>
      </c>
      <c r="Z492" s="154" t="e">
        <f t="shared" si="64"/>
        <v>#VALUE!</v>
      </c>
      <c r="AA492">
        <v>3.8</v>
      </c>
      <c r="AB492" s="154" t="e">
        <f t="shared" si="65"/>
        <v>#VALUE!</v>
      </c>
      <c r="AC492">
        <v>3.8</v>
      </c>
      <c r="AD492" s="154" t="e">
        <f t="shared" si="66"/>
        <v>#VALUE!</v>
      </c>
      <c r="AE492">
        <v>3.8</v>
      </c>
    </row>
    <row r="493" spans="12:31" ht="15" x14ac:dyDescent="0.2">
      <c r="L493" s="154" t="e">
        <f t="shared" si="57"/>
        <v>#VALUE!</v>
      </c>
      <c r="M493">
        <v>3.81</v>
      </c>
      <c r="N493" s="154" t="e">
        <f t="shared" si="58"/>
        <v>#VALUE!</v>
      </c>
      <c r="O493">
        <v>3.81</v>
      </c>
      <c r="P493" s="154" t="e">
        <f t="shared" si="59"/>
        <v>#VALUE!</v>
      </c>
      <c r="Q493">
        <v>3.81</v>
      </c>
      <c r="R493" s="154" t="e">
        <f t="shared" si="60"/>
        <v>#VALUE!</v>
      </c>
      <c r="S493">
        <v>3.81</v>
      </c>
      <c r="T493" s="154" t="e">
        <f t="shared" si="61"/>
        <v>#VALUE!</v>
      </c>
      <c r="U493">
        <v>3.81</v>
      </c>
      <c r="V493" s="154" t="e">
        <f t="shared" si="62"/>
        <v>#VALUE!</v>
      </c>
      <c r="W493">
        <v>3.81</v>
      </c>
      <c r="X493" s="157" t="e">
        <f t="shared" si="63"/>
        <v>#VALUE!</v>
      </c>
      <c r="Y493">
        <v>3.81</v>
      </c>
      <c r="Z493" s="154" t="e">
        <f t="shared" si="64"/>
        <v>#VALUE!</v>
      </c>
      <c r="AA493">
        <v>3.81</v>
      </c>
      <c r="AB493" s="154" t="e">
        <f t="shared" si="65"/>
        <v>#VALUE!</v>
      </c>
      <c r="AC493">
        <v>3.81</v>
      </c>
      <c r="AD493" s="154" t="e">
        <f t="shared" si="66"/>
        <v>#VALUE!</v>
      </c>
      <c r="AE493">
        <v>3.81</v>
      </c>
    </row>
    <row r="494" spans="12:31" ht="15" x14ac:dyDescent="0.2">
      <c r="L494" s="154" t="e">
        <f t="shared" si="57"/>
        <v>#VALUE!</v>
      </c>
      <c r="M494">
        <v>3.82</v>
      </c>
      <c r="N494" s="154" t="e">
        <f t="shared" si="58"/>
        <v>#VALUE!</v>
      </c>
      <c r="O494">
        <v>3.82</v>
      </c>
      <c r="P494" s="154" t="e">
        <f t="shared" si="59"/>
        <v>#VALUE!</v>
      </c>
      <c r="Q494">
        <v>3.82</v>
      </c>
      <c r="R494" s="154" t="e">
        <f t="shared" si="60"/>
        <v>#VALUE!</v>
      </c>
      <c r="S494">
        <v>3.82</v>
      </c>
      <c r="T494" s="154" t="e">
        <f t="shared" si="61"/>
        <v>#VALUE!</v>
      </c>
      <c r="U494">
        <v>3.82</v>
      </c>
      <c r="V494" s="154" t="e">
        <f t="shared" si="62"/>
        <v>#VALUE!</v>
      </c>
      <c r="W494">
        <v>3.82</v>
      </c>
      <c r="X494" s="157" t="e">
        <f t="shared" si="63"/>
        <v>#VALUE!</v>
      </c>
      <c r="Y494">
        <v>3.82</v>
      </c>
      <c r="Z494" s="154" t="e">
        <f t="shared" si="64"/>
        <v>#VALUE!</v>
      </c>
      <c r="AA494">
        <v>3.82</v>
      </c>
      <c r="AB494" s="154" t="e">
        <f t="shared" si="65"/>
        <v>#VALUE!</v>
      </c>
      <c r="AC494">
        <v>3.82</v>
      </c>
      <c r="AD494" s="154" t="e">
        <f t="shared" si="66"/>
        <v>#VALUE!</v>
      </c>
      <c r="AE494">
        <v>3.82</v>
      </c>
    </row>
    <row r="495" spans="12:31" ht="15" x14ac:dyDescent="0.2">
      <c r="L495" s="154" t="e">
        <f t="shared" si="57"/>
        <v>#VALUE!</v>
      </c>
      <c r="M495">
        <v>3.83</v>
      </c>
      <c r="N495" s="154" t="e">
        <f t="shared" si="58"/>
        <v>#VALUE!</v>
      </c>
      <c r="O495">
        <v>3.83</v>
      </c>
      <c r="P495" s="154" t="e">
        <f t="shared" si="59"/>
        <v>#VALUE!</v>
      </c>
      <c r="Q495">
        <v>3.83</v>
      </c>
      <c r="R495" s="154" t="e">
        <f t="shared" si="60"/>
        <v>#VALUE!</v>
      </c>
      <c r="S495">
        <v>3.83</v>
      </c>
      <c r="T495" s="154" t="e">
        <f t="shared" si="61"/>
        <v>#VALUE!</v>
      </c>
      <c r="U495">
        <v>3.83</v>
      </c>
      <c r="V495" s="154" t="e">
        <f t="shared" si="62"/>
        <v>#VALUE!</v>
      </c>
      <c r="W495">
        <v>3.83</v>
      </c>
      <c r="X495" s="157" t="e">
        <f t="shared" si="63"/>
        <v>#VALUE!</v>
      </c>
      <c r="Y495">
        <v>3.83</v>
      </c>
      <c r="Z495" s="154" t="e">
        <f t="shared" si="64"/>
        <v>#VALUE!</v>
      </c>
      <c r="AA495">
        <v>3.83</v>
      </c>
      <c r="AB495" s="154" t="e">
        <f t="shared" si="65"/>
        <v>#VALUE!</v>
      </c>
      <c r="AC495">
        <v>3.83</v>
      </c>
      <c r="AD495" s="154" t="e">
        <f t="shared" si="66"/>
        <v>#VALUE!</v>
      </c>
      <c r="AE495">
        <v>3.83</v>
      </c>
    </row>
    <row r="496" spans="12:31" ht="15" x14ac:dyDescent="0.2">
      <c r="L496" s="154" t="e">
        <f t="shared" si="57"/>
        <v>#VALUE!</v>
      </c>
      <c r="M496">
        <v>3.84</v>
      </c>
      <c r="N496" s="154" t="e">
        <f t="shared" si="58"/>
        <v>#VALUE!</v>
      </c>
      <c r="O496">
        <v>3.84</v>
      </c>
      <c r="P496" s="154" t="e">
        <f t="shared" si="59"/>
        <v>#VALUE!</v>
      </c>
      <c r="Q496">
        <v>3.84</v>
      </c>
      <c r="R496" s="154" t="e">
        <f t="shared" si="60"/>
        <v>#VALUE!</v>
      </c>
      <c r="S496">
        <v>3.84</v>
      </c>
      <c r="T496" s="154" t="e">
        <f t="shared" si="61"/>
        <v>#VALUE!</v>
      </c>
      <c r="U496">
        <v>3.84</v>
      </c>
      <c r="V496" s="154" t="e">
        <f t="shared" si="62"/>
        <v>#VALUE!</v>
      </c>
      <c r="W496">
        <v>3.84</v>
      </c>
      <c r="X496" s="157" t="e">
        <f t="shared" si="63"/>
        <v>#VALUE!</v>
      </c>
      <c r="Y496">
        <v>3.84</v>
      </c>
      <c r="Z496" s="154" t="e">
        <f t="shared" si="64"/>
        <v>#VALUE!</v>
      </c>
      <c r="AA496">
        <v>3.84</v>
      </c>
      <c r="AB496" s="154" t="e">
        <f t="shared" si="65"/>
        <v>#VALUE!</v>
      </c>
      <c r="AC496">
        <v>3.84</v>
      </c>
      <c r="AD496" s="154" t="e">
        <f t="shared" si="66"/>
        <v>#VALUE!</v>
      </c>
      <c r="AE496">
        <v>3.84</v>
      </c>
    </row>
    <row r="497" spans="12:31" ht="15" x14ac:dyDescent="0.2">
      <c r="L497" s="154" t="e">
        <f t="shared" ref="L497:L560" si="67">((1.486/$D$33)*((((PI()*($D$46/12)^2)/4)-((($D$46/12)/2)^2*((2*ACOS(((($D$46/12)/2)-(($D$46/12)-(M497/12)))/(($D$46/12)/2)))-SIN(2*ACOS(((($D$46/12)/2)-(($D$46/12)-(M497/12)))/(($D$46/12)/2))))/2))/((PI()*($D$46/12))-((2*ACOS(((($D$46/12)/2)-(($D$46/12)-(M497/12)))/(($D$46/12)/2)))*(($D$46/12)/2))))^(2/3)*$H$17^0.5)*(((PI()*($D$46/12)^2)/4)-((($D$46/12)/2)^2*((2*ACOS(((($D$46/12)/2)-(($D$46/12)-(M497/12)))/(($D$46/12)/2)))-SIN(2*ACOS(((($D$46/12)/2)-(($D$46/12)-(M497/12)))/(($D$46/12)/2))))/2))</f>
        <v>#VALUE!</v>
      </c>
      <c r="M497">
        <v>3.85</v>
      </c>
      <c r="N497" s="154" t="e">
        <f t="shared" ref="N497:N560" si="68">((1.486/$D$34)*((((PI()*($D$47/12)^2)/4)-((($D$47/12)/2)^2*((2*ACOS(((($D$47/12)/2)-(($D$47/12)-(O497/12)))/(($D$47/12)/2)))-SIN(2*ACOS(((($D$47/12)/2)-(($D$47/12)-(O497/12)))/(($D$47/12)/2))))/2))/((PI()*($D$47/12))-((2*ACOS(((($D$47/12)/2)-(($D$47/12)-(O497/12)))/(($D$47/12)/2)))*(($D$47/12)/2))))^(2/3)*$H$18^0.5)*(((PI()*($D$47/12)^2)/4)-((($D$47/12)/2)^2*((2*ACOS(((($D$47/12)/2)-(($D$47/12)-(O497/12)))/(($D$47/12)/2)))-SIN(2*ACOS(((($D$47/12)/2)-(($D$47/12)-(O497/12)))/(($D$47/12)/2))))/2))</f>
        <v>#VALUE!</v>
      </c>
      <c r="O497">
        <v>3.85</v>
      </c>
      <c r="P497" s="154" t="e">
        <f t="shared" ref="P497:P560" si="69">((1.486/$D$35)*((((PI()*($D$48/12)^2)/4)-((($D$48/12)/2)^2*((2*ACOS(((($D$48/12)/2)-(($D$48/12)-(Q497/12)))/(($D$48/12)/2)))-SIN(2*ACOS(((($D$48/12)/2)-(($D$48/12)-(Q497/12)))/(($D$48/12)/2))))/2))/((PI()*($D$48/12))-((2*ACOS(((($D$48/12)/2)-(($D$48/12)-(Q497/12)))/(($D$48/12)/2)))*(($D$48/12)/2))))^(2/3)*$H$19^0.5)*(((PI()*($D$48/12)^2)/4)-((($D$48/12)/2)^2*((2*ACOS(((($D$48/12)/2)-(($D$48/12)-(Q497/12)))/(($D$48/12)/2)))-SIN(2*ACOS(((($D$48/12)/2)-(($D$48/12)-(Q497/12)))/(($D$48/12)/2))))/2))</f>
        <v>#VALUE!</v>
      </c>
      <c r="Q497">
        <v>3.85</v>
      </c>
      <c r="R497" s="154" t="e">
        <f t="shared" ref="R497:R560" si="70">((1.486/$D$36)*((((PI()*($D$49/12)^2)/4)-((($D$49/12)/2)^2*((2*ACOS(((($D$49/12)/2)-(($D$49/12)-(S497/12)))/(($D$49/12)/2)))-SIN(2*ACOS(((($D$49/12)/2)-(($D$49/12)-(S497/12)))/(($D$49/12)/2))))/2))/((PI()*($D$49/12))-((2*ACOS(((($D$49/12)/2)-(($D$49/12)-(S497/12)))/(($D$49/12)/2)))*(($D$49/12)/2))))^(2/3)*$H$20^0.5)*(((PI()*($D$49/12)^2)/4)-((($D$49/12)/2)^2*((2*ACOS(((($D$49/12)/2)-(($D$49/12)-(S497/12)))/(($D$49/12)/2)))-SIN(2*ACOS(((($D$49/12)/2)-(($D$49/12)-(S497/12)))/(($D$49/12)/2))))/2))</f>
        <v>#VALUE!</v>
      </c>
      <c r="S497">
        <v>3.85</v>
      </c>
      <c r="T497" s="154" t="e">
        <f t="shared" ref="T497:T560" si="71">((1.486/$D$37)*((((PI()*($D$50/12)^2)/4)-((($D$50/12)/2)^2*((2*ACOS(((($D$50/12)/2)-(($D$50/12)-(U497/12)))/(($D$50/12)/2)))-SIN(2*ACOS(((($D$50/12)/2)-(($D$50/12)-(U497/12)))/(($D$50/12)/2))))/2))/((PI()*($D$50/12))-((2*ACOS(((($D$50/12)/2)-(($D$50/12)-(U497/12)))/(($D$50/12)/2)))*(($D$50/12)/2))))^(2/3)*$H$21^0.5)*(((PI()*($D$50/12)^2)/4)-((($D$50/12)/2)^2*((2*ACOS(((($D$50/12)/2)-(($D$50/12)-(U497/12)))/(($D$50/12)/2)))-SIN(2*ACOS(((($D$50/12)/2)-(($D$50/12)-(U497/12)))/(($D$50/12)/2))))/2))</f>
        <v>#VALUE!</v>
      </c>
      <c r="U497">
        <v>3.85</v>
      </c>
      <c r="V497" s="154" t="e">
        <f t="shared" ref="V497:V560" si="72">((1.486/$D$38)*((((PI()*($D$51/12)^2)/4)-((($D$51/12)/2)^2*((2*ACOS(((($D$51/12)/2)-(($D$51/12)-(W497/12)))/(($D$51/12)/2)))-SIN(2*ACOS(((($D$51/12)/2)-(($D$51/12)-(W497/12)))/(($D$51/12)/2))))/2))/((PI()*($D$51/12))-((2*ACOS(((($D$51/12)/2)-(($D$51/12)-(W497/12)))/(($D$51/12)/2)))*(($D$51/12)/2))))^(2/3)*$H$22^0.5)*(((PI()*($D$51/12)^2)/4)-((($D$51/12)/2)^2*((2*ACOS(((($D$51/12)/2)-(($D$51/12)-(W497/12)))/(($D$51/12)/2)))-SIN(2*ACOS(((($D$51/12)/2)-(($D$51/12)-(W497/12)))/(($D$51/12)/2))))/2))</f>
        <v>#VALUE!</v>
      </c>
      <c r="W497">
        <v>3.85</v>
      </c>
      <c r="X497" s="157" t="e">
        <f t="shared" ref="X497:X560" si="73">((1.486/$D$39)*((((PI()*($D$52/12)^2)/4)-((($D$52/12)/2)^2*((2*ACOS(((($D$52/12)/2)-(($D$52/12)-(Y497/12)))/(($D$52/12)/2)))-SIN(2*ACOS(((($D$52/12)/2)-(($D$52/12)-(Y497/12)))/(($D$52/12)/2))))/2))/((PI()*($D$52/12))-((2*ACOS(((($D$52/12)/2)-(($D$52/12)-(Y497/12)))/(($D$52/12)/2)))*(($D$52/12)/2))))^(2/3)*$H$23^0.5)*(((PI()*($D$52/12)^2)/4)-((($D$52/12)/2)^2*((2*ACOS(((($D$52/12)/2)-(($D$52/12)-(Y497/12)))/(($D$52/12)/2)))-SIN(2*ACOS(((($D$52/12)/2)-(($D$52/12)-(Y497/12)))/(($D$52/12)/2))))/2))</f>
        <v>#VALUE!</v>
      </c>
      <c r="Y497">
        <v>3.85</v>
      </c>
      <c r="Z497" s="154" t="e">
        <f t="shared" ref="Z497:Z560" si="74">((1.486/$D$40)*((((PI()*($D$53/12)^2)/4)-((($D$53/12)/2)^2*((2*ACOS(((($D$53/12)/2)-(($D$53/12)-(AA497/12)))/(($D$53/12)/2)))-SIN(2*ACOS(((($D$53/12)/2)-(($D$53/12)-(AA497/12)))/(($D$53/12)/2))))/2))/((PI()*($D$53/12))-((2*ACOS(((($D$53/12)/2)-(($D$53/12)-(AA497/12)))/(($D$53/12)/2)))*(($D$53/12)/2))))^(2/3)*$H$24^0.5)*(((PI()*($D$53/12)^2)/4)-((($D$53/12)/2)^2*((2*ACOS(((($D$53/12)/2)-(($D$53/12)-(AA497/12)))/(($D$53/12)/2)))-SIN(2*ACOS(((($D$53/12)/2)-(($D$53/12)-(AA497/12)))/(($D$53/12)/2))))/2))</f>
        <v>#VALUE!</v>
      </c>
      <c r="AA497">
        <v>3.85</v>
      </c>
      <c r="AB497" s="154" t="e">
        <f t="shared" ref="AB497:AB560" si="75">((1.486/$D$41)*((((PI()*($D$54/12)^2)/4)-((($D$54/12)/2)^2*((2*ACOS(((($D$54/12)/2)-(($D$54/12)-(AC497/12)))/(($D$54/12)/2)))-SIN(2*ACOS(((($D$54/12)/2)-(($D$54/12)-(AC497/12)))/(($D$54/12)/2))))/2))/((PI()*($D$54/12))-((2*ACOS(((($D$54/12)/2)-(($D$54/12)-(AC497/12)))/(($D$54/12)/2)))*(($D$54/12)/2))))^(2/3)*$H$25^0.5)*(((PI()*($D$54/12)^2)/4)-((($D$54/12)/2)^2*((2*ACOS(((($D$54/12)/2)-(($D$54/12)-(AC497/12)))/(($D$54/12)/2)))-SIN(2*ACOS(((($D$54/12)/2)-(($D$54/12)-(AC497/12)))/(($D$54/12)/2))))/2))</f>
        <v>#VALUE!</v>
      </c>
      <c r="AC497">
        <v>3.85</v>
      </c>
      <c r="AD497" s="154" t="e">
        <f t="shared" ref="AD497:AD560" si="76">((1.486/$D$42)*((((PI()*($D$55/12)^2)/4)-((($D$55/12)/2)^2*((2*ACOS(((($D$55/12)/2)-(($D$55/12)-(AE497/12)))/(($D$55/12)/2)))-SIN(2*ACOS(((($D$55/12)/2)-(($D$55/12)-(AE497/12)))/(($D$55/12)/2))))/2))/((PI()*($D$55/12))-((2*ACOS(((($D$55/12)/2)-(($D$55/12)-(AE497/12)))/(($D$55/12)/2)))*(($D$55/12)/2))))^(2/3)*$H$26^0.5)*(((PI()*($D$55/12)^2)/4)-((($D$55/12)/2)^2*((2*ACOS(((($D$55/12)/2)-(($D$55/12)-(AE497/12)))/(($D$55/12)/2)))-SIN(2*ACOS(((($D$55/12)/2)-(($D$55/12)-(AE497/12)))/(($D$55/12)/2))))/2))</f>
        <v>#VALUE!</v>
      </c>
      <c r="AE497">
        <v>3.85</v>
      </c>
    </row>
    <row r="498" spans="12:31" ht="15" x14ac:dyDescent="0.2">
      <c r="L498" s="154" t="e">
        <f t="shared" si="67"/>
        <v>#VALUE!</v>
      </c>
      <c r="M498">
        <v>3.86</v>
      </c>
      <c r="N498" s="154" t="e">
        <f t="shared" si="68"/>
        <v>#VALUE!</v>
      </c>
      <c r="O498">
        <v>3.86</v>
      </c>
      <c r="P498" s="154" t="e">
        <f t="shared" si="69"/>
        <v>#VALUE!</v>
      </c>
      <c r="Q498">
        <v>3.86</v>
      </c>
      <c r="R498" s="154" t="e">
        <f t="shared" si="70"/>
        <v>#VALUE!</v>
      </c>
      <c r="S498">
        <v>3.86</v>
      </c>
      <c r="T498" s="154" t="e">
        <f t="shared" si="71"/>
        <v>#VALUE!</v>
      </c>
      <c r="U498">
        <v>3.86</v>
      </c>
      <c r="V498" s="154" t="e">
        <f t="shared" si="72"/>
        <v>#VALUE!</v>
      </c>
      <c r="W498">
        <v>3.86</v>
      </c>
      <c r="X498" s="157" t="e">
        <f t="shared" si="73"/>
        <v>#VALUE!</v>
      </c>
      <c r="Y498">
        <v>3.86</v>
      </c>
      <c r="Z498" s="154" t="e">
        <f t="shared" si="74"/>
        <v>#VALUE!</v>
      </c>
      <c r="AA498">
        <v>3.86</v>
      </c>
      <c r="AB498" s="154" t="e">
        <f t="shared" si="75"/>
        <v>#VALUE!</v>
      </c>
      <c r="AC498">
        <v>3.86</v>
      </c>
      <c r="AD498" s="154" t="e">
        <f t="shared" si="76"/>
        <v>#VALUE!</v>
      </c>
      <c r="AE498">
        <v>3.86</v>
      </c>
    </row>
    <row r="499" spans="12:31" ht="15" x14ac:dyDescent="0.2">
      <c r="L499" s="154" t="e">
        <f t="shared" si="67"/>
        <v>#VALUE!</v>
      </c>
      <c r="M499">
        <v>3.87</v>
      </c>
      <c r="N499" s="154" t="e">
        <f t="shared" si="68"/>
        <v>#VALUE!</v>
      </c>
      <c r="O499">
        <v>3.87</v>
      </c>
      <c r="P499" s="154" t="e">
        <f t="shared" si="69"/>
        <v>#VALUE!</v>
      </c>
      <c r="Q499">
        <v>3.87</v>
      </c>
      <c r="R499" s="154" t="e">
        <f t="shared" si="70"/>
        <v>#VALUE!</v>
      </c>
      <c r="S499">
        <v>3.87</v>
      </c>
      <c r="T499" s="154" t="e">
        <f t="shared" si="71"/>
        <v>#VALUE!</v>
      </c>
      <c r="U499">
        <v>3.87</v>
      </c>
      <c r="V499" s="154" t="e">
        <f t="shared" si="72"/>
        <v>#VALUE!</v>
      </c>
      <c r="W499">
        <v>3.87</v>
      </c>
      <c r="X499" s="157" t="e">
        <f t="shared" si="73"/>
        <v>#VALUE!</v>
      </c>
      <c r="Y499">
        <v>3.87</v>
      </c>
      <c r="Z499" s="154" t="e">
        <f t="shared" si="74"/>
        <v>#VALUE!</v>
      </c>
      <c r="AA499">
        <v>3.87</v>
      </c>
      <c r="AB499" s="154" t="e">
        <f t="shared" si="75"/>
        <v>#VALUE!</v>
      </c>
      <c r="AC499">
        <v>3.87</v>
      </c>
      <c r="AD499" s="154" t="e">
        <f t="shared" si="76"/>
        <v>#VALUE!</v>
      </c>
      <c r="AE499">
        <v>3.87</v>
      </c>
    </row>
    <row r="500" spans="12:31" ht="15" x14ac:dyDescent="0.2">
      <c r="L500" s="154" t="e">
        <f t="shared" si="67"/>
        <v>#VALUE!</v>
      </c>
      <c r="M500">
        <v>3.88</v>
      </c>
      <c r="N500" s="154" t="e">
        <f t="shared" si="68"/>
        <v>#VALUE!</v>
      </c>
      <c r="O500">
        <v>3.88</v>
      </c>
      <c r="P500" s="154" t="e">
        <f t="shared" si="69"/>
        <v>#VALUE!</v>
      </c>
      <c r="Q500">
        <v>3.88</v>
      </c>
      <c r="R500" s="154" t="e">
        <f t="shared" si="70"/>
        <v>#VALUE!</v>
      </c>
      <c r="S500">
        <v>3.88</v>
      </c>
      <c r="T500" s="154" t="e">
        <f t="shared" si="71"/>
        <v>#VALUE!</v>
      </c>
      <c r="U500">
        <v>3.88</v>
      </c>
      <c r="V500" s="154" t="e">
        <f t="shared" si="72"/>
        <v>#VALUE!</v>
      </c>
      <c r="W500">
        <v>3.88</v>
      </c>
      <c r="X500" s="157" t="e">
        <f t="shared" si="73"/>
        <v>#VALUE!</v>
      </c>
      <c r="Y500">
        <v>3.88</v>
      </c>
      <c r="Z500" s="154" t="e">
        <f t="shared" si="74"/>
        <v>#VALUE!</v>
      </c>
      <c r="AA500">
        <v>3.88</v>
      </c>
      <c r="AB500" s="154" t="e">
        <f t="shared" si="75"/>
        <v>#VALUE!</v>
      </c>
      <c r="AC500">
        <v>3.88</v>
      </c>
      <c r="AD500" s="154" t="e">
        <f t="shared" si="76"/>
        <v>#VALUE!</v>
      </c>
      <c r="AE500">
        <v>3.88</v>
      </c>
    </row>
    <row r="501" spans="12:31" ht="15" x14ac:dyDescent="0.2">
      <c r="L501" s="154" t="e">
        <f t="shared" si="67"/>
        <v>#VALUE!</v>
      </c>
      <c r="M501">
        <v>3.89</v>
      </c>
      <c r="N501" s="154" t="e">
        <f t="shared" si="68"/>
        <v>#VALUE!</v>
      </c>
      <c r="O501">
        <v>3.89</v>
      </c>
      <c r="P501" s="154" t="e">
        <f t="shared" si="69"/>
        <v>#VALUE!</v>
      </c>
      <c r="Q501">
        <v>3.89</v>
      </c>
      <c r="R501" s="154" t="e">
        <f t="shared" si="70"/>
        <v>#VALUE!</v>
      </c>
      <c r="S501">
        <v>3.89</v>
      </c>
      <c r="T501" s="154" t="e">
        <f t="shared" si="71"/>
        <v>#VALUE!</v>
      </c>
      <c r="U501">
        <v>3.89</v>
      </c>
      <c r="V501" s="154" t="e">
        <f t="shared" si="72"/>
        <v>#VALUE!</v>
      </c>
      <c r="W501">
        <v>3.89</v>
      </c>
      <c r="X501" s="157" t="e">
        <f t="shared" si="73"/>
        <v>#VALUE!</v>
      </c>
      <c r="Y501">
        <v>3.89</v>
      </c>
      <c r="Z501" s="154" t="e">
        <f t="shared" si="74"/>
        <v>#VALUE!</v>
      </c>
      <c r="AA501">
        <v>3.89</v>
      </c>
      <c r="AB501" s="154" t="e">
        <f t="shared" si="75"/>
        <v>#VALUE!</v>
      </c>
      <c r="AC501">
        <v>3.89</v>
      </c>
      <c r="AD501" s="154" t="e">
        <f t="shared" si="76"/>
        <v>#VALUE!</v>
      </c>
      <c r="AE501">
        <v>3.89</v>
      </c>
    </row>
    <row r="502" spans="12:31" ht="15" x14ac:dyDescent="0.2">
      <c r="L502" s="154" t="e">
        <f t="shared" si="67"/>
        <v>#VALUE!</v>
      </c>
      <c r="M502">
        <v>3.9</v>
      </c>
      <c r="N502" s="154" t="e">
        <f t="shared" si="68"/>
        <v>#VALUE!</v>
      </c>
      <c r="O502">
        <v>3.9</v>
      </c>
      <c r="P502" s="154" t="e">
        <f t="shared" si="69"/>
        <v>#VALUE!</v>
      </c>
      <c r="Q502">
        <v>3.9</v>
      </c>
      <c r="R502" s="154" t="e">
        <f t="shared" si="70"/>
        <v>#VALUE!</v>
      </c>
      <c r="S502">
        <v>3.9</v>
      </c>
      <c r="T502" s="154" t="e">
        <f t="shared" si="71"/>
        <v>#VALUE!</v>
      </c>
      <c r="U502">
        <v>3.9</v>
      </c>
      <c r="V502" s="154" t="e">
        <f t="shared" si="72"/>
        <v>#VALUE!</v>
      </c>
      <c r="W502">
        <v>3.9</v>
      </c>
      <c r="X502" s="157" t="e">
        <f t="shared" si="73"/>
        <v>#VALUE!</v>
      </c>
      <c r="Y502">
        <v>3.9</v>
      </c>
      <c r="Z502" s="154" t="e">
        <f t="shared" si="74"/>
        <v>#VALUE!</v>
      </c>
      <c r="AA502">
        <v>3.9</v>
      </c>
      <c r="AB502" s="154" t="e">
        <f t="shared" si="75"/>
        <v>#VALUE!</v>
      </c>
      <c r="AC502">
        <v>3.9</v>
      </c>
      <c r="AD502" s="154" t="e">
        <f t="shared" si="76"/>
        <v>#VALUE!</v>
      </c>
      <c r="AE502">
        <v>3.9</v>
      </c>
    </row>
    <row r="503" spans="12:31" ht="15" x14ac:dyDescent="0.2">
      <c r="L503" s="154" t="e">
        <f t="shared" si="67"/>
        <v>#VALUE!</v>
      </c>
      <c r="M503">
        <v>3.91</v>
      </c>
      <c r="N503" s="154" t="e">
        <f t="shared" si="68"/>
        <v>#VALUE!</v>
      </c>
      <c r="O503">
        <v>3.91</v>
      </c>
      <c r="P503" s="154" t="e">
        <f t="shared" si="69"/>
        <v>#VALUE!</v>
      </c>
      <c r="Q503">
        <v>3.91</v>
      </c>
      <c r="R503" s="154" t="e">
        <f t="shared" si="70"/>
        <v>#VALUE!</v>
      </c>
      <c r="S503">
        <v>3.91</v>
      </c>
      <c r="T503" s="154" t="e">
        <f t="shared" si="71"/>
        <v>#VALUE!</v>
      </c>
      <c r="U503">
        <v>3.91</v>
      </c>
      <c r="V503" s="154" t="e">
        <f t="shared" si="72"/>
        <v>#VALUE!</v>
      </c>
      <c r="W503">
        <v>3.91</v>
      </c>
      <c r="X503" s="157" t="e">
        <f t="shared" si="73"/>
        <v>#VALUE!</v>
      </c>
      <c r="Y503">
        <v>3.91</v>
      </c>
      <c r="Z503" s="154" t="e">
        <f t="shared" si="74"/>
        <v>#VALUE!</v>
      </c>
      <c r="AA503">
        <v>3.91</v>
      </c>
      <c r="AB503" s="154" t="e">
        <f t="shared" si="75"/>
        <v>#VALUE!</v>
      </c>
      <c r="AC503">
        <v>3.91</v>
      </c>
      <c r="AD503" s="154" t="e">
        <f t="shared" si="76"/>
        <v>#VALUE!</v>
      </c>
      <c r="AE503">
        <v>3.91</v>
      </c>
    </row>
    <row r="504" spans="12:31" ht="15" x14ac:dyDescent="0.2">
      <c r="L504" s="154" t="e">
        <f t="shared" si="67"/>
        <v>#VALUE!</v>
      </c>
      <c r="M504">
        <v>3.92</v>
      </c>
      <c r="N504" s="154" t="e">
        <f t="shared" si="68"/>
        <v>#VALUE!</v>
      </c>
      <c r="O504">
        <v>3.92</v>
      </c>
      <c r="P504" s="154" t="e">
        <f t="shared" si="69"/>
        <v>#VALUE!</v>
      </c>
      <c r="Q504">
        <v>3.92</v>
      </c>
      <c r="R504" s="154" t="e">
        <f t="shared" si="70"/>
        <v>#VALUE!</v>
      </c>
      <c r="S504">
        <v>3.92</v>
      </c>
      <c r="T504" s="154" t="e">
        <f t="shared" si="71"/>
        <v>#VALUE!</v>
      </c>
      <c r="U504">
        <v>3.92</v>
      </c>
      <c r="V504" s="154" t="e">
        <f t="shared" si="72"/>
        <v>#VALUE!</v>
      </c>
      <c r="W504">
        <v>3.92</v>
      </c>
      <c r="X504" s="157" t="e">
        <f t="shared" si="73"/>
        <v>#VALUE!</v>
      </c>
      <c r="Y504">
        <v>3.92</v>
      </c>
      <c r="Z504" s="154" t="e">
        <f t="shared" si="74"/>
        <v>#VALUE!</v>
      </c>
      <c r="AA504">
        <v>3.92</v>
      </c>
      <c r="AB504" s="154" t="e">
        <f t="shared" si="75"/>
        <v>#VALUE!</v>
      </c>
      <c r="AC504">
        <v>3.92</v>
      </c>
      <c r="AD504" s="154" t="e">
        <f t="shared" si="76"/>
        <v>#VALUE!</v>
      </c>
      <c r="AE504">
        <v>3.92</v>
      </c>
    </row>
    <row r="505" spans="12:31" ht="15" x14ac:dyDescent="0.2">
      <c r="L505" s="154" t="e">
        <f t="shared" si="67"/>
        <v>#VALUE!</v>
      </c>
      <c r="M505">
        <v>3.93</v>
      </c>
      <c r="N505" s="154" t="e">
        <f t="shared" si="68"/>
        <v>#VALUE!</v>
      </c>
      <c r="O505">
        <v>3.93</v>
      </c>
      <c r="P505" s="154" t="e">
        <f t="shared" si="69"/>
        <v>#VALUE!</v>
      </c>
      <c r="Q505">
        <v>3.93</v>
      </c>
      <c r="R505" s="154" t="e">
        <f t="shared" si="70"/>
        <v>#VALUE!</v>
      </c>
      <c r="S505">
        <v>3.93</v>
      </c>
      <c r="T505" s="154" t="e">
        <f t="shared" si="71"/>
        <v>#VALUE!</v>
      </c>
      <c r="U505">
        <v>3.93</v>
      </c>
      <c r="V505" s="154" t="e">
        <f t="shared" si="72"/>
        <v>#VALUE!</v>
      </c>
      <c r="W505">
        <v>3.93</v>
      </c>
      <c r="X505" s="157" t="e">
        <f t="shared" si="73"/>
        <v>#VALUE!</v>
      </c>
      <c r="Y505">
        <v>3.93</v>
      </c>
      <c r="Z505" s="154" t="e">
        <f t="shared" si="74"/>
        <v>#VALUE!</v>
      </c>
      <c r="AA505">
        <v>3.93</v>
      </c>
      <c r="AB505" s="154" t="e">
        <f t="shared" si="75"/>
        <v>#VALUE!</v>
      </c>
      <c r="AC505">
        <v>3.93</v>
      </c>
      <c r="AD505" s="154" t="e">
        <f t="shared" si="76"/>
        <v>#VALUE!</v>
      </c>
      <c r="AE505">
        <v>3.93</v>
      </c>
    </row>
    <row r="506" spans="12:31" ht="15" x14ac:dyDescent="0.2">
      <c r="L506" s="154" t="e">
        <f t="shared" si="67"/>
        <v>#VALUE!</v>
      </c>
      <c r="M506">
        <v>3.94</v>
      </c>
      <c r="N506" s="154" t="e">
        <f t="shared" si="68"/>
        <v>#VALUE!</v>
      </c>
      <c r="O506">
        <v>3.94</v>
      </c>
      <c r="P506" s="154" t="e">
        <f t="shared" si="69"/>
        <v>#VALUE!</v>
      </c>
      <c r="Q506">
        <v>3.94</v>
      </c>
      <c r="R506" s="154" t="e">
        <f t="shared" si="70"/>
        <v>#VALUE!</v>
      </c>
      <c r="S506">
        <v>3.94</v>
      </c>
      <c r="T506" s="154" t="e">
        <f t="shared" si="71"/>
        <v>#VALUE!</v>
      </c>
      <c r="U506">
        <v>3.94</v>
      </c>
      <c r="V506" s="154" t="e">
        <f t="shared" si="72"/>
        <v>#VALUE!</v>
      </c>
      <c r="W506">
        <v>3.94</v>
      </c>
      <c r="X506" s="157" t="e">
        <f t="shared" si="73"/>
        <v>#VALUE!</v>
      </c>
      <c r="Y506">
        <v>3.94</v>
      </c>
      <c r="Z506" s="154" t="e">
        <f t="shared" si="74"/>
        <v>#VALUE!</v>
      </c>
      <c r="AA506">
        <v>3.94</v>
      </c>
      <c r="AB506" s="154" t="e">
        <f t="shared" si="75"/>
        <v>#VALUE!</v>
      </c>
      <c r="AC506">
        <v>3.94</v>
      </c>
      <c r="AD506" s="154" t="e">
        <f t="shared" si="76"/>
        <v>#VALUE!</v>
      </c>
      <c r="AE506">
        <v>3.94</v>
      </c>
    </row>
    <row r="507" spans="12:31" ht="15" x14ac:dyDescent="0.2">
      <c r="L507" s="154" t="e">
        <f t="shared" si="67"/>
        <v>#VALUE!</v>
      </c>
      <c r="M507">
        <v>3.95</v>
      </c>
      <c r="N507" s="154" t="e">
        <f t="shared" si="68"/>
        <v>#VALUE!</v>
      </c>
      <c r="O507">
        <v>3.95</v>
      </c>
      <c r="P507" s="154" t="e">
        <f t="shared" si="69"/>
        <v>#VALUE!</v>
      </c>
      <c r="Q507">
        <v>3.95</v>
      </c>
      <c r="R507" s="154" t="e">
        <f t="shared" si="70"/>
        <v>#VALUE!</v>
      </c>
      <c r="S507">
        <v>3.95</v>
      </c>
      <c r="T507" s="154" t="e">
        <f t="shared" si="71"/>
        <v>#VALUE!</v>
      </c>
      <c r="U507">
        <v>3.95</v>
      </c>
      <c r="V507" s="154" t="e">
        <f t="shared" si="72"/>
        <v>#VALUE!</v>
      </c>
      <c r="W507">
        <v>3.95</v>
      </c>
      <c r="X507" s="157" t="e">
        <f t="shared" si="73"/>
        <v>#VALUE!</v>
      </c>
      <c r="Y507">
        <v>3.95</v>
      </c>
      <c r="Z507" s="154" t="e">
        <f t="shared" si="74"/>
        <v>#VALUE!</v>
      </c>
      <c r="AA507">
        <v>3.95</v>
      </c>
      <c r="AB507" s="154" t="e">
        <f t="shared" si="75"/>
        <v>#VALUE!</v>
      </c>
      <c r="AC507">
        <v>3.95</v>
      </c>
      <c r="AD507" s="154" t="e">
        <f t="shared" si="76"/>
        <v>#VALUE!</v>
      </c>
      <c r="AE507">
        <v>3.95</v>
      </c>
    </row>
    <row r="508" spans="12:31" ht="15" x14ac:dyDescent="0.2">
      <c r="L508" s="154" t="e">
        <f t="shared" si="67"/>
        <v>#VALUE!</v>
      </c>
      <c r="M508">
        <v>3.96</v>
      </c>
      <c r="N508" s="154" t="e">
        <f t="shared" si="68"/>
        <v>#VALUE!</v>
      </c>
      <c r="O508">
        <v>3.96</v>
      </c>
      <c r="P508" s="154" t="e">
        <f t="shared" si="69"/>
        <v>#VALUE!</v>
      </c>
      <c r="Q508">
        <v>3.96</v>
      </c>
      <c r="R508" s="154" t="e">
        <f t="shared" si="70"/>
        <v>#VALUE!</v>
      </c>
      <c r="S508">
        <v>3.96</v>
      </c>
      <c r="T508" s="154" t="e">
        <f t="shared" si="71"/>
        <v>#VALUE!</v>
      </c>
      <c r="U508">
        <v>3.96</v>
      </c>
      <c r="V508" s="154" t="e">
        <f t="shared" si="72"/>
        <v>#VALUE!</v>
      </c>
      <c r="W508">
        <v>3.96</v>
      </c>
      <c r="X508" s="157" t="e">
        <f t="shared" si="73"/>
        <v>#VALUE!</v>
      </c>
      <c r="Y508">
        <v>3.96</v>
      </c>
      <c r="Z508" s="154" t="e">
        <f t="shared" si="74"/>
        <v>#VALUE!</v>
      </c>
      <c r="AA508">
        <v>3.96</v>
      </c>
      <c r="AB508" s="154" t="e">
        <f t="shared" si="75"/>
        <v>#VALUE!</v>
      </c>
      <c r="AC508">
        <v>3.96</v>
      </c>
      <c r="AD508" s="154" t="e">
        <f t="shared" si="76"/>
        <v>#VALUE!</v>
      </c>
      <c r="AE508">
        <v>3.96</v>
      </c>
    </row>
    <row r="509" spans="12:31" ht="15" x14ac:dyDescent="0.2">
      <c r="L509" s="154" t="e">
        <f t="shared" si="67"/>
        <v>#VALUE!</v>
      </c>
      <c r="M509">
        <v>3.97</v>
      </c>
      <c r="N509" s="154" t="e">
        <f t="shared" si="68"/>
        <v>#VALUE!</v>
      </c>
      <c r="O509">
        <v>3.97</v>
      </c>
      <c r="P509" s="154" t="e">
        <f t="shared" si="69"/>
        <v>#VALUE!</v>
      </c>
      <c r="Q509">
        <v>3.97</v>
      </c>
      <c r="R509" s="154" t="e">
        <f t="shared" si="70"/>
        <v>#VALUE!</v>
      </c>
      <c r="S509">
        <v>3.97</v>
      </c>
      <c r="T509" s="154" t="e">
        <f t="shared" si="71"/>
        <v>#VALUE!</v>
      </c>
      <c r="U509">
        <v>3.97</v>
      </c>
      <c r="V509" s="154" t="e">
        <f t="shared" si="72"/>
        <v>#VALUE!</v>
      </c>
      <c r="W509">
        <v>3.97</v>
      </c>
      <c r="X509" s="157" t="e">
        <f t="shared" si="73"/>
        <v>#VALUE!</v>
      </c>
      <c r="Y509">
        <v>3.97</v>
      </c>
      <c r="Z509" s="154" t="e">
        <f t="shared" si="74"/>
        <v>#VALUE!</v>
      </c>
      <c r="AA509">
        <v>3.97</v>
      </c>
      <c r="AB509" s="154" t="e">
        <f t="shared" si="75"/>
        <v>#VALUE!</v>
      </c>
      <c r="AC509">
        <v>3.97</v>
      </c>
      <c r="AD509" s="154" t="e">
        <f t="shared" si="76"/>
        <v>#VALUE!</v>
      </c>
      <c r="AE509">
        <v>3.97</v>
      </c>
    </row>
    <row r="510" spans="12:31" ht="15" x14ac:dyDescent="0.2">
      <c r="L510" s="154" t="e">
        <f t="shared" si="67"/>
        <v>#VALUE!</v>
      </c>
      <c r="M510">
        <v>3.98</v>
      </c>
      <c r="N510" s="154" t="e">
        <f t="shared" si="68"/>
        <v>#VALUE!</v>
      </c>
      <c r="O510">
        <v>3.98</v>
      </c>
      <c r="P510" s="154" t="e">
        <f t="shared" si="69"/>
        <v>#VALUE!</v>
      </c>
      <c r="Q510">
        <v>3.98</v>
      </c>
      <c r="R510" s="154" t="e">
        <f t="shared" si="70"/>
        <v>#VALUE!</v>
      </c>
      <c r="S510">
        <v>3.98</v>
      </c>
      <c r="T510" s="154" t="e">
        <f t="shared" si="71"/>
        <v>#VALUE!</v>
      </c>
      <c r="U510">
        <v>3.98</v>
      </c>
      <c r="V510" s="154" t="e">
        <f t="shared" si="72"/>
        <v>#VALUE!</v>
      </c>
      <c r="W510">
        <v>3.98</v>
      </c>
      <c r="X510" s="157" t="e">
        <f t="shared" si="73"/>
        <v>#VALUE!</v>
      </c>
      <c r="Y510">
        <v>3.98</v>
      </c>
      <c r="Z510" s="154" t="e">
        <f t="shared" si="74"/>
        <v>#VALUE!</v>
      </c>
      <c r="AA510">
        <v>3.98</v>
      </c>
      <c r="AB510" s="154" t="e">
        <f t="shared" si="75"/>
        <v>#VALUE!</v>
      </c>
      <c r="AC510">
        <v>3.98</v>
      </c>
      <c r="AD510" s="154" t="e">
        <f t="shared" si="76"/>
        <v>#VALUE!</v>
      </c>
      <c r="AE510">
        <v>3.98</v>
      </c>
    </row>
    <row r="511" spans="12:31" ht="15" x14ac:dyDescent="0.2">
      <c r="L511" s="154" t="e">
        <f t="shared" si="67"/>
        <v>#VALUE!</v>
      </c>
      <c r="M511">
        <v>3.99</v>
      </c>
      <c r="N511" s="154" t="e">
        <f t="shared" si="68"/>
        <v>#VALUE!</v>
      </c>
      <c r="O511">
        <v>3.99</v>
      </c>
      <c r="P511" s="154" t="e">
        <f t="shared" si="69"/>
        <v>#VALUE!</v>
      </c>
      <c r="Q511">
        <v>3.99</v>
      </c>
      <c r="R511" s="154" t="e">
        <f t="shared" si="70"/>
        <v>#VALUE!</v>
      </c>
      <c r="S511">
        <v>3.99</v>
      </c>
      <c r="T511" s="154" t="e">
        <f t="shared" si="71"/>
        <v>#VALUE!</v>
      </c>
      <c r="U511">
        <v>3.99</v>
      </c>
      <c r="V511" s="154" t="e">
        <f t="shared" si="72"/>
        <v>#VALUE!</v>
      </c>
      <c r="W511">
        <v>3.99</v>
      </c>
      <c r="X511" s="157" t="e">
        <f t="shared" si="73"/>
        <v>#VALUE!</v>
      </c>
      <c r="Y511">
        <v>3.99</v>
      </c>
      <c r="Z511" s="154" t="e">
        <f t="shared" si="74"/>
        <v>#VALUE!</v>
      </c>
      <c r="AA511">
        <v>3.99</v>
      </c>
      <c r="AB511" s="154" t="e">
        <f t="shared" si="75"/>
        <v>#VALUE!</v>
      </c>
      <c r="AC511">
        <v>3.99</v>
      </c>
      <c r="AD511" s="154" t="e">
        <f t="shared" si="76"/>
        <v>#VALUE!</v>
      </c>
      <c r="AE511">
        <v>3.99</v>
      </c>
    </row>
    <row r="512" spans="12:31" ht="15" x14ac:dyDescent="0.2">
      <c r="L512" s="154" t="e">
        <f t="shared" si="67"/>
        <v>#VALUE!</v>
      </c>
      <c r="M512">
        <v>4</v>
      </c>
      <c r="N512" s="154" t="e">
        <f t="shared" si="68"/>
        <v>#VALUE!</v>
      </c>
      <c r="O512">
        <v>4</v>
      </c>
      <c r="P512" s="154" t="e">
        <f t="shared" si="69"/>
        <v>#VALUE!</v>
      </c>
      <c r="Q512">
        <v>4</v>
      </c>
      <c r="R512" s="154" t="e">
        <f t="shared" si="70"/>
        <v>#VALUE!</v>
      </c>
      <c r="S512">
        <v>4</v>
      </c>
      <c r="T512" s="154" t="e">
        <f t="shared" si="71"/>
        <v>#VALUE!</v>
      </c>
      <c r="U512">
        <v>4</v>
      </c>
      <c r="V512" s="154" t="e">
        <f t="shared" si="72"/>
        <v>#VALUE!</v>
      </c>
      <c r="W512">
        <v>4</v>
      </c>
      <c r="X512" s="157" t="e">
        <f t="shared" si="73"/>
        <v>#VALUE!</v>
      </c>
      <c r="Y512">
        <v>4</v>
      </c>
      <c r="Z512" s="154" t="e">
        <f t="shared" si="74"/>
        <v>#VALUE!</v>
      </c>
      <c r="AA512">
        <v>4</v>
      </c>
      <c r="AB512" s="154" t="e">
        <f t="shared" si="75"/>
        <v>#VALUE!</v>
      </c>
      <c r="AC512">
        <v>4</v>
      </c>
      <c r="AD512" s="154" t="e">
        <f t="shared" si="76"/>
        <v>#VALUE!</v>
      </c>
      <c r="AE512">
        <v>4</v>
      </c>
    </row>
    <row r="513" spans="12:31" ht="15" x14ac:dyDescent="0.2">
      <c r="L513" s="154" t="e">
        <f t="shared" si="67"/>
        <v>#VALUE!</v>
      </c>
      <c r="M513">
        <v>4.01</v>
      </c>
      <c r="N513" s="154" t="e">
        <f t="shared" si="68"/>
        <v>#VALUE!</v>
      </c>
      <c r="O513">
        <v>4.01</v>
      </c>
      <c r="P513" s="154" t="e">
        <f t="shared" si="69"/>
        <v>#VALUE!</v>
      </c>
      <c r="Q513">
        <v>4.01</v>
      </c>
      <c r="R513" s="154" t="e">
        <f t="shared" si="70"/>
        <v>#VALUE!</v>
      </c>
      <c r="S513">
        <v>4.01</v>
      </c>
      <c r="T513" s="154" t="e">
        <f t="shared" si="71"/>
        <v>#VALUE!</v>
      </c>
      <c r="U513">
        <v>4.01</v>
      </c>
      <c r="V513" s="154" t="e">
        <f t="shared" si="72"/>
        <v>#VALUE!</v>
      </c>
      <c r="W513">
        <v>4.01</v>
      </c>
      <c r="X513" s="157" t="e">
        <f t="shared" si="73"/>
        <v>#VALUE!</v>
      </c>
      <c r="Y513">
        <v>4.01</v>
      </c>
      <c r="Z513" s="154" t="e">
        <f t="shared" si="74"/>
        <v>#VALUE!</v>
      </c>
      <c r="AA513">
        <v>4.01</v>
      </c>
      <c r="AB513" s="154" t="e">
        <f t="shared" si="75"/>
        <v>#VALUE!</v>
      </c>
      <c r="AC513">
        <v>4.01</v>
      </c>
      <c r="AD513" s="154" t="e">
        <f t="shared" si="76"/>
        <v>#VALUE!</v>
      </c>
      <c r="AE513">
        <v>4.01</v>
      </c>
    </row>
    <row r="514" spans="12:31" ht="15" x14ac:dyDescent="0.2">
      <c r="L514" s="154" t="e">
        <f t="shared" si="67"/>
        <v>#VALUE!</v>
      </c>
      <c r="M514">
        <v>4.0199999999999996</v>
      </c>
      <c r="N514" s="154" t="e">
        <f t="shared" si="68"/>
        <v>#VALUE!</v>
      </c>
      <c r="O514">
        <v>4.0199999999999996</v>
      </c>
      <c r="P514" s="154" t="e">
        <f t="shared" si="69"/>
        <v>#VALUE!</v>
      </c>
      <c r="Q514">
        <v>4.0199999999999996</v>
      </c>
      <c r="R514" s="154" t="e">
        <f t="shared" si="70"/>
        <v>#VALUE!</v>
      </c>
      <c r="S514">
        <v>4.0199999999999996</v>
      </c>
      <c r="T514" s="154" t="e">
        <f t="shared" si="71"/>
        <v>#VALUE!</v>
      </c>
      <c r="U514">
        <v>4.0199999999999996</v>
      </c>
      <c r="V514" s="154" t="e">
        <f t="shared" si="72"/>
        <v>#VALUE!</v>
      </c>
      <c r="W514">
        <v>4.0199999999999996</v>
      </c>
      <c r="X514" s="157" t="e">
        <f t="shared" si="73"/>
        <v>#VALUE!</v>
      </c>
      <c r="Y514">
        <v>4.0199999999999996</v>
      </c>
      <c r="Z514" s="154" t="e">
        <f t="shared" si="74"/>
        <v>#VALUE!</v>
      </c>
      <c r="AA514">
        <v>4.0199999999999996</v>
      </c>
      <c r="AB514" s="154" t="e">
        <f t="shared" si="75"/>
        <v>#VALUE!</v>
      </c>
      <c r="AC514">
        <v>4.0199999999999996</v>
      </c>
      <c r="AD514" s="154" t="e">
        <f t="shared" si="76"/>
        <v>#VALUE!</v>
      </c>
      <c r="AE514">
        <v>4.0199999999999996</v>
      </c>
    </row>
    <row r="515" spans="12:31" ht="15" x14ac:dyDescent="0.2">
      <c r="L515" s="154" t="e">
        <f t="shared" si="67"/>
        <v>#VALUE!</v>
      </c>
      <c r="M515">
        <v>4.03</v>
      </c>
      <c r="N515" s="154" t="e">
        <f t="shared" si="68"/>
        <v>#VALUE!</v>
      </c>
      <c r="O515">
        <v>4.03</v>
      </c>
      <c r="P515" s="154" t="e">
        <f t="shared" si="69"/>
        <v>#VALUE!</v>
      </c>
      <c r="Q515">
        <v>4.03</v>
      </c>
      <c r="R515" s="154" t="e">
        <f t="shared" si="70"/>
        <v>#VALUE!</v>
      </c>
      <c r="S515">
        <v>4.03</v>
      </c>
      <c r="T515" s="154" t="e">
        <f t="shared" si="71"/>
        <v>#VALUE!</v>
      </c>
      <c r="U515">
        <v>4.03</v>
      </c>
      <c r="V515" s="154" t="e">
        <f t="shared" si="72"/>
        <v>#VALUE!</v>
      </c>
      <c r="W515">
        <v>4.03</v>
      </c>
      <c r="X515" s="157" t="e">
        <f t="shared" si="73"/>
        <v>#VALUE!</v>
      </c>
      <c r="Y515">
        <v>4.03</v>
      </c>
      <c r="Z515" s="154" t="e">
        <f t="shared" si="74"/>
        <v>#VALUE!</v>
      </c>
      <c r="AA515">
        <v>4.03</v>
      </c>
      <c r="AB515" s="154" t="e">
        <f t="shared" si="75"/>
        <v>#VALUE!</v>
      </c>
      <c r="AC515">
        <v>4.03</v>
      </c>
      <c r="AD515" s="154" t="e">
        <f t="shared" si="76"/>
        <v>#VALUE!</v>
      </c>
      <c r="AE515">
        <v>4.03</v>
      </c>
    </row>
    <row r="516" spans="12:31" ht="15" x14ac:dyDescent="0.2">
      <c r="L516" s="154" t="e">
        <f t="shared" si="67"/>
        <v>#VALUE!</v>
      </c>
      <c r="M516">
        <v>4.04</v>
      </c>
      <c r="N516" s="154" t="e">
        <f t="shared" si="68"/>
        <v>#VALUE!</v>
      </c>
      <c r="O516">
        <v>4.04</v>
      </c>
      <c r="P516" s="154" t="e">
        <f t="shared" si="69"/>
        <v>#VALUE!</v>
      </c>
      <c r="Q516">
        <v>4.04</v>
      </c>
      <c r="R516" s="154" t="e">
        <f t="shared" si="70"/>
        <v>#VALUE!</v>
      </c>
      <c r="S516">
        <v>4.04</v>
      </c>
      <c r="T516" s="154" t="e">
        <f t="shared" si="71"/>
        <v>#VALUE!</v>
      </c>
      <c r="U516">
        <v>4.04</v>
      </c>
      <c r="V516" s="154" t="e">
        <f t="shared" si="72"/>
        <v>#VALUE!</v>
      </c>
      <c r="W516">
        <v>4.04</v>
      </c>
      <c r="X516" s="157" t="e">
        <f t="shared" si="73"/>
        <v>#VALUE!</v>
      </c>
      <c r="Y516">
        <v>4.04</v>
      </c>
      <c r="Z516" s="154" t="e">
        <f t="shared" si="74"/>
        <v>#VALUE!</v>
      </c>
      <c r="AA516">
        <v>4.04</v>
      </c>
      <c r="AB516" s="154" t="e">
        <f t="shared" si="75"/>
        <v>#VALUE!</v>
      </c>
      <c r="AC516">
        <v>4.04</v>
      </c>
      <c r="AD516" s="154" t="e">
        <f t="shared" si="76"/>
        <v>#VALUE!</v>
      </c>
      <c r="AE516">
        <v>4.04</v>
      </c>
    </row>
    <row r="517" spans="12:31" ht="15" x14ac:dyDescent="0.2">
      <c r="L517" s="154" t="e">
        <f t="shared" si="67"/>
        <v>#VALUE!</v>
      </c>
      <c r="M517">
        <v>4.05</v>
      </c>
      <c r="N517" s="154" t="e">
        <f t="shared" si="68"/>
        <v>#VALUE!</v>
      </c>
      <c r="O517">
        <v>4.05</v>
      </c>
      <c r="P517" s="154" t="e">
        <f t="shared" si="69"/>
        <v>#VALUE!</v>
      </c>
      <c r="Q517">
        <v>4.05</v>
      </c>
      <c r="R517" s="154" t="e">
        <f t="shared" si="70"/>
        <v>#VALUE!</v>
      </c>
      <c r="S517">
        <v>4.05</v>
      </c>
      <c r="T517" s="154" t="e">
        <f t="shared" si="71"/>
        <v>#VALUE!</v>
      </c>
      <c r="U517">
        <v>4.05</v>
      </c>
      <c r="V517" s="154" t="e">
        <f t="shared" si="72"/>
        <v>#VALUE!</v>
      </c>
      <c r="W517">
        <v>4.05</v>
      </c>
      <c r="X517" s="157" t="e">
        <f t="shared" si="73"/>
        <v>#VALUE!</v>
      </c>
      <c r="Y517">
        <v>4.05</v>
      </c>
      <c r="Z517" s="154" t="e">
        <f t="shared" si="74"/>
        <v>#VALUE!</v>
      </c>
      <c r="AA517">
        <v>4.05</v>
      </c>
      <c r="AB517" s="154" t="e">
        <f t="shared" si="75"/>
        <v>#VALUE!</v>
      </c>
      <c r="AC517">
        <v>4.05</v>
      </c>
      <c r="AD517" s="154" t="e">
        <f t="shared" si="76"/>
        <v>#VALUE!</v>
      </c>
      <c r="AE517">
        <v>4.05</v>
      </c>
    </row>
    <row r="518" spans="12:31" ht="15" x14ac:dyDescent="0.2">
      <c r="L518" s="154" t="e">
        <f t="shared" si="67"/>
        <v>#VALUE!</v>
      </c>
      <c r="M518">
        <v>4.0599999999999996</v>
      </c>
      <c r="N518" s="154" t="e">
        <f t="shared" si="68"/>
        <v>#VALUE!</v>
      </c>
      <c r="O518">
        <v>4.0599999999999996</v>
      </c>
      <c r="P518" s="154" t="e">
        <f t="shared" si="69"/>
        <v>#VALUE!</v>
      </c>
      <c r="Q518">
        <v>4.0599999999999996</v>
      </c>
      <c r="R518" s="154" t="e">
        <f t="shared" si="70"/>
        <v>#VALUE!</v>
      </c>
      <c r="S518">
        <v>4.0599999999999996</v>
      </c>
      <c r="T518" s="154" t="e">
        <f t="shared" si="71"/>
        <v>#VALUE!</v>
      </c>
      <c r="U518">
        <v>4.0599999999999996</v>
      </c>
      <c r="V518" s="154" t="e">
        <f t="shared" si="72"/>
        <v>#VALUE!</v>
      </c>
      <c r="W518">
        <v>4.0599999999999996</v>
      </c>
      <c r="X518" s="157" t="e">
        <f t="shared" si="73"/>
        <v>#VALUE!</v>
      </c>
      <c r="Y518">
        <v>4.0599999999999996</v>
      </c>
      <c r="Z518" s="154" t="e">
        <f t="shared" si="74"/>
        <v>#VALUE!</v>
      </c>
      <c r="AA518">
        <v>4.0599999999999996</v>
      </c>
      <c r="AB518" s="154" t="e">
        <f t="shared" si="75"/>
        <v>#VALUE!</v>
      </c>
      <c r="AC518">
        <v>4.0599999999999996</v>
      </c>
      <c r="AD518" s="154" t="e">
        <f t="shared" si="76"/>
        <v>#VALUE!</v>
      </c>
      <c r="AE518">
        <v>4.0599999999999996</v>
      </c>
    </row>
    <row r="519" spans="12:31" ht="15" x14ac:dyDescent="0.2">
      <c r="L519" s="154" t="e">
        <f t="shared" si="67"/>
        <v>#VALUE!</v>
      </c>
      <c r="M519">
        <v>4.07</v>
      </c>
      <c r="N519" s="154" t="e">
        <f t="shared" si="68"/>
        <v>#VALUE!</v>
      </c>
      <c r="O519">
        <v>4.07</v>
      </c>
      <c r="P519" s="154" t="e">
        <f t="shared" si="69"/>
        <v>#VALUE!</v>
      </c>
      <c r="Q519">
        <v>4.07</v>
      </c>
      <c r="R519" s="154" t="e">
        <f t="shared" si="70"/>
        <v>#VALUE!</v>
      </c>
      <c r="S519">
        <v>4.07</v>
      </c>
      <c r="T519" s="154" t="e">
        <f t="shared" si="71"/>
        <v>#VALUE!</v>
      </c>
      <c r="U519">
        <v>4.07</v>
      </c>
      <c r="V519" s="154" t="e">
        <f t="shared" si="72"/>
        <v>#VALUE!</v>
      </c>
      <c r="W519">
        <v>4.07</v>
      </c>
      <c r="X519" s="157" t="e">
        <f t="shared" si="73"/>
        <v>#VALUE!</v>
      </c>
      <c r="Y519">
        <v>4.07</v>
      </c>
      <c r="Z519" s="154" t="e">
        <f t="shared" si="74"/>
        <v>#VALUE!</v>
      </c>
      <c r="AA519">
        <v>4.07</v>
      </c>
      <c r="AB519" s="154" t="e">
        <f t="shared" si="75"/>
        <v>#VALUE!</v>
      </c>
      <c r="AC519">
        <v>4.07</v>
      </c>
      <c r="AD519" s="154" t="e">
        <f t="shared" si="76"/>
        <v>#VALUE!</v>
      </c>
      <c r="AE519">
        <v>4.07</v>
      </c>
    </row>
    <row r="520" spans="12:31" ht="15" x14ac:dyDescent="0.2">
      <c r="L520" s="154" t="e">
        <f t="shared" si="67"/>
        <v>#VALUE!</v>
      </c>
      <c r="M520">
        <v>4.08</v>
      </c>
      <c r="N520" s="154" t="e">
        <f t="shared" si="68"/>
        <v>#VALUE!</v>
      </c>
      <c r="O520">
        <v>4.08</v>
      </c>
      <c r="P520" s="154" t="e">
        <f t="shared" si="69"/>
        <v>#VALUE!</v>
      </c>
      <c r="Q520">
        <v>4.08</v>
      </c>
      <c r="R520" s="154" t="e">
        <f t="shared" si="70"/>
        <v>#VALUE!</v>
      </c>
      <c r="S520">
        <v>4.08</v>
      </c>
      <c r="T520" s="154" t="e">
        <f t="shared" si="71"/>
        <v>#VALUE!</v>
      </c>
      <c r="U520">
        <v>4.08</v>
      </c>
      <c r="V520" s="154" t="e">
        <f t="shared" si="72"/>
        <v>#VALUE!</v>
      </c>
      <c r="W520">
        <v>4.08</v>
      </c>
      <c r="X520" s="157" t="e">
        <f t="shared" si="73"/>
        <v>#VALUE!</v>
      </c>
      <c r="Y520">
        <v>4.08</v>
      </c>
      <c r="Z520" s="154" t="e">
        <f t="shared" si="74"/>
        <v>#VALUE!</v>
      </c>
      <c r="AA520">
        <v>4.08</v>
      </c>
      <c r="AB520" s="154" t="e">
        <f t="shared" si="75"/>
        <v>#VALUE!</v>
      </c>
      <c r="AC520">
        <v>4.08</v>
      </c>
      <c r="AD520" s="154" t="e">
        <f t="shared" si="76"/>
        <v>#VALUE!</v>
      </c>
      <c r="AE520">
        <v>4.08</v>
      </c>
    </row>
    <row r="521" spans="12:31" ht="15" x14ac:dyDescent="0.2">
      <c r="L521" s="154" t="e">
        <f t="shared" si="67"/>
        <v>#VALUE!</v>
      </c>
      <c r="M521">
        <v>4.09</v>
      </c>
      <c r="N521" s="154" t="e">
        <f t="shared" si="68"/>
        <v>#VALUE!</v>
      </c>
      <c r="O521">
        <v>4.09</v>
      </c>
      <c r="P521" s="154" t="e">
        <f t="shared" si="69"/>
        <v>#VALUE!</v>
      </c>
      <c r="Q521">
        <v>4.09</v>
      </c>
      <c r="R521" s="154" t="e">
        <f t="shared" si="70"/>
        <v>#VALUE!</v>
      </c>
      <c r="S521">
        <v>4.09</v>
      </c>
      <c r="T521" s="154" t="e">
        <f t="shared" si="71"/>
        <v>#VALUE!</v>
      </c>
      <c r="U521">
        <v>4.09</v>
      </c>
      <c r="V521" s="154" t="e">
        <f t="shared" si="72"/>
        <v>#VALUE!</v>
      </c>
      <c r="W521">
        <v>4.09</v>
      </c>
      <c r="X521" s="157" t="e">
        <f t="shared" si="73"/>
        <v>#VALUE!</v>
      </c>
      <c r="Y521">
        <v>4.09</v>
      </c>
      <c r="Z521" s="154" t="e">
        <f t="shared" si="74"/>
        <v>#VALUE!</v>
      </c>
      <c r="AA521">
        <v>4.09</v>
      </c>
      <c r="AB521" s="154" t="e">
        <f t="shared" si="75"/>
        <v>#VALUE!</v>
      </c>
      <c r="AC521">
        <v>4.09</v>
      </c>
      <c r="AD521" s="154" t="e">
        <f t="shared" si="76"/>
        <v>#VALUE!</v>
      </c>
      <c r="AE521">
        <v>4.09</v>
      </c>
    </row>
    <row r="522" spans="12:31" ht="15" x14ac:dyDescent="0.2">
      <c r="L522" s="154" t="e">
        <f t="shared" si="67"/>
        <v>#VALUE!</v>
      </c>
      <c r="M522">
        <v>4.0999999999999996</v>
      </c>
      <c r="N522" s="154" t="e">
        <f t="shared" si="68"/>
        <v>#VALUE!</v>
      </c>
      <c r="O522">
        <v>4.0999999999999996</v>
      </c>
      <c r="P522" s="154" t="e">
        <f t="shared" si="69"/>
        <v>#VALUE!</v>
      </c>
      <c r="Q522">
        <v>4.0999999999999996</v>
      </c>
      <c r="R522" s="154" t="e">
        <f t="shared" si="70"/>
        <v>#VALUE!</v>
      </c>
      <c r="S522">
        <v>4.0999999999999996</v>
      </c>
      <c r="T522" s="154" t="e">
        <f t="shared" si="71"/>
        <v>#VALUE!</v>
      </c>
      <c r="U522">
        <v>4.0999999999999996</v>
      </c>
      <c r="V522" s="154" t="e">
        <f t="shared" si="72"/>
        <v>#VALUE!</v>
      </c>
      <c r="W522">
        <v>4.0999999999999996</v>
      </c>
      <c r="X522" s="157" t="e">
        <f t="shared" si="73"/>
        <v>#VALUE!</v>
      </c>
      <c r="Y522">
        <v>4.0999999999999996</v>
      </c>
      <c r="Z522" s="154" t="e">
        <f t="shared" si="74"/>
        <v>#VALUE!</v>
      </c>
      <c r="AA522">
        <v>4.0999999999999996</v>
      </c>
      <c r="AB522" s="154" t="e">
        <f t="shared" si="75"/>
        <v>#VALUE!</v>
      </c>
      <c r="AC522">
        <v>4.0999999999999996</v>
      </c>
      <c r="AD522" s="154" t="e">
        <f t="shared" si="76"/>
        <v>#VALUE!</v>
      </c>
      <c r="AE522">
        <v>4.0999999999999996</v>
      </c>
    </row>
    <row r="523" spans="12:31" ht="15" x14ac:dyDescent="0.2">
      <c r="L523" s="154" t="e">
        <f t="shared" si="67"/>
        <v>#VALUE!</v>
      </c>
      <c r="M523">
        <v>4.1100000000000003</v>
      </c>
      <c r="N523" s="154" t="e">
        <f t="shared" si="68"/>
        <v>#VALUE!</v>
      </c>
      <c r="O523">
        <v>4.1100000000000003</v>
      </c>
      <c r="P523" s="154" t="e">
        <f t="shared" si="69"/>
        <v>#VALUE!</v>
      </c>
      <c r="Q523">
        <v>4.1100000000000003</v>
      </c>
      <c r="R523" s="154" t="e">
        <f t="shared" si="70"/>
        <v>#VALUE!</v>
      </c>
      <c r="S523">
        <v>4.1100000000000003</v>
      </c>
      <c r="T523" s="154" t="e">
        <f t="shared" si="71"/>
        <v>#VALUE!</v>
      </c>
      <c r="U523">
        <v>4.1100000000000003</v>
      </c>
      <c r="V523" s="154" t="e">
        <f t="shared" si="72"/>
        <v>#VALUE!</v>
      </c>
      <c r="W523">
        <v>4.1100000000000003</v>
      </c>
      <c r="X523" s="157" t="e">
        <f t="shared" si="73"/>
        <v>#VALUE!</v>
      </c>
      <c r="Y523">
        <v>4.1100000000000003</v>
      </c>
      <c r="Z523" s="154" t="e">
        <f t="shared" si="74"/>
        <v>#VALUE!</v>
      </c>
      <c r="AA523">
        <v>4.1100000000000003</v>
      </c>
      <c r="AB523" s="154" t="e">
        <f t="shared" si="75"/>
        <v>#VALUE!</v>
      </c>
      <c r="AC523">
        <v>4.1100000000000003</v>
      </c>
      <c r="AD523" s="154" t="e">
        <f t="shared" si="76"/>
        <v>#VALUE!</v>
      </c>
      <c r="AE523">
        <v>4.1100000000000003</v>
      </c>
    </row>
    <row r="524" spans="12:31" ht="15" x14ac:dyDescent="0.2">
      <c r="L524" s="154" t="e">
        <f t="shared" si="67"/>
        <v>#VALUE!</v>
      </c>
      <c r="M524" s="64">
        <v>4.12</v>
      </c>
      <c r="N524" s="154" t="e">
        <f t="shared" si="68"/>
        <v>#VALUE!</v>
      </c>
      <c r="O524" s="64">
        <v>4.12</v>
      </c>
      <c r="P524" s="154" t="e">
        <f t="shared" si="69"/>
        <v>#VALUE!</v>
      </c>
      <c r="Q524" s="64">
        <v>4.12</v>
      </c>
      <c r="R524" s="154" t="e">
        <f t="shared" si="70"/>
        <v>#VALUE!</v>
      </c>
      <c r="S524" s="64">
        <v>4.12</v>
      </c>
      <c r="T524" s="154" t="e">
        <f t="shared" si="71"/>
        <v>#VALUE!</v>
      </c>
      <c r="U524" s="64">
        <v>4.12</v>
      </c>
      <c r="V524" s="154" t="e">
        <f t="shared" si="72"/>
        <v>#VALUE!</v>
      </c>
      <c r="W524" s="64">
        <v>4.12</v>
      </c>
      <c r="X524" s="157" t="e">
        <f t="shared" si="73"/>
        <v>#VALUE!</v>
      </c>
      <c r="Y524" s="64">
        <v>4.12</v>
      </c>
      <c r="Z524" s="154" t="e">
        <f t="shared" si="74"/>
        <v>#VALUE!</v>
      </c>
      <c r="AA524" s="64">
        <v>4.12</v>
      </c>
      <c r="AB524" s="154" t="e">
        <f t="shared" si="75"/>
        <v>#VALUE!</v>
      </c>
      <c r="AC524" s="64">
        <v>4.12</v>
      </c>
      <c r="AD524" s="154" t="e">
        <f t="shared" si="76"/>
        <v>#VALUE!</v>
      </c>
      <c r="AE524" s="64">
        <v>4.12</v>
      </c>
    </row>
    <row r="525" spans="12:31" ht="15" x14ac:dyDescent="0.2">
      <c r="L525" s="154" t="e">
        <f t="shared" si="67"/>
        <v>#VALUE!</v>
      </c>
      <c r="M525" s="64">
        <v>4.13</v>
      </c>
      <c r="N525" s="154" t="e">
        <f t="shared" si="68"/>
        <v>#VALUE!</v>
      </c>
      <c r="O525" s="64">
        <v>4.13</v>
      </c>
      <c r="P525" s="154" t="e">
        <f t="shared" si="69"/>
        <v>#VALUE!</v>
      </c>
      <c r="Q525" s="64">
        <v>4.13</v>
      </c>
      <c r="R525" s="154" t="e">
        <f t="shared" si="70"/>
        <v>#VALUE!</v>
      </c>
      <c r="S525" s="64">
        <v>4.13</v>
      </c>
      <c r="T525" s="154" t="e">
        <f t="shared" si="71"/>
        <v>#VALUE!</v>
      </c>
      <c r="U525" s="64">
        <v>4.13</v>
      </c>
      <c r="V525" s="154" t="e">
        <f t="shared" si="72"/>
        <v>#VALUE!</v>
      </c>
      <c r="W525" s="64">
        <v>4.13</v>
      </c>
      <c r="X525" s="157" t="e">
        <f t="shared" si="73"/>
        <v>#VALUE!</v>
      </c>
      <c r="Y525" s="64">
        <v>4.13</v>
      </c>
      <c r="Z525" s="154" t="e">
        <f t="shared" si="74"/>
        <v>#VALUE!</v>
      </c>
      <c r="AA525" s="64">
        <v>4.13</v>
      </c>
      <c r="AB525" s="154" t="e">
        <f t="shared" si="75"/>
        <v>#VALUE!</v>
      </c>
      <c r="AC525" s="64">
        <v>4.13</v>
      </c>
      <c r="AD525" s="154" t="e">
        <f t="shared" si="76"/>
        <v>#VALUE!</v>
      </c>
      <c r="AE525" s="64">
        <v>4.13</v>
      </c>
    </row>
    <row r="526" spans="12:31" ht="15" x14ac:dyDescent="0.2">
      <c r="L526" s="154" t="e">
        <f t="shared" si="67"/>
        <v>#VALUE!</v>
      </c>
      <c r="M526">
        <v>4.1399999999999997</v>
      </c>
      <c r="N526" s="154" t="e">
        <f t="shared" si="68"/>
        <v>#VALUE!</v>
      </c>
      <c r="O526">
        <v>4.1399999999999997</v>
      </c>
      <c r="P526" s="154" t="e">
        <f t="shared" si="69"/>
        <v>#VALUE!</v>
      </c>
      <c r="Q526">
        <v>4.1399999999999997</v>
      </c>
      <c r="R526" s="154" t="e">
        <f t="shared" si="70"/>
        <v>#VALUE!</v>
      </c>
      <c r="S526">
        <v>4.1399999999999997</v>
      </c>
      <c r="T526" s="154" t="e">
        <f t="shared" si="71"/>
        <v>#VALUE!</v>
      </c>
      <c r="U526">
        <v>4.1399999999999997</v>
      </c>
      <c r="V526" s="154" t="e">
        <f t="shared" si="72"/>
        <v>#VALUE!</v>
      </c>
      <c r="W526">
        <v>4.1399999999999997</v>
      </c>
      <c r="X526" s="157" t="e">
        <f t="shared" si="73"/>
        <v>#VALUE!</v>
      </c>
      <c r="Y526">
        <v>4.1399999999999997</v>
      </c>
      <c r="Z526" s="154" t="e">
        <f t="shared" si="74"/>
        <v>#VALUE!</v>
      </c>
      <c r="AA526">
        <v>4.1399999999999997</v>
      </c>
      <c r="AB526" s="154" t="e">
        <f t="shared" si="75"/>
        <v>#VALUE!</v>
      </c>
      <c r="AC526">
        <v>4.1399999999999997</v>
      </c>
      <c r="AD526" s="154" t="e">
        <f t="shared" si="76"/>
        <v>#VALUE!</v>
      </c>
      <c r="AE526">
        <v>4.1399999999999997</v>
      </c>
    </row>
    <row r="527" spans="12:31" ht="15" x14ac:dyDescent="0.2">
      <c r="L527" s="154" t="e">
        <f t="shared" si="67"/>
        <v>#VALUE!</v>
      </c>
      <c r="M527">
        <v>4.1500000000000004</v>
      </c>
      <c r="N527" s="154" t="e">
        <f t="shared" si="68"/>
        <v>#VALUE!</v>
      </c>
      <c r="O527">
        <v>4.1500000000000004</v>
      </c>
      <c r="P527" s="154" t="e">
        <f t="shared" si="69"/>
        <v>#VALUE!</v>
      </c>
      <c r="Q527">
        <v>4.1500000000000004</v>
      </c>
      <c r="R527" s="154" t="e">
        <f t="shared" si="70"/>
        <v>#VALUE!</v>
      </c>
      <c r="S527">
        <v>4.1500000000000004</v>
      </c>
      <c r="T527" s="154" t="e">
        <f t="shared" si="71"/>
        <v>#VALUE!</v>
      </c>
      <c r="U527">
        <v>4.1500000000000004</v>
      </c>
      <c r="V527" s="154" t="e">
        <f t="shared" si="72"/>
        <v>#VALUE!</v>
      </c>
      <c r="W527">
        <v>4.1500000000000004</v>
      </c>
      <c r="X527" s="157" t="e">
        <f t="shared" si="73"/>
        <v>#VALUE!</v>
      </c>
      <c r="Y527">
        <v>4.1500000000000004</v>
      </c>
      <c r="Z527" s="154" t="e">
        <f t="shared" si="74"/>
        <v>#VALUE!</v>
      </c>
      <c r="AA527">
        <v>4.1500000000000004</v>
      </c>
      <c r="AB527" s="154" t="e">
        <f t="shared" si="75"/>
        <v>#VALUE!</v>
      </c>
      <c r="AC527">
        <v>4.1500000000000004</v>
      </c>
      <c r="AD527" s="154" t="e">
        <f t="shared" si="76"/>
        <v>#VALUE!</v>
      </c>
      <c r="AE527">
        <v>4.1500000000000004</v>
      </c>
    </row>
    <row r="528" spans="12:31" ht="15" x14ac:dyDescent="0.2">
      <c r="L528" s="154" t="e">
        <f t="shared" si="67"/>
        <v>#VALUE!</v>
      </c>
      <c r="M528">
        <v>4.16</v>
      </c>
      <c r="N528" s="154" t="e">
        <f t="shared" si="68"/>
        <v>#VALUE!</v>
      </c>
      <c r="O528">
        <v>4.16</v>
      </c>
      <c r="P528" s="154" t="e">
        <f t="shared" si="69"/>
        <v>#VALUE!</v>
      </c>
      <c r="Q528">
        <v>4.16</v>
      </c>
      <c r="R528" s="154" t="e">
        <f t="shared" si="70"/>
        <v>#VALUE!</v>
      </c>
      <c r="S528">
        <v>4.16</v>
      </c>
      <c r="T528" s="154" t="e">
        <f t="shared" si="71"/>
        <v>#VALUE!</v>
      </c>
      <c r="U528">
        <v>4.16</v>
      </c>
      <c r="V528" s="154" t="e">
        <f t="shared" si="72"/>
        <v>#VALUE!</v>
      </c>
      <c r="W528">
        <v>4.16</v>
      </c>
      <c r="X528" s="157" t="e">
        <f t="shared" si="73"/>
        <v>#VALUE!</v>
      </c>
      <c r="Y528">
        <v>4.16</v>
      </c>
      <c r="Z528" s="154" t="e">
        <f t="shared" si="74"/>
        <v>#VALUE!</v>
      </c>
      <c r="AA528">
        <v>4.16</v>
      </c>
      <c r="AB528" s="154" t="e">
        <f t="shared" si="75"/>
        <v>#VALUE!</v>
      </c>
      <c r="AC528">
        <v>4.16</v>
      </c>
      <c r="AD528" s="154" t="e">
        <f t="shared" si="76"/>
        <v>#VALUE!</v>
      </c>
      <c r="AE528">
        <v>4.16</v>
      </c>
    </row>
    <row r="529" spans="12:31" ht="15" x14ac:dyDescent="0.2">
      <c r="L529" s="154" t="e">
        <f t="shared" si="67"/>
        <v>#VALUE!</v>
      </c>
      <c r="M529">
        <v>4.17</v>
      </c>
      <c r="N529" s="154" t="e">
        <f t="shared" si="68"/>
        <v>#VALUE!</v>
      </c>
      <c r="O529">
        <v>4.17</v>
      </c>
      <c r="P529" s="154" t="e">
        <f t="shared" si="69"/>
        <v>#VALUE!</v>
      </c>
      <c r="Q529">
        <v>4.17</v>
      </c>
      <c r="R529" s="154" t="e">
        <f t="shared" si="70"/>
        <v>#VALUE!</v>
      </c>
      <c r="S529">
        <v>4.17</v>
      </c>
      <c r="T529" s="154" t="e">
        <f t="shared" si="71"/>
        <v>#VALUE!</v>
      </c>
      <c r="U529">
        <v>4.17</v>
      </c>
      <c r="V529" s="154" t="e">
        <f t="shared" si="72"/>
        <v>#VALUE!</v>
      </c>
      <c r="W529">
        <v>4.17</v>
      </c>
      <c r="X529" s="157" t="e">
        <f t="shared" si="73"/>
        <v>#VALUE!</v>
      </c>
      <c r="Y529">
        <v>4.17</v>
      </c>
      <c r="Z529" s="154" t="e">
        <f t="shared" si="74"/>
        <v>#VALUE!</v>
      </c>
      <c r="AA529">
        <v>4.17</v>
      </c>
      <c r="AB529" s="154" t="e">
        <f t="shared" si="75"/>
        <v>#VALUE!</v>
      </c>
      <c r="AC529">
        <v>4.17</v>
      </c>
      <c r="AD529" s="154" t="e">
        <f t="shared" si="76"/>
        <v>#VALUE!</v>
      </c>
      <c r="AE529">
        <v>4.17</v>
      </c>
    </row>
    <row r="530" spans="12:31" ht="15" x14ac:dyDescent="0.2">
      <c r="L530" s="154" t="e">
        <f t="shared" si="67"/>
        <v>#VALUE!</v>
      </c>
      <c r="M530">
        <v>4.18</v>
      </c>
      <c r="N530" s="154" t="e">
        <f t="shared" si="68"/>
        <v>#VALUE!</v>
      </c>
      <c r="O530">
        <v>4.18</v>
      </c>
      <c r="P530" s="154" t="e">
        <f t="shared" si="69"/>
        <v>#VALUE!</v>
      </c>
      <c r="Q530">
        <v>4.18</v>
      </c>
      <c r="R530" s="154" t="e">
        <f t="shared" si="70"/>
        <v>#VALUE!</v>
      </c>
      <c r="S530">
        <v>4.18</v>
      </c>
      <c r="T530" s="154" t="e">
        <f t="shared" si="71"/>
        <v>#VALUE!</v>
      </c>
      <c r="U530">
        <v>4.18</v>
      </c>
      <c r="V530" s="154" t="e">
        <f t="shared" si="72"/>
        <v>#VALUE!</v>
      </c>
      <c r="W530">
        <v>4.18</v>
      </c>
      <c r="X530" s="157" t="e">
        <f t="shared" si="73"/>
        <v>#VALUE!</v>
      </c>
      <c r="Y530">
        <v>4.18</v>
      </c>
      <c r="Z530" s="154" t="e">
        <f t="shared" si="74"/>
        <v>#VALUE!</v>
      </c>
      <c r="AA530">
        <v>4.18</v>
      </c>
      <c r="AB530" s="154" t="e">
        <f t="shared" si="75"/>
        <v>#VALUE!</v>
      </c>
      <c r="AC530">
        <v>4.18</v>
      </c>
      <c r="AD530" s="154" t="e">
        <f t="shared" si="76"/>
        <v>#VALUE!</v>
      </c>
      <c r="AE530">
        <v>4.18</v>
      </c>
    </row>
    <row r="531" spans="12:31" ht="15" x14ac:dyDescent="0.2">
      <c r="L531" s="154" t="e">
        <f t="shared" si="67"/>
        <v>#VALUE!</v>
      </c>
      <c r="M531">
        <v>4.1900000000000004</v>
      </c>
      <c r="N531" s="154" t="e">
        <f t="shared" si="68"/>
        <v>#VALUE!</v>
      </c>
      <c r="O531">
        <v>4.1900000000000004</v>
      </c>
      <c r="P531" s="154" t="e">
        <f t="shared" si="69"/>
        <v>#VALUE!</v>
      </c>
      <c r="Q531">
        <v>4.1900000000000004</v>
      </c>
      <c r="R531" s="154" t="e">
        <f t="shared" si="70"/>
        <v>#VALUE!</v>
      </c>
      <c r="S531">
        <v>4.1900000000000004</v>
      </c>
      <c r="T531" s="154" t="e">
        <f t="shared" si="71"/>
        <v>#VALUE!</v>
      </c>
      <c r="U531">
        <v>4.1900000000000004</v>
      </c>
      <c r="V531" s="154" t="e">
        <f t="shared" si="72"/>
        <v>#VALUE!</v>
      </c>
      <c r="W531">
        <v>4.1900000000000004</v>
      </c>
      <c r="X531" s="157" t="e">
        <f t="shared" si="73"/>
        <v>#VALUE!</v>
      </c>
      <c r="Y531">
        <v>4.1900000000000004</v>
      </c>
      <c r="Z531" s="154" t="e">
        <f t="shared" si="74"/>
        <v>#VALUE!</v>
      </c>
      <c r="AA531">
        <v>4.1900000000000004</v>
      </c>
      <c r="AB531" s="154" t="e">
        <f t="shared" si="75"/>
        <v>#VALUE!</v>
      </c>
      <c r="AC531">
        <v>4.1900000000000004</v>
      </c>
      <c r="AD531" s="154" t="e">
        <f t="shared" si="76"/>
        <v>#VALUE!</v>
      </c>
      <c r="AE531">
        <v>4.1900000000000004</v>
      </c>
    </row>
    <row r="532" spans="12:31" ht="15" x14ac:dyDescent="0.2">
      <c r="L532" s="154" t="e">
        <f t="shared" si="67"/>
        <v>#VALUE!</v>
      </c>
      <c r="M532">
        <v>4.2</v>
      </c>
      <c r="N532" s="154" t="e">
        <f t="shared" si="68"/>
        <v>#VALUE!</v>
      </c>
      <c r="O532">
        <v>4.2</v>
      </c>
      <c r="P532" s="154" t="e">
        <f t="shared" si="69"/>
        <v>#VALUE!</v>
      </c>
      <c r="Q532">
        <v>4.2</v>
      </c>
      <c r="R532" s="154" t="e">
        <f t="shared" si="70"/>
        <v>#VALUE!</v>
      </c>
      <c r="S532">
        <v>4.2</v>
      </c>
      <c r="T532" s="154" t="e">
        <f t="shared" si="71"/>
        <v>#VALUE!</v>
      </c>
      <c r="U532">
        <v>4.2</v>
      </c>
      <c r="V532" s="154" t="e">
        <f t="shared" si="72"/>
        <v>#VALUE!</v>
      </c>
      <c r="W532">
        <v>4.2</v>
      </c>
      <c r="X532" s="157" t="e">
        <f t="shared" si="73"/>
        <v>#VALUE!</v>
      </c>
      <c r="Y532">
        <v>4.2</v>
      </c>
      <c r="Z532" s="154" t="e">
        <f t="shared" si="74"/>
        <v>#VALUE!</v>
      </c>
      <c r="AA532">
        <v>4.2</v>
      </c>
      <c r="AB532" s="154" t="e">
        <f t="shared" si="75"/>
        <v>#VALUE!</v>
      </c>
      <c r="AC532">
        <v>4.2</v>
      </c>
      <c r="AD532" s="154" t="e">
        <f t="shared" si="76"/>
        <v>#VALUE!</v>
      </c>
      <c r="AE532">
        <v>4.2</v>
      </c>
    </row>
    <row r="533" spans="12:31" ht="15" x14ac:dyDescent="0.2">
      <c r="L533" s="154" t="e">
        <f t="shared" si="67"/>
        <v>#VALUE!</v>
      </c>
      <c r="M533">
        <v>4.21</v>
      </c>
      <c r="N533" s="154" t="e">
        <f t="shared" si="68"/>
        <v>#VALUE!</v>
      </c>
      <c r="O533">
        <v>4.21</v>
      </c>
      <c r="P533" s="154" t="e">
        <f t="shared" si="69"/>
        <v>#VALUE!</v>
      </c>
      <c r="Q533">
        <v>4.21</v>
      </c>
      <c r="R533" s="154" t="e">
        <f t="shared" si="70"/>
        <v>#VALUE!</v>
      </c>
      <c r="S533">
        <v>4.21</v>
      </c>
      <c r="T533" s="154" t="e">
        <f t="shared" si="71"/>
        <v>#VALUE!</v>
      </c>
      <c r="U533">
        <v>4.21</v>
      </c>
      <c r="V533" s="154" t="e">
        <f t="shared" si="72"/>
        <v>#VALUE!</v>
      </c>
      <c r="W533">
        <v>4.21</v>
      </c>
      <c r="X533" s="157" t="e">
        <f t="shared" si="73"/>
        <v>#VALUE!</v>
      </c>
      <c r="Y533">
        <v>4.21</v>
      </c>
      <c r="Z533" s="154" t="e">
        <f t="shared" si="74"/>
        <v>#VALUE!</v>
      </c>
      <c r="AA533">
        <v>4.21</v>
      </c>
      <c r="AB533" s="154" t="e">
        <f t="shared" si="75"/>
        <v>#VALUE!</v>
      </c>
      <c r="AC533">
        <v>4.21</v>
      </c>
      <c r="AD533" s="154" t="e">
        <f t="shared" si="76"/>
        <v>#VALUE!</v>
      </c>
      <c r="AE533">
        <v>4.21</v>
      </c>
    </row>
    <row r="534" spans="12:31" ht="15" x14ac:dyDescent="0.2">
      <c r="L534" s="154" t="e">
        <f t="shared" si="67"/>
        <v>#VALUE!</v>
      </c>
      <c r="M534">
        <v>4.22</v>
      </c>
      <c r="N534" s="154" t="e">
        <f t="shared" si="68"/>
        <v>#VALUE!</v>
      </c>
      <c r="O534">
        <v>4.22</v>
      </c>
      <c r="P534" s="154" t="e">
        <f t="shared" si="69"/>
        <v>#VALUE!</v>
      </c>
      <c r="Q534">
        <v>4.22</v>
      </c>
      <c r="R534" s="154" t="e">
        <f t="shared" si="70"/>
        <v>#VALUE!</v>
      </c>
      <c r="S534">
        <v>4.22</v>
      </c>
      <c r="T534" s="154" t="e">
        <f t="shared" si="71"/>
        <v>#VALUE!</v>
      </c>
      <c r="U534">
        <v>4.22</v>
      </c>
      <c r="V534" s="154" t="e">
        <f t="shared" si="72"/>
        <v>#VALUE!</v>
      </c>
      <c r="W534">
        <v>4.22</v>
      </c>
      <c r="X534" s="157" t="e">
        <f t="shared" si="73"/>
        <v>#VALUE!</v>
      </c>
      <c r="Y534">
        <v>4.22</v>
      </c>
      <c r="Z534" s="154" t="e">
        <f t="shared" si="74"/>
        <v>#VALUE!</v>
      </c>
      <c r="AA534">
        <v>4.22</v>
      </c>
      <c r="AB534" s="154" t="e">
        <f t="shared" si="75"/>
        <v>#VALUE!</v>
      </c>
      <c r="AC534">
        <v>4.22</v>
      </c>
      <c r="AD534" s="154" t="e">
        <f t="shared" si="76"/>
        <v>#VALUE!</v>
      </c>
      <c r="AE534">
        <v>4.22</v>
      </c>
    </row>
    <row r="535" spans="12:31" ht="15" x14ac:dyDescent="0.2">
      <c r="L535" s="154" t="e">
        <f t="shared" si="67"/>
        <v>#VALUE!</v>
      </c>
      <c r="M535">
        <v>4.2300000000000004</v>
      </c>
      <c r="N535" s="154" t="e">
        <f t="shared" si="68"/>
        <v>#VALUE!</v>
      </c>
      <c r="O535">
        <v>4.2300000000000004</v>
      </c>
      <c r="P535" s="154" t="e">
        <f t="shared" si="69"/>
        <v>#VALUE!</v>
      </c>
      <c r="Q535">
        <v>4.2300000000000004</v>
      </c>
      <c r="R535" s="154" t="e">
        <f t="shared" si="70"/>
        <v>#VALUE!</v>
      </c>
      <c r="S535">
        <v>4.2300000000000004</v>
      </c>
      <c r="T535" s="154" t="e">
        <f t="shared" si="71"/>
        <v>#VALUE!</v>
      </c>
      <c r="U535">
        <v>4.2300000000000004</v>
      </c>
      <c r="V535" s="154" t="e">
        <f t="shared" si="72"/>
        <v>#VALUE!</v>
      </c>
      <c r="W535">
        <v>4.2300000000000004</v>
      </c>
      <c r="X535" s="157" t="e">
        <f t="shared" si="73"/>
        <v>#VALUE!</v>
      </c>
      <c r="Y535">
        <v>4.2300000000000004</v>
      </c>
      <c r="Z535" s="154" t="e">
        <f t="shared" si="74"/>
        <v>#VALUE!</v>
      </c>
      <c r="AA535">
        <v>4.2300000000000004</v>
      </c>
      <c r="AB535" s="154" t="e">
        <f t="shared" si="75"/>
        <v>#VALUE!</v>
      </c>
      <c r="AC535">
        <v>4.2300000000000004</v>
      </c>
      <c r="AD535" s="154" t="e">
        <f t="shared" si="76"/>
        <v>#VALUE!</v>
      </c>
      <c r="AE535">
        <v>4.2300000000000004</v>
      </c>
    </row>
    <row r="536" spans="12:31" ht="15" x14ac:dyDescent="0.2">
      <c r="L536" s="154" t="e">
        <f t="shared" si="67"/>
        <v>#VALUE!</v>
      </c>
      <c r="M536">
        <v>4.24</v>
      </c>
      <c r="N536" s="154" t="e">
        <f t="shared" si="68"/>
        <v>#VALUE!</v>
      </c>
      <c r="O536">
        <v>4.24</v>
      </c>
      <c r="P536" s="154" t="e">
        <f t="shared" si="69"/>
        <v>#VALUE!</v>
      </c>
      <c r="Q536">
        <v>4.24</v>
      </c>
      <c r="R536" s="154" t="e">
        <f t="shared" si="70"/>
        <v>#VALUE!</v>
      </c>
      <c r="S536">
        <v>4.24</v>
      </c>
      <c r="T536" s="154" t="e">
        <f t="shared" si="71"/>
        <v>#VALUE!</v>
      </c>
      <c r="U536">
        <v>4.24</v>
      </c>
      <c r="V536" s="154" t="e">
        <f t="shared" si="72"/>
        <v>#VALUE!</v>
      </c>
      <c r="W536">
        <v>4.24</v>
      </c>
      <c r="X536" s="157" t="e">
        <f t="shared" si="73"/>
        <v>#VALUE!</v>
      </c>
      <c r="Y536">
        <v>4.24</v>
      </c>
      <c r="Z536" s="154" t="e">
        <f t="shared" si="74"/>
        <v>#VALUE!</v>
      </c>
      <c r="AA536">
        <v>4.24</v>
      </c>
      <c r="AB536" s="154" t="e">
        <f t="shared" si="75"/>
        <v>#VALUE!</v>
      </c>
      <c r="AC536">
        <v>4.24</v>
      </c>
      <c r="AD536" s="154" t="e">
        <f t="shared" si="76"/>
        <v>#VALUE!</v>
      </c>
      <c r="AE536">
        <v>4.24</v>
      </c>
    </row>
    <row r="537" spans="12:31" ht="15" x14ac:dyDescent="0.2">
      <c r="L537" s="154" t="e">
        <f t="shared" si="67"/>
        <v>#VALUE!</v>
      </c>
      <c r="M537">
        <v>4.25</v>
      </c>
      <c r="N537" s="154" t="e">
        <f t="shared" si="68"/>
        <v>#VALUE!</v>
      </c>
      <c r="O537">
        <v>4.25</v>
      </c>
      <c r="P537" s="154" t="e">
        <f t="shared" si="69"/>
        <v>#VALUE!</v>
      </c>
      <c r="Q537">
        <v>4.25</v>
      </c>
      <c r="R537" s="154" t="e">
        <f t="shared" si="70"/>
        <v>#VALUE!</v>
      </c>
      <c r="S537">
        <v>4.25</v>
      </c>
      <c r="T537" s="154" t="e">
        <f t="shared" si="71"/>
        <v>#VALUE!</v>
      </c>
      <c r="U537">
        <v>4.25</v>
      </c>
      <c r="V537" s="154" t="e">
        <f t="shared" si="72"/>
        <v>#VALUE!</v>
      </c>
      <c r="W537">
        <v>4.25</v>
      </c>
      <c r="X537" s="157" t="e">
        <f t="shared" si="73"/>
        <v>#VALUE!</v>
      </c>
      <c r="Y537">
        <v>4.25</v>
      </c>
      <c r="Z537" s="154" t="e">
        <f t="shared" si="74"/>
        <v>#VALUE!</v>
      </c>
      <c r="AA537">
        <v>4.25</v>
      </c>
      <c r="AB537" s="154" t="e">
        <f t="shared" si="75"/>
        <v>#VALUE!</v>
      </c>
      <c r="AC537">
        <v>4.25</v>
      </c>
      <c r="AD537" s="154" t="e">
        <f t="shared" si="76"/>
        <v>#VALUE!</v>
      </c>
      <c r="AE537">
        <v>4.25</v>
      </c>
    </row>
    <row r="538" spans="12:31" ht="15" x14ac:dyDescent="0.2">
      <c r="L538" s="154" t="e">
        <f t="shared" si="67"/>
        <v>#VALUE!</v>
      </c>
      <c r="M538">
        <v>4.26</v>
      </c>
      <c r="N538" s="154" t="e">
        <f t="shared" si="68"/>
        <v>#VALUE!</v>
      </c>
      <c r="O538">
        <v>4.26</v>
      </c>
      <c r="P538" s="154" t="e">
        <f t="shared" si="69"/>
        <v>#VALUE!</v>
      </c>
      <c r="Q538">
        <v>4.26</v>
      </c>
      <c r="R538" s="154" t="e">
        <f t="shared" si="70"/>
        <v>#VALUE!</v>
      </c>
      <c r="S538">
        <v>4.26</v>
      </c>
      <c r="T538" s="154" t="e">
        <f t="shared" si="71"/>
        <v>#VALUE!</v>
      </c>
      <c r="U538">
        <v>4.26</v>
      </c>
      <c r="V538" s="154" t="e">
        <f t="shared" si="72"/>
        <v>#VALUE!</v>
      </c>
      <c r="W538">
        <v>4.26</v>
      </c>
      <c r="X538" s="157" t="e">
        <f t="shared" si="73"/>
        <v>#VALUE!</v>
      </c>
      <c r="Y538">
        <v>4.26</v>
      </c>
      <c r="Z538" s="154" t="e">
        <f t="shared" si="74"/>
        <v>#VALUE!</v>
      </c>
      <c r="AA538">
        <v>4.26</v>
      </c>
      <c r="AB538" s="154" t="e">
        <f t="shared" si="75"/>
        <v>#VALUE!</v>
      </c>
      <c r="AC538">
        <v>4.26</v>
      </c>
      <c r="AD538" s="154" t="e">
        <f t="shared" si="76"/>
        <v>#VALUE!</v>
      </c>
      <c r="AE538">
        <v>4.26</v>
      </c>
    </row>
    <row r="539" spans="12:31" ht="15" x14ac:dyDescent="0.2">
      <c r="L539" s="154" t="e">
        <f t="shared" si="67"/>
        <v>#VALUE!</v>
      </c>
      <c r="M539">
        <v>4.2699999999999996</v>
      </c>
      <c r="N539" s="154" t="e">
        <f t="shared" si="68"/>
        <v>#VALUE!</v>
      </c>
      <c r="O539">
        <v>4.2699999999999996</v>
      </c>
      <c r="P539" s="154" t="e">
        <f t="shared" si="69"/>
        <v>#VALUE!</v>
      </c>
      <c r="Q539">
        <v>4.2699999999999996</v>
      </c>
      <c r="R539" s="154" t="e">
        <f t="shared" si="70"/>
        <v>#VALUE!</v>
      </c>
      <c r="S539">
        <v>4.2699999999999996</v>
      </c>
      <c r="T539" s="154" t="e">
        <f t="shared" si="71"/>
        <v>#VALUE!</v>
      </c>
      <c r="U539">
        <v>4.2699999999999996</v>
      </c>
      <c r="V539" s="154" t="e">
        <f t="shared" si="72"/>
        <v>#VALUE!</v>
      </c>
      <c r="W539">
        <v>4.2699999999999996</v>
      </c>
      <c r="X539" s="157" t="e">
        <f t="shared" si="73"/>
        <v>#VALUE!</v>
      </c>
      <c r="Y539">
        <v>4.2699999999999996</v>
      </c>
      <c r="Z539" s="154" t="e">
        <f t="shared" si="74"/>
        <v>#VALUE!</v>
      </c>
      <c r="AA539">
        <v>4.2699999999999996</v>
      </c>
      <c r="AB539" s="154" t="e">
        <f t="shared" si="75"/>
        <v>#VALUE!</v>
      </c>
      <c r="AC539">
        <v>4.2699999999999996</v>
      </c>
      <c r="AD539" s="154" t="e">
        <f t="shared" si="76"/>
        <v>#VALUE!</v>
      </c>
      <c r="AE539">
        <v>4.2699999999999996</v>
      </c>
    </row>
    <row r="540" spans="12:31" ht="15" x14ac:dyDescent="0.2">
      <c r="L540" s="154" t="e">
        <f t="shared" si="67"/>
        <v>#VALUE!</v>
      </c>
      <c r="M540">
        <v>4.28</v>
      </c>
      <c r="N540" s="154" t="e">
        <f t="shared" si="68"/>
        <v>#VALUE!</v>
      </c>
      <c r="O540">
        <v>4.28</v>
      </c>
      <c r="P540" s="154" t="e">
        <f t="shared" si="69"/>
        <v>#VALUE!</v>
      </c>
      <c r="Q540">
        <v>4.28</v>
      </c>
      <c r="R540" s="154" t="e">
        <f t="shared" si="70"/>
        <v>#VALUE!</v>
      </c>
      <c r="S540">
        <v>4.28</v>
      </c>
      <c r="T540" s="154" t="e">
        <f t="shared" si="71"/>
        <v>#VALUE!</v>
      </c>
      <c r="U540">
        <v>4.28</v>
      </c>
      <c r="V540" s="154" t="e">
        <f t="shared" si="72"/>
        <v>#VALUE!</v>
      </c>
      <c r="W540">
        <v>4.28</v>
      </c>
      <c r="X540" s="157" t="e">
        <f t="shared" si="73"/>
        <v>#VALUE!</v>
      </c>
      <c r="Y540">
        <v>4.28</v>
      </c>
      <c r="Z540" s="154" t="e">
        <f t="shared" si="74"/>
        <v>#VALUE!</v>
      </c>
      <c r="AA540">
        <v>4.28</v>
      </c>
      <c r="AB540" s="154" t="e">
        <f t="shared" si="75"/>
        <v>#VALUE!</v>
      </c>
      <c r="AC540">
        <v>4.28</v>
      </c>
      <c r="AD540" s="154" t="e">
        <f t="shared" si="76"/>
        <v>#VALUE!</v>
      </c>
      <c r="AE540">
        <v>4.28</v>
      </c>
    </row>
    <row r="541" spans="12:31" ht="15" x14ac:dyDescent="0.2">
      <c r="L541" s="154" t="e">
        <f t="shared" si="67"/>
        <v>#VALUE!</v>
      </c>
      <c r="M541">
        <v>4.29</v>
      </c>
      <c r="N541" s="154" t="e">
        <f t="shared" si="68"/>
        <v>#VALUE!</v>
      </c>
      <c r="O541">
        <v>4.29</v>
      </c>
      <c r="P541" s="154" t="e">
        <f t="shared" si="69"/>
        <v>#VALUE!</v>
      </c>
      <c r="Q541">
        <v>4.29</v>
      </c>
      <c r="R541" s="154" t="e">
        <f t="shared" si="70"/>
        <v>#VALUE!</v>
      </c>
      <c r="S541">
        <v>4.29</v>
      </c>
      <c r="T541" s="154" t="e">
        <f t="shared" si="71"/>
        <v>#VALUE!</v>
      </c>
      <c r="U541">
        <v>4.29</v>
      </c>
      <c r="V541" s="154" t="e">
        <f t="shared" si="72"/>
        <v>#VALUE!</v>
      </c>
      <c r="W541">
        <v>4.29</v>
      </c>
      <c r="X541" s="157" t="e">
        <f t="shared" si="73"/>
        <v>#VALUE!</v>
      </c>
      <c r="Y541">
        <v>4.29</v>
      </c>
      <c r="Z541" s="154" t="e">
        <f t="shared" si="74"/>
        <v>#VALUE!</v>
      </c>
      <c r="AA541">
        <v>4.29</v>
      </c>
      <c r="AB541" s="154" t="e">
        <f t="shared" si="75"/>
        <v>#VALUE!</v>
      </c>
      <c r="AC541">
        <v>4.29</v>
      </c>
      <c r="AD541" s="154" t="e">
        <f t="shared" si="76"/>
        <v>#VALUE!</v>
      </c>
      <c r="AE541">
        <v>4.29</v>
      </c>
    </row>
    <row r="542" spans="12:31" ht="15" x14ac:dyDescent="0.2">
      <c r="L542" s="154" t="e">
        <f t="shared" si="67"/>
        <v>#VALUE!</v>
      </c>
      <c r="M542">
        <v>4.3</v>
      </c>
      <c r="N542" s="154" t="e">
        <f t="shared" si="68"/>
        <v>#VALUE!</v>
      </c>
      <c r="O542">
        <v>4.3</v>
      </c>
      <c r="P542" s="154" t="e">
        <f t="shared" si="69"/>
        <v>#VALUE!</v>
      </c>
      <c r="Q542">
        <v>4.3</v>
      </c>
      <c r="R542" s="154" t="e">
        <f t="shared" si="70"/>
        <v>#VALUE!</v>
      </c>
      <c r="S542">
        <v>4.3</v>
      </c>
      <c r="T542" s="154" t="e">
        <f t="shared" si="71"/>
        <v>#VALUE!</v>
      </c>
      <c r="U542">
        <v>4.3</v>
      </c>
      <c r="V542" s="154" t="e">
        <f t="shared" si="72"/>
        <v>#VALUE!</v>
      </c>
      <c r="W542">
        <v>4.3</v>
      </c>
      <c r="X542" s="157" t="e">
        <f t="shared" si="73"/>
        <v>#VALUE!</v>
      </c>
      <c r="Y542">
        <v>4.3</v>
      </c>
      <c r="Z542" s="154" t="e">
        <f t="shared" si="74"/>
        <v>#VALUE!</v>
      </c>
      <c r="AA542">
        <v>4.3</v>
      </c>
      <c r="AB542" s="154" t="e">
        <f t="shared" si="75"/>
        <v>#VALUE!</v>
      </c>
      <c r="AC542">
        <v>4.3</v>
      </c>
      <c r="AD542" s="154" t="e">
        <f t="shared" si="76"/>
        <v>#VALUE!</v>
      </c>
      <c r="AE542">
        <v>4.3</v>
      </c>
    </row>
    <row r="543" spans="12:31" ht="15" x14ac:dyDescent="0.2">
      <c r="L543" s="154" t="e">
        <f t="shared" si="67"/>
        <v>#VALUE!</v>
      </c>
      <c r="M543">
        <v>4.3099999999999996</v>
      </c>
      <c r="N543" s="154" t="e">
        <f t="shared" si="68"/>
        <v>#VALUE!</v>
      </c>
      <c r="O543">
        <v>4.3099999999999996</v>
      </c>
      <c r="P543" s="154" t="e">
        <f t="shared" si="69"/>
        <v>#VALUE!</v>
      </c>
      <c r="Q543">
        <v>4.3099999999999996</v>
      </c>
      <c r="R543" s="154" t="e">
        <f t="shared" si="70"/>
        <v>#VALUE!</v>
      </c>
      <c r="S543">
        <v>4.3099999999999996</v>
      </c>
      <c r="T543" s="154" t="e">
        <f t="shared" si="71"/>
        <v>#VALUE!</v>
      </c>
      <c r="U543">
        <v>4.3099999999999996</v>
      </c>
      <c r="V543" s="154" t="e">
        <f t="shared" si="72"/>
        <v>#VALUE!</v>
      </c>
      <c r="W543">
        <v>4.3099999999999996</v>
      </c>
      <c r="X543" s="157" t="e">
        <f t="shared" si="73"/>
        <v>#VALUE!</v>
      </c>
      <c r="Y543">
        <v>4.3099999999999996</v>
      </c>
      <c r="Z543" s="154" t="e">
        <f t="shared" si="74"/>
        <v>#VALUE!</v>
      </c>
      <c r="AA543">
        <v>4.3099999999999996</v>
      </c>
      <c r="AB543" s="154" t="e">
        <f t="shared" si="75"/>
        <v>#VALUE!</v>
      </c>
      <c r="AC543">
        <v>4.3099999999999996</v>
      </c>
      <c r="AD543" s="154" t="e">
        <f t="shared" si="76"/>
        <v>#VALUE!</v>
      </c>
      <c r="AE543">
        <v>4.3099999999999996</v>
      </c>
    </row>
    <row r="544" spans="12:31" ht="15" x14ac:dyDescent="0.2">
      <c r="L544" s="154" t="e">
        <f t="shared" si="67"/>
        <v>#VALUE!</v>
      </c>
      <c r="M544">
        <v>4.32</v>
      </c>
      <c r="N544" s="154" t="e">
        <f t="shared" si="68"/>
        <v>#VALUE!</v>
      </c>
      <c r="O544">
        <v>4.32</v>
      </c>
      <c r="P544" s="154" t="e">
        <f t="shared" si="69"/>
        <v>#VALUE!</v>
      </c>
      <c r="Q544">
        <v>4.32</v>
      </c>
      <c r="R544" s="154" t="e">
        <f t="shared" si="70"/>
        <v>#VALUE!</v>
      </c>
      <c r="S544">
        <v>4.32</v>
      </c>
      <c r="T544" s="154" t="e">
        <f t="shared" si="71"/>
        <v>#VALUE!</v>
      </c>
      <c r="U544">
        <v>4.32</v>
      </c>
      <c r="V544" s="154" t="e">
        <f t="shared" si="72"/>
        <v>#VALUE!</v>
      </c>
      <c r="W544">
        <v>4.32</v>
      </c>
      <c r="X544" s="157" t="e">
        <f t="shared" si="73"/>
        <v>#VALUE!</v>
      </c>
      <c r="Y544">
        <v>4.32</v>
      </c>
      <c r="Z544" s="154" t="e">
        <f t="shared" si="74"/>
        <v>#VALUE!</v>
      </c>
      <c r="AA544">
        <v>4.32</v>
      </c>
      <c r="AB544" s="154" t="e">
        <f t="shared" si="75"/>
        <v>#VALUE!</v>
      </c>
      <c r="AC544">
        <v>4.32</v>
      </c>
      <c r="AD544" s="154" t="e">
        <f t="shared" si="76"/>
        <v>#VALUE!</v>
      </c>
      <c r="AE544">
        <v>4.32</v>
      </c>
    </row>
    <row r="545" spans="12:31" ht="15" x14ac:dyDescent="0.2">
      <c r="L545" s="154" t="e">
        <f t="shared" si="67"/>
        <v>#VALUE!</v>
      </c>
      <c r="M545">
        <v>4.33</v>
      </c>
      <c r="N545" s="154" t="e">
        <f t="shared" si="68"/>
        <v>#VALUE!</v>
      </c>
      <c r="O545">
        <v>4.33</v>
      </c>
      <c r="P545" s="154" t="e">
        <f t="shared" si="69"/>
        <v>#VALUE!</v>
      </c>
      <c r="Q545">
        <v>4.33</v>
      </c>
      <c r="R545" s="154" t="e">
        <f t="shared" si="70"/>
        <v>#VALUE!</v>
      </c>
      <c r="S545">
        <v>4.33</v>
      </c>
      <c r="T545" s="154" t="e">
        <f t="shared" si="71"/>
        <v>#VALUE!</v>
      </c>
      <c r="U545">
        <v>4.33</v>
      </c>
      <c r="V545" s="154" t="e">
        <f t="shared" si="72"/>
        <v>#VALUE!</v>
      </c>
      <c r="W545">
        <v>4.33</v>
      </c>
      <c r="X545" s="157" t="e">
        <f t="shared" si="73"/>
        <v>#VALUE!</v>
      </c>
      <c r="Y545">
        <v>4.33</v>
      </c>
      <c r="Z545" s="154" t="e">
        <f t="shared" si="74"/>
        <v>#VALUE!</v>
      </c>
      <c r="AA545">
        <v>4.33</v>
      </c>
      <c r="AB545" s="154" t="e">
        <f t="shared" si="75"/>
        <v>#VALUE!</v>
      </c>
      <c r="AC545">
        <v>4.33</v>
      </c>
      <c r="AD545" s="154" t="e">
        <f t="shared" si="76"/>
        <v>#VALUE!</v>
      </c>
      <c r="AE545">
        <v>4.33</v>
      </c>
    </row>
    <row r="546" spans="12:31" ht="15" x14ac:dyDescent="0.2">
      <c r="L546" s="154" t="e">
        <f t="shared" si="67"/>
        <v>#VALUE!</v>
      </c>
      <c r="M546">
        <v>4.34</v>
      </c>
      <c r="N546" s="154" t="e">
        <f t="shared" si="68"/>
        <v>#VALUE!</v>
      </c>
      <c r="O546">
        <v>4.34</v>
      </c>
      <c r="P546" s="154" t="e">
        <f t="shared" si="69"/>
        <v>#VALUE!</v>
      </c>
      <c r="Q546">
        <v>4.34</v>
      </c>
      <c r="R546" s="154" t="e">
        <f t="shared" si="70"/>
        <v>#VALUE!</v>
      </c>
      <c r="S546">
        <v>4.34</v>
      </c>
      <c r="T546" s="154" t="e">
        <f t="shared" si="71"/>
        <v>#VALUE!</v>
      </c>
      <c r="U546">
        <v>4.34</v>
      </c>
      <c r="V546" s="154" t="e">
        <f t="shared" si="72"/>
        <v>#VALUE!</v>
      </c>
      <c r="W546">
        <v>4.34</v>
      </c>
      <c r="X546" s="157" t="e">
        <f t="shared" si="73"/>
        <v>#VALUE!</v>
      </c>
      <c r="Y546">
        <v>4.34</v>
      </c>
      <c r="Z546" s="154" t="e">
        <f t="shared" si="74"/>
        <v>#VALUE!</v>
      </c>
      <c r="AA546">
        <v>4.34</v>
      </c>
      <c r="AB546" s="154" t="e">
        <f t="shared" si="75"/>
        <v>#VALUE!</v>
      </c>
      <c r="AC546">
        <v>4.34</v>
      </c>
      <c r="AD546" s="154" t="e">
        <f t="shared" si="76"/>
        <v>#VALUE!</v>
      </c>
      <c r="AE546">
        <v>4.34</v>
      </c>
    </row>
    <row r="547" spans="12:31" ht="15" x14ac:dyDescent="0.2">
      <c r="L547" s="154" t="e">
        <f t="shared" si="67"/>
        <v>#VALUE!</v>
      </c>
      <c r="M547">
        <v>4.3499999999999996</v>
      </c>
      <c r="N547" s="154" t="e">
        <f t="shared" si="68"/>
        <v>#VALUE!</v>
      </c>
      <c r="O547">
        <v>4.3499999999999996</v>
      </c>
      <c r="P547" s="154" t="e">
        <f t="shared" si="69"/>
        <v>#VALUE!</v>
      </c>
      <c r="Q547">
        <v>4.3499999999999996</v>
      </c>
      <c r="R547" s="154" t="e">
        <f t="shared" si="70"/>
        <v>#VALUE!</v>
      </c>
      <c r="S547">
        <v>4.3499999999999996</v>
      </c>
      <c r="T547" s="154" t="e">
        <f t="shared" si="71"/>
        <v>#VALUE!</v>
      </c>
      <c r="U547">
        <v>4.3499999999999996</v>
      </c>
      <c r="V547" s="154" t="e">
        <f t="shared" si="72"/>
        <v>#VALUE!</v>
      </c>
      <c r="W547">
        <v>4.3499999999999996</v>
      </c>
      <c r="X547" s="157" t="e">
        <f t="shared" si="73"/>
        <v>#VALUE!</v>
      </c>
      <c r="Y547">
        <v>4.3499999999999996</v>
      </c>
      <c r="Z547" s="154" t="e">
        <f t="shared" si="74"/>
        <v>#VALUE!</v>
      </c>
      <c r="AA547">
        <v>4.3499999999999996</v>
      </c>
      <c r="AB547" s="154" t="e">
        <f t="shared" si="75"/>
        <v>#VALUE!</v>
      </c>
      <c r="AC547">
        <v>4.3499999999999996</v>
      </c>
      <c r="AD547" s="154" t="e">
        <f t="shared" si="76"/>
        <v>#VALUE!</v>
      </c>
      <c r="AE547">
        <v>4.3499999999999996</v>
      </c>
    </row>
    <row r="548" spans="12:31" ht="15" x14ac:dyDescent="0.2">
      <c r="L548" s="154" t="e">
        <f t="shared" si="67"/>
        <v>#VALUE!</v>
      </c>
      <c r="M548">
        <v>4.3600000000000003</v>
      </c>
      <c r="N548" s="154" t="e">
        <f t="shared" si="68"/>
        <v>#VALUE!</v>
      </c>
      <c r="O548">
        <v>4.3600000000000003</v>
      </c>
      <c r="P548" s="154" t="e">
        <f t="shared" si="69"/>
        <v>#VALUE!</v>
      </c>
      <c r="Q548">
        <v>4.3600000000000003</v>
      </c>
      <c r="R548" s="154" t="e">
        <f t="shared" si="70"/>
        <v>#VALUE!</v>
      </c>
      <c r="S548">
        <v>4.3600000000000003</v>
      </c>
      <c r="T548" s="154" t="e">
        <f t="shared" si="71"/>
        <v>#VALUE!</v>
      </c>
      <c r="U548">
        <v>4.3600000000000003</v>
      </c>
      <c r="V548" s="154" t="e">
        <f t="shared" si="72"/>
        <v>#VALUE!</v>
      </c>
      <c r="W548">
        <v>4.3600000000000003</v>
      </c>
      <c r="X548" s="157" t="e">
        <f t="shared" si="73"/>
        <v>#VALUE!</v>
      </c>
      <c r="Y548">
        <v>4.3600000000000003</v>
      </c>
      <c r="Z548" s="154" t="e">
        <f t="shared" si="74"/>
        <v>#VALUE!</v>
      </c>
      <c r="AA548">
        <v>4.3600000000000003</v>
      </c>
      <c r="AB548" s="154" t="e">
        <f t="shared" si="75"/>
        <v>#VALUE!</v>
      </c>
      <c r="AC548">
        <v>4.3600000000000003</v>
      </c>
      <c r="AD548" s="154" t="e">
        <f t="shared" si="76"/>
        <v>#VALUE!</v>
      </c>
      <c r="AE548">
        <v>4.3600000000000003</v>
      </c>
    </row>
    <row r="549" spans="12:31" ht="15" x14ac:dyDescent="0.2">
      <c r="L549" s="154" t="e">
        <f t="shared" si="67"/>
        <v>#VALUE!</v>
      </c>
      <c r="M549">
        <v>4.37</v>
      </c>
      <c r="N549" s="154" t="e">
        <f t="shared" si="68"/>
        <v>#VALUE!</v>
      </c>
      <c r="O549">
        <v>4.37</v>
      </c>
      <c r="P549" s="154" t="e">
        <f t="shared" si="69"/>
        <v>#VALUE!</v>
      </c>
      <c r="Q549">
        <v>4.37</v>
      </c>
      <c r="R549" s="154" t="e">
        <f t="shared" si="70"/>
        <v>#VALUE!</v>
      </c>
      <c r="S549">
        <v>4.37</v>
      </c>
      <c r="T549" s="154" t="e">
        <f t="shared" si="71"/>
        <v>#VALUE!</v>
      </c>
      <c r="U549">
        <v>4.37</v>
      </c>
      <c r="V549" s="154" t="e">
        <f t="shared" si="72"/>
        <v>#VALUE!</v>
      </c>
      <c r="W549">
        <v>4.37</v>
      </c>
      <c r="X549" s="157" t="e">
        <f t="shared" si="73"/>
        <v>#VALUE!</v>
      </c>
      <c r="Y549">
        <v>4.37</v>
      </c>
      <c r="Z549" s="154" t="e">
        <f t="shared" si="74"/>
        <v>#VALUE!</v>
      </c>
      <c r="AA549">
        <v>4.37</v>
      </c>
      <c r="AB549" s="154" t="e">
        <f t="shared" si="75"/>
        <v>#VALUE!</v>
      </c>
      <c r="AC549">
        <v>4.37</v>
      </c>
      <c r="AD549" s="154" t="e">
        <f t="shared" si="76"/>
        <v>#VALUE!</v>
      </c>
      <c r="AE549">
        <v>4.37</v>
      </c>
    </row>
    <row r="550" spans="12:31" ht="15" x14ac:dyDescent="0.2">
      <c r="L550" s="154" t="e">
        <f t="shared" si="67"/>
        <v>#VALUE!</v>
      </c>
      <c r="M550">
        <v>4.38</v>
      </c>
      <c r="N550" s="154" t="e">
        <f t="shared" si="68"/>
        <v>#VALUE!</v>
      </c>
      <c r="O550">
        <v>4.38</v>
      </c>
      <c r="P550" s="154" t="e">
        <f t="shared" si="69"/>
        <v>#VALUE!</v>
      </c>
      <c r="Q550">
        <v>4.38</v>
      </c>
      <c r="R550" s="154" t="e">
        <f t="shared" si="70"/>
        <v>#VALUE!</v>
      </c>
      <c r="S550">
        <v>4.38</v>
      </c>
      <c r="T550" s="154" t="e">
        <f t="shared" si="71"/>
        <v>#VALUE!</v>
      </c>
      <c r="U550">
        <v>4.38</v>
      </c>
      <c r="V550" s="154" t="e">
        <f t="shared" si="72"/>
        <v>#VALUE!</v>
      </c>
      <c r="W550">
        <v>4.38</v>
      </c>
      <c r="X550" s="157" t="e">
        <f t="shared" si="73"/>
        <v>#VALUE!</v>
      </c>
      <c r="Y550">
        <v>4.38</v>
      </c>
      <c r="Z550" s="154" t="e">
        <f t="shared" si="74"/>
        <v>#VALUE!</v>
      </c>
      <c r="AA550">
        <v>4.38</v>
      </c>
      <c r="AB550" s="154" t="e">
        <f t="shared" si="75"/>
        <v>#VALUE!</v>
      </c>
      <c r="AC550">
        <v>4.38</v>
      </c>
      <c r="AD550" s="154" t="e">
        <f t="shared" si="76"/>
        <v>#VALUE!</v>
      </c>
      <c r="AE550">
        <v>4.38</v>
      </c>
    </row>
    <row r="551" spans="12:31" ht="15" x14ac:dyDescent="0.2">
      <c r="L551" s="154" t="e">
        <f t="shared" si="67"/>
        <v>#VALUE!</v>
      </c>
      <c r="M551">
        <v>4.3899999999999997</v>
      </c>
      <c r="N551" s="154" t="e">
        <f t="shared" si="68"/>
        <v>#VALUE!</v>
      </c>
      <c r="O551">
        <v>4.3899999999999997</v>
      </c>
      <c r="P551" s="154" t="e">
        <f t="shared" si="69"/>
        <v>#VALUE!</v>
      </c>
      <c r="Q551">
        <v>4.3899999999999997</v>
      </c>
      <c r="R551" s="154" t="e">
        <f t="shared" si="70"/>
        <v>#VALUE!</v>
      </c>
      <c r="S551">
        <v>4.3899999999999997</v>
      </c>
      <c r="T551" s="154" t="e">
        <f t="shared" si="71"/>
        <v>#VALUE!</v>
      </c>
      <c r="U551">
        <v>4.3899999999999997</v>
      </c>
      <c r="V551" s="154" t="e">
        <f t="shared" si="72"/>
        <v>#VALUE!</v>
      </c>
      <c r="W551">
        <v>4.3899999999999997</v>
      </c>
      <c r="X551" s="157" t="e">
        <f t="shared" si="73"/>
        <v>#VALUE!</v>
      </c>
      <c r="Y551">
        <v>4.3899999999999997</v>
      </c>
      <c r="Z551" s="154" t="e">
        <f t="shared" si="74"/>
        <v>#VALUE!</v>
      </c>
      <c r="AA551">
        <v>4.3899999999999997</v>
      </c>
      <c r="AB551" s="154" t="e">
        <f t="shared" si="75"/>
        <v>#VALUE!</v>
      </c>
      <c r="AC551">
        <v>4.3899999999999997</v>
      </c>
      <c r="AD551" s="154" t="e">
        <f t="shared" si="76"/>
        <v>#VALUE!</v>
      </c>
      <c r="AE551">
        <v>4.3899999999999997</v>
      </c>
    </row>
    <row r="552" spans="12:31" ht="15" x14ac:dyDescent="0.2">
      <c r="L552" s="154" t="e">
        <f t="shared" si="67"/>
        <v>#VALUE!</v>
      </c>
      <c r="M552">
        <v>4.4000000000000004</v>
      </c>
      <c r="N552" s="154" t="e">
        <f t="shared" si="68"/>
        <v>#VALUE!</v>
      </c>
      <c r="O552">
        <v>4.4000000000000004</v>
      </c>
      <c r="P552" s="154" t="e">
        <f t="shared" si="69"/>
        <v>#VALUE!</v>
      </c>
      <c r="Q552">
        <v>4.4000000000000004</v>
      </c>
      <c r="R552" s="154" t="e">
        <f t="shared" si="70"/>
        <v>#VALUE!</v>
      </c>
      <c r="S552">
        <v>4.4000000000000004</v>
      </c>
      <c r="T552" s="154" t="e">
        <f t="shared" si="71"/>
        <v>#VALUE!</v>
      </c>
      <c r="U552">
        <v>4.4000000000000004</v>
      </c>
      <c r="V552" s="154" t="e">
        <f t="shared" si="72"/>
        <v>#VALUE!</v>
      </c>
      <c r="W552">
        <v>4.4000000000000004</v>
      </c>
      <c r="X552" s="157" t="e">
        <f t="shared" si="73"/>
        <v>#VALUE!</v>
      </c>
      <c r="Y552">
        <v>4.4000000000000004</v>
      </c>
      <c r="Z552" s="154" t="e">
        <f t="shared" si="74"/>
        <v>#VALUE!</v>
      </c>
      <c r="AA552">
        <v>4.4000000000000004</v>
      </c>
      <c r="AB552" s="154" t="e">
        <f t="shared" si="75"/>
        <v>#VALUE!</v>
      </c>
      <c r="AC552">
        <v>4.4000000000000004</v>
      </c>
      <c r="AD552" s="154" t="e">
        <f t="shared" si="76"/>
        <v>#VALUE!</v>
      </c>
      <c r="AE552">
        <v>4.4000000000000004</v>
      </c>
    </row>
    <row r="553" spans="12:31" ht="15" x14ac:dyDescent="0.2">
      <c r="L553" s="154" t="e">
        <f t="shared" si="67"/>
        <v>#VALUE!</v>
      </c>
      <c r="M553">
        <v>4.41</v>
      </c>
      <c r="N553" s="154" t="e">
        <f t="shared" si="68"/>
        <v>#VALUE!</v>
      </c>
      <c r="O553">
        <v>4.41</v>
      </c>
      <c r="P553" s="154" t="e">
        <f t="shared" si="69"/>
        <v>#VALUE!</v>
      </c>
      <c r="Q553">
        <v>4.41</v>
      </c>
      <c r="R553" s="154" t="e">
        <f t="shared" si="70"/>
        <v>#VALUE!</v>
      </c>
      <c r="S553">
        <v>4.41</v>
      </c>
      <c r="T553" s="154" t="e">
        <f t="shared" si="71"/>
        <v>#VALUE!</v>
      </c>
      <c r="U553">
        <v>4.41</v>
      </c>
      <c r="V553" s="154" t="e">
        <f t="shared" si="72"/>
        <v>#VALUE!</v>
      </c>
      <c r="W553">
        <v>4.41</v>
      </c>
      <c r="X553" s="157" t="e">
        <f t="shared" si="73"/>
        <v>#VALUE!</v>
      </c>
      <c r="Y553">
        <v>4.41</v>
      </c>
      <c r="Z553" s="154" t="e">
        <f t="shared" si="74"/>
        <v>#VALUE!</v>
      </c>
      <c r="AA553">
        <v>4.41</v>
      </c>
      <c r="AB553" s="154" t="e">
        <f t="shared" si="75"/>
        <v>#VALUE!</v>
      </c>
      <c r="AC553">
        <v>4.41</v>
      </c>
      <c r="AD553" s="154" t="e">
        <f t="shared" si="76"/>
        <v>#VALUE!</v>
      </c>
      <c r="AE553">
        <v>4.41</v>
      </c>
    </row>
    <row r="554" spans="12:31" ht="15" x14ac:dyDescent="0.2">
      <c r="L554" s="154" t="e">
        <f t="shared" si="67"/>
        <v>#VALUE!</v>
      </c>
      <c r="M554">
        <v>4.42</v>
      </c>
      <c r="N554" s="154" t="e">
        <f t="shared" si="68"/>
        <v>#VALUE!</v>
      </c>
      <c r="O554">
        <v>4.42</v>
      </c>
      <c r="P554" s="154" t="e">
        <f t="shared" si="69"/>
        <v>#VALUE!</v>
      </c>
      <c r="Q554">
        <v>4.42</v>
      </c>
      <c r="R554" s="154" t="e">
        <f t="shared" si="70"/>
        <v>#VALUE!</v>
      </c>
      <c r="S554">
        <v>4.42</v>
      </c>
      <c r="T554" s="154" t="e">
        <f t="shared" si="71"/>
        <v>#VALUE!</v>
      </c>
      <c r="U554">
        <v>4.42</v>
      </c>
      <c r="V554" s="154" t="e">
        <f t="shared" si="72"/>
        <v>#VALUE!</v>
      </c>
      <c r="W554">
        <v>4.42</v>
      </c>
      <c r="X554" s="157" t="e">
        <f t="shared" si="73"/>
        <v>#VALUE!</v>
      </c>
      <c r="Y554">
        <v>4.42</v>
      </c>
      <c r="Z554" s="154" t="e">
        <f t="shared" si="74"/>
        <v>#VALUE!</v>
      </c>
      <c r="AA554">
        <v>4.42</v>
      </c>
      <c r="AB554" s="154" t="e">
        <f t="shared" si="75"/>
        <v>#VALUE!</v>
      </c>
      <c r="AC554">
        <v>4.42</v>
      </c>
      <c r="AD554" s="154" t="e">
        <f t="shared" si="76"/>
        <v>#VALUE!</v>
      </c>
      <c r="AE554">
        <v>4.42</v>
      </c>
    </row>
    <row r="555" spans="12:31" ht="15" x14ac:dyDescent="0.2">
      <c r="L555" s="154" t="e">
        <f t="shared" si="67"/>
        <v>#VALUE!</v>
      </c>
      <c r="M555">
        <v>4.43</v>
      </c>
      <c r="N555" s="154" t="e">
        <f t="shared" si="68"/>
        <v>#VALUE!</v>
      </c>
      <c r="O555">
        <v>4.43</v>
      </c>
      <c r="P555" s="154" t="e">
        <f t="shared" si="69"/>
        <v>#VALUE!</v>
      </c>
      <c r="Q555">
        <v>4.43</v>
      </c>
      <c r="R555" s="154" t="e">
        <f t="shared" si="70"/>
        <v>#VALUE!</v>
      </c>
      <c r="S555">
        <v>4.43</v>
      </c>
      <c r="T555" s="154" t="e">
        <f t="shared" si="71"/>
        <v>#VALUE!</v>
      </c>
      <c r="U555">
        <v>4.43</v>
      </c>
      <c r="V555" s="154" t="e">
        <f t="shared" si="72"/>
        <v>#VALUE!</v>
      </c>
      <c r="W555">
        <v>4.43</v>
      </c>
      <c r="X555" s="157" t="e">
        <f t="shared" si="73"/>
        <v>#VALUE!</v>
      </c>
      <c r="Y555">
        <v>4.43</v>
      </c>
      <c r="Z555" s="154" t="e">
        <f t="shared" si="74"/>
        <v>#VALUE!</v>
      </c>
      <c r="AA555">
        <v>4.43</v>
      </c>
      <c r="AB555" s="154" t="e">
        <f t="shared" si="75"/>
        <v>#VALUE!</v>
      </c>
      <c r="AC555">
        <v>4.43</v>
      </c>
      <c r="AD555" s="154" t="e">
        <f t="shared" si="76"/>
        <v>#VALUE!</v>
      </c>
      <c r="AE555">
        <v>4.43</v>
      </c>
    </row>
    <row r="556" spans="12:31" ht="15" x14ac:dyDescent="0.2">
      <c r="L556" s="154" t="e">
        <f t="shared" si="67"/>
        <v>#VALUE!</v>
      </c>
      <c r="M556">
        <v>4.4400000000000004</v>
      </c>
      <c r="N556" s="154" t="e">
        <f t="shared" si="68"/>
        <v>#VALUE!</v>
      </c>
      <c r="O556">
        <v>4.4400000000000004</v>
      </c>
      <c r="P556" s="154" t="e">
        <f t="shared" si="69"/>
        <v>#VALUE!</v>
      </c>
      <c r="Q556">
        <v>4.4400000000000004</v>
      </c>
      <c r="R556" s="154" t="e">
        <f t="shared" si="70"/>
        <v>#VALUE!</v>
      </c>
      <c r="S556">
        <v>4.4400000000000004</v>
      </c>
      <c r="T556" s="154" t="e">
        <f t="shared" si="71"/>
        <v>#VALUE!</v>
      </c>
      <c r="U556">
        <v>4.4400000000000004</v>
      </c>
      <c r="V556" s="154" t="e">
        <f t="shared" si="72"/>
        <v>#VALUE!</v>
      </c>
      <c r="W556">
        <v>4.4400000000000004</v>
      </c>
      <c r="X556" s="157" t="e">
        <f t="shared" si="73"/>
        <v>#VALUE!</v>
      </c>
      <c r="Y556">
        <v>4.4400000000000004</v>
      </c>
      <c r="Z556" s="154" t="e">
        <f t="shared" si="74"/>
        <v>#VALUE!</v>
      </c>
      <c r="AA556">
        <v>4.4400000000000004</v>
      </c>
      <c r="AB556" s="154" t="e">
        <f t="shared" si="75"/>
        <v>#VALUE!</v>
      </c>
      <c r="AC556">
        <v>4.4400000000000004</v>
      </c>
      <c r="AD556" s="154" t="e">
        <f t="shared" si="76"/>
        <v>#VALUE!</v>
      </c>
      <c r="AE556">
        <v>4.4400000000000004</v>
      </c>
    </row>
    <row r="557" spans="12:31" ht="15" x14ac:dyDescent="0.2">
      <c r="L557" s="154" t="e">
        <f t="shared" si="67"/>
        <v>#VALUE!</v>
      </c>
      <c r="M557">
        <v>4.45</v>
      </c>
      <c r="N557" s="154" t="e">
        <f t="shared" si="68"/>
        <v>#VALUE!</v>
      </c>
      <c r="O557">
        <v>4.45</v>
      </c>
      <c r="P557" s="154" t="e">
        <f t="shared" si="69"/>
        <v>#VALUE!</v>
      </c>
      <c r="Q557">
        <v>4.45</v>
      </c>
      <c r="R557" s="154" t="e">
        <f t="shared" si="70"/>
        <v>#VALUE!</v>
      </c>
      <c r="S557">
        <v>4.45</v>
      </c>
      <c r="T557" s="154" t="e">
        <f t="shared" si="71"/>
        <v>#VALUE!</v>
      </c>
      <c r="U557">
        <v>4.45</v>
      </c>
      <c r="V557" s="154" t="e">
        <f t="shared" si="72"/>
        <v>#VALUE!</v>
      </c>
      <c r="W557">
        <v>4.45</v>
      </c>
      <c r="X557" s="157" t="e">
        <f t="shared" si="73"/>
        <v>#VALUE!</v>
      </c>
      <c r="Y557">
        <v>4.45</v>
      </c>
      <c r="Z557" s="154" t="e">
        <f t="shared" si="74"/>
        <v>#VALUE!</v>
      </c>
      <c r="AA557">
        <v>4.45</v>
      </c>
      <c r="AB557" s="154" t="e">
        <f t="shared" si="75"/>
        <v>#VALUE!</v>
      </c>
      <c r="AC557">
        <v>4.45</v>
      </c>
      <c r="AD557" s="154" t="e">
        <f t="shared" si="76"/>
        <v>#VALUE!</v>
      </c>
      <c r="AE557">
        <v>4.45</v>
      </c>
    </row>
    <row r="558" spans="12:31" ht="15" x14ac:dyDescent="0.2">
      <c r="L558" s="154" t="e">
        <f t="shared" si="67"/>
        <v>#VALUE!</v>
      </c>
      <c r="M558">
        <v>4.46</v>
      </c>
      <c r="N558" s="154" t="e">
        <f t="shared" si="68"/>
        <v>#VALUE!</v>
      </c>
      <c r="O558">
        <v>4.46</v>
      </c>
      <c r="P558" s="154" t="e">
        <f t="shared" si="69"/>
        <v>#VALUE!</v>
      </c>
      <c r="Q558">
        <v>4.46</v>
      </c>
      <c r="R558" s="154" t="e">
        <f t="shared" si="70"/>
        <v>#VALUE!</v>
      </c>
      <c r="S558">
        <v>4.46</v>
      </c>
      <c r="T558" s="154" t="e">
        <f t="shared" si="71"/>
        <v>#VALUE!</v>
      </c>
      <c r="U558">
        <v>4.46</v>
      </c>
      <c r="V558" s="154" t="e">
        <f t="shared" si="72"/>
        <v>#VALUE!</v>
      </c>
      <c r="W558">
        <v>4.46</v>
      </c>
      <c r="X558" s="157" t="e">
        <f t="shared" si="73"/>
        <v>#VALUE!</v>
      </c>
      <c r="Y558">
        <v>4.46</v>
      </c>
      <c r="Z558" s="154" t="e">
        <f t="shared" si="74"/>
        <v>#VALUE!</v>
      </c>
      <c r="AA558">
        <v>4.46</v>
      </c>
      <c r="AB558" s="154" t="e">
        <f t="shared" si="75"/>
        <v>#VALUE!</v>
      </c>
      <c r="AC558">
        <v>4.46</v>
      </c>
      <c r="AD558" s="154" t="e">
        <f t="shared" si="76"/>
        <v>#VALUE!</v>
      </c>
      <c r="AE558">
        <v>4.46</v>
      </c>
    </row>
    <row r="559" spans="12:31" ht="15" x14ac:dyDescent="0.2">
      <c r="L559" s="154" t="e">
        <f t="shared" si="67"/>
        <v>#VALUE!</v>
      </c>
      <c r="M559">
        <v>4.47</v>
      </c>
      <c r="N559" s="154" t="e">
        <f t="shared" si="68"/>
        <v>#VALUE!</v>
      </c>
      <c r="O559">
        <v>4.47</v>
      </c>
      <c r="P559" s="154" t="e">
        <f t="shared" si="69"/>
        <v>#VALUE!</v>
      </c>
      <c r="Q559">
        <v>4.47</v>
      </c>
      <c r="R559" s="154" t="e">
        <f t="shared" si="70"/>
        <v>#VALUE!</v>
      </c>
      <c r="S559">
        <v>4.47</v>
      </c>
      <c r="T559" s="154" t="e">
        <f t="shared" si="71"/>
        <v>#VALUE!</v>
      </c>
      <c r="U559">
        <v>4.47</v>
      </c>
      <c r="V559" s="154" t="e">
        <f t="shared" si="72"/>
        <v>#VALUE!</v>
      </c>
      <c r="W559">
        <v>4.47</v>
      </c>
      <c r="X559" s="157" t="e">
        <f t="shared" si="73"/>
        <v>#VALUE!</v>
      </c>
      <c r="Y559">
        <v>4.47</v>
      </c>
      <c r="Z559" s="154" t="e">
        <f t="shared" si="74"/>
        <v>#VALUE!</v>
      </c>
      <c r="AA559">
        <v>4.47</v>
      </c>
      <c r="AB559" s="154" t="e">
        <f t="shared" si="75"/>
        <v>#VALUE!</v>
      </c>
      <c r="AC559">
        <v>4.47</v>
      </c>
      <c r="AD559" s="154" t="e">
        <f t="shared" si="76"/>
        <v>#VALUE!</v>
      </c>
      <c r="AE559">
        <v>4.47</v>
      </c>
    </row>
    <row r="560" spans="12:31" ht="15" x14ac:dyDescent="0.2">
      <c r="L560" s="154" t="e">
        <f t="shared" si="67"/>
        <v>#VALUE!</v>
      </c>
      <c r="M560">
        <v>4.4800000000000004</v>
      </c>
      <c r="N560" s="154" t="e">
        <f t="shared" si="68"/>
        <v>#VALUE!</v>
      </c>
      <c r="O560">
        <v>4.4800000000000004</v>
      </c>
      <c r="P560" s="154" t="e">
        <f t="shared" si="69"/>
        <v>#VALUE!</v>
      </c>
      <c r="Q560">
        <v>4.4800000000000004</v>
      </c>
      <c r="R560" s="154" t="e">
        <f t="shared" si="70"/>
        <v>#VALUE!</v>
      </c>
      <c r="S560">
        <v>4.4800000000000004</v>
      </c>
      <c r="T560" s="154" t="e">
        <f t="shared" si="71"/>
        <v>#VALUE!</v>
      </c>
      <c r="U560">
        <v>4.4800000000000004</v>
      </c>
      <c r="V560" s="154" t="e">
        <f t="shared" si="72"/>
        <v>#VALUE!</v>
      </c>
      <c r="W560">
        <v>4.4800000000000004</v>
      </c>
      <c r="X560" s="157" t="e">
        <f t="shared" si="73"/>
        <v>#VALUE!</v>
      </c>
      <c r="Y560">
        <v>4.4800000000000004</v>
      </c>
      <c r="Z560" s="154" t="e">
        <f t="shared" si="74"/>
        <v>#VALUE!</v>
      </c>
      <c r="AA560">
        <v>4.4800000000000004</v>
      </c>
      <c r="AB560" s="154" t="e">
        <f t="shared" si="75"/>
        <v>#VALUE!</v>
      </c>
      <c r="AC560">
        <v>4.4800000000000004</v>
      </c>
      <c r="AD560" s="154" t="e">
        <f t="shared" si="76"/>
        <v>#VALUE!</v>
      </c>
      <c r="AE560">
        <v>4.4800000000000004</v>
      </c>
    </row>
    <row r="561" spans="12:31" ht="15" x14ac:dyDescent="0.2">
      <c r="L561" s="154" t="e">
        <f t="shared" ref="L561:L624" si="77">((1.486/$D$33)*((((PI()*($D$46/12)^2)/4)-((($D$46/12)/2)^2*((2*ACOS(((($D$46/12)/2)-(($D$46/12)-(M561/12)))/(($D$46/12)/2)))-SIN(2*ACOS(((($D$46/12)/2)-(($D$46/12)-(M561/12)))/(($D$46/12)/2))))/2))/((PI()*($D$46/12))-((2*ACOS(((($D$46/12)/2)-(($D$46/12)-(M561/12)))/(($D$46/12)/2)))*(($D$46/12)/2))))^(2/3)*$H$17^0.5)*(((PI()*($D$46/12)^2)/4)-((($D$46/12)/2)^2*((2*ACOS(((($D$46/12)/2)-(($D$46/12)-(M561/12)))/(($D$46/12)/2)))-SIN(2*ACOS(((($D$46/12)/2)-(($D$46/12)-(M561/12)))/(($D$46/12)/2))))/2))</f>
        <v>#VALUE!</v>
      </c>
      <c r="M561">
        <v>4.49</v>
      </c>
      <c r="N561" s="154" t="e">
        <f t="shared" ref="N561:N624" si="78">((1.486/$D$34)*((((PI()*($D$47/12)^2)/4)-((($D$47/12)/2)^2*((2*ACOS(((($D$47/12)/2)-(($D$47/12)-(O561/12)))/(($D$47/12)/2)))-SIN(2*ACOS(((($D$47/12)/2)-(($D$47/12)-(O561/12)))/(($D$47/12)/2))))/2))/((PI()*($D$47/12))-((2*ACOS(((($D$47/12)/2)-(($D$47/12)-(O561/12)))/(($D$47/12)/2)))*(($D$47/12)/2))))^(2/3)*$H$18^0.5)*(((PI()*($D$47/12)^2)/4)-((($D$47/12)/2)^2*((2*ACOS(((($D$47/12)/2)-(($D$47/12)-(O561/12)))/(($D$47/12)/2)))-SIN(2*ACOS(((($D$47/12)/2)-(($D$47/12)-(O561/12)))/(($D$47/12)/2))))/2))</f>
        <v>#VALUE!</v>
      </c>
      <c r="O561">
        <v>4.49</v>
      </c>
      <c r="P561" s="154" t="e">
        <f t="shared" ref="P561:P624" si="79">((1.486/$D$35)*((((PI()*($D$48/12)^2)/4)-((($D$48/12)/2)^2*((2*ACOS(((($D$48/12)/2)-(($D$48/12)-(Q561/12)))/(($D$48/12)/2)))-SIN(2*ACOS(((($D$48/12)/2)-(($D$48/12)-(Q561/12)))/(($D$48/12)/2))))/2))/((PI()*($D$48/12))-((2*ACOS(((($D$48/12)/2)-(($D$48/12)-(Q561/12)))/(($D$48/12)/2)))*(($D$48/12)/2))))^(2/3)*$H$19^0.5)*(((PI()*($D$48/12)^2)/4)-((($D$48/12)/2)^2*((2*ACOS(((($D$48/12)/2)-(($D$48/12)-(Q561/12)))/(($D$48/12)/2)))-SIN(2*ACOS(((($D$48/12)/2)-(($D$48/12)-(Q561/12)))/(($D$48/12)/2))))/2))</f>
        <v>#VALUE!</v>
      </c>
      <c r="Q561">
        <v>4.49</v>
      </c>
      <c r="R561" s="154" t="e">
        <f t="shared" ref="R561:R624" si="80">((1.486/$D$36)*((((PI()*($D$49/12)^2)/4)-((($D$49/12)/2)^2*((2*ACOS(((($D$49/12)/2)-(($D$49/12)-(S561/12)))/(($D$49/12)/2)))-SIN(2*ACOS(((($D$49/12)/2)-(($D$49/12)-(S561/12)))/(($D$49/12)/2))))/2))/((PI()*($D$49/12))-((2*ACOS(((($D$49/12)/2)-(($D$49/12)-(S561/12)))/(($D$49/12)/2)))*(($D$49/12)/2))))^(2/3)*$H$20^0.5)*(((PI()*($D$49/12)^2)/4)-((($D$49/12)/2)^2*((2*ACOS(((($D$49/12)/2)-(($D$49/12)-(S561/12)))/(($D$49/12)/2)))-SIN(2*ACOS(((($D$49/12)/2)-(($D$49/12)-(S561/12)))/(($D$49/12)/2))))/2))</f>
        <v>#VALUE!</v>
      </c>
      <c r="S561">
        <v>4.49</v>
      </c>
      <c r="T561" s="154" t="e">
        <f t="shared" ref="T561:T624" si="81">((1.486/$D$37)*((((PI()*($D$50/12)^2)/4)-((($D$50/12)/2)^2*((2*ACOS(((($D$50/12)/2)-(($D$50/12)-(U561/12)))/(($D$50/12)/2)))-SIN(2*ACOS(((($D$50/12)/2)-(($D$50/12)-(U561/12)))/(($D$50/12)/2))))/2))/((PI()*($D$50/12))-((2*ACOS(((($D$50/12)/2)-(($D$50/12)-(U561/12)))/(($D$50/12)/2)))*(($D$50/12)/2))))^(2/3)*$H$21^0.5)*(((PI()*($D$50/12)^2)/4)-((($D$50/12)/2)^2*((2*ACOS(((($D$50/12)/2)-(($D$50/12)-(U561/12)))/(($D$50/12)/2)))-SIN(2*ACOS(((($D$50/12)/2)-(($D$50/12)-(U561/12)))/(($D$50/12)/2))))/2))</f>
        <v>#VALUE!</v>
      </c>
      <c r="U561">
        <v>4.49</v>
      </c>
      <c r="V561" s="154" t="e">
        <f t="shared" ref="V561:V624" si="82">((1.486/$D$38)*((((PI()*($D$51/12)^2)/4)-((($D$51/12)/2)^2*((2*ACOS(((($D$51/12)/2)-(($D$51/12)-(W561/12)))/(($D$51/12)/2)))-SIN(2*ACOS(((($D$51/12)/2)-(($D$51/12)-(W561/12)))/(($D$51/12)/2))))/2))/((PI()*($D$51/12))-((2*ACOS(((($D$51/12)/2)-(($D$51/12)-(W561/12)))/(($D$51/12)/2)))*(($D$51/12)/2))))^(2/3)*$H$22^0.5)*(((PI()*($D$51/12)^2)/4)-((($D$51/12)/2)^2*((2*ACOS(((($D$51/12)/2)-(($D$51/12)-(W561/12)))/(($D$51/12)/2)))-SIN(2*ACOS(((($D$51/12)/2)-(($D$51/12)-(W561/12)))/(($D$51/12)/2))))/2))</f>
        <v>#VALUE!</v>
      </c>
      <c r="W561">
        <v>4.49</v>
      </c>
      <c r="X561" s="157" t="e">
        <f t="shared" ref="X561:X624" si="83">((1.486/$D$39)*((((PI()*($D$52/12)^2)/4)-((($D$52/12)/2)^2*((2*ACOS(((($D$52/12)/2)-(($D$52/12)-(Y561/12)))/(($D$52/12)/2)))-SIN(2*ACOS(((($D$52/12)/2)-(($D$52/12)-(Y561/12)))/(($D$52/12)/2))))/2))/((PI()*($D$52/12))-((2*ACOS(((($D$52/12)/2)-(($D$52/12)-(Y561/12)))/(($D$52/12)/2)))*(($D$52/12)/2))))^(2/3)*$H$23^0.5)*(((PI()*($D$52/12)^2)/4)-((($D$52/12)/2)^2*((2*ACOS(((($D$52/12)/2)-(($D$52/12)-(Y561/12)))/(($D$52/12)/2)))-SIN(2*ACOS(((($D$52/12)/2)-(($D$52/12)-(Y561/12)))/(($D$52/12)/2))))/2))</f>
        <v>#VALUE!</v>
      </c>
      <c r="Y561">
        <v>4.49</v>
      </c>
      <c r="Z561" s="154" t="e">
        <f t="shared" ref="Z561:Z624" si="84">((1.486/$D$40)*((((PI()*($D$53/12)^2)/4)-((($D$53/12)/2)^2*((2*ACOS(((($D$53/12)/2)-(($D$53/12)-(AA561/12)))/(($D$53/12)/2)))-SIN(2*ACOS(((($D$53/12)/2)-(($D$53/12)-(AA561/12)))/(($D$53/12)/2))))/2))/((PI()*($D$53/12))-((2*ACOS(((($D$53/12)/2)-(($D$53/12)-(AA561/12)))/(($D$53/12)/2)))*(($D$53/12)/2))))^(2/3)*$H$24^0.5)*(((PI()*($D$53/12)^2)/4)-((($D$53/12)/2)^2*((2*ACOS(((($D$53/12)/2)-(($D$53/12)-(AA561/12)))/(($D$53/12)/2)))-SIN(2*ACOS(((($D$53/12)/2)-(($D$53/12)-(AA561/12)))/(($D$53/12)/2))))/2))</f>
        <v>#VALUE!</v>
      </c>
      <c r="AA561">
        <v>4.49</v>
      </c>
      <c r="AB561" s="154" t="e">
        <f t="shared" ref="AB561:AB624" si="85">((1.486/$D$41)*((((PI()*($D$54/12)^2)/4)-((($D$54/12)/2)^2*((2*ACOS(((($D$54/12)/2)-(($D$54/12)-(AC561/12)))/(($D$54/12)/2)))-SIN(2*ACOS(((($D$54/12)/2)-(($D$54/12)-(AC561/12)))/(($D$54/12)/2))))/2))/((PI()*($D$54/12))-((2*ACOS(((($D$54/12)/2)-(($D$54/12)-(AC561/12)))/(($D$54/12)/2)))*(($D$54/12)/2))))^(2/3)*$H$25^0.5)*(((PI()*($D$54/12)^2)/4)-((($D$54/12)/2)^2*((2*ACOS(((($D$54/12)/2)-(($D$54/12)-(AC561/12)))/(($D$54/12)/2)))-SIN(2*ACOS(((($D$54/12)/2)-(($D$54/12)-(AC561/12)))/(($D$54/12)/2))))/2))</f>
        <v>#VALUE!</v>
      </c>
      <c r="AC561">
        <v>4.49</v>
      </c>
      <c r="AD561" s="154" t="e">
        <f t="shared" ref="AD561:AD624" si="86">((1.486/$D$42)*((((PI()*($D$55/12)^2)/4)-((($D$55/12)/2)^2*((2*ACOS(((($D$55/12)/2)-(($D$55/12)-(AE561/12)))/(($D$55/12)/2)))-SIN(2*ACOS(((($D$55/12)/2)-(($D$55/12)-(AE561/12)))/(($D$55/12)/2))))/2))/((PI()*($D$55/12))-((2*ACOS(((($D$55/12)/2)-(($D$55/12)-(AE561/12)))/(($D$55/12)/2)))*(($D$55/12)/2))))^(2/3)*$H$26^0.5)*(((PI()*($D$55/12)^2)/4)-((($D$55/12)/2)^2*((2*ACOS(((($D$55/12)/2)-(($D$55/12)-(AE561/12)))/(($D$55/12)/2)))-SIN(2*ACOS(((($D$55/12)/2)-(($D$55/12)-(AE561/12)))/(($D$55/12)/2))))/2))</f>
        <v>#VALUE!</v>
      </c>
      <c r="AE561">
        <v>4.49</v>
      </c>
    </row>
    <row r="562" spans="12:31" ht="15" x14ac:dyDescent="0.2">
      <c r="L562" s="154" t="e">
        <f t="shared" si="77"/>
        <v>#VALUE!</v>
      </c>
      <c r="M562">
        <v>4.5</v>
      </c>
      <c r="N562" s="154" t="e">
        <f t="shared" si="78"/>
        <v>#VALUE!</v>
      </c>
      <c r="O562">
        <v>4.5</v>
      </c>
      <c r="P562" s="154" t="e">
        <f t="shared" si="79"/>
        <v>#VALUE!</v>
      </c>
      <c r="Q562">
        <v>4.5</v>
      </c>
      <c r="R562" s="154" t="e">
        <f t="shared" si="80"/>
        <v>#VALUE!</v>
      </c>
      <c r="S562">
        <v>4.5</v>
      </c>
      <c r="T562" s="154" t="e">
        <f t="shared" si="81"/>
        <v>#VALUE!</v>
      </c>
      <c r="U562">
        <v>4.5</v>
      </c>
      <c r="V562" s="154" t="e">
        <f t="shared" si="82"/>
        <v>#VALUE!</v>
      </c>
      <c r="W562">
        <v>4.5</v>
      </c>
      <c r="X562" s="157" t="e">
        <f t="shared" si="83"/>
        <v>#VALUE!</v>
      </c>
      <c r="Y562">
        <v>4.5</v>
      </c>
      <c r="Z562" s="154" t="e">
        <f t="shared" si="84"/>
        <v>#VALUE!</v>
      </c>
      <c r="AA562">
        <v>4.5</v>
      </c>
      <c r="AB562" s="154" t="e">
        <f t="shared" si="85"/>
        <v>#VALUE!</v>
      </c>
      <c r="AC562">
        <v>4.5</v>
      </c>
      <c r="AD562" s="154" t="e">
        <f t="shared" si="86"/>
        <v>#VALUE!</v>
      </c>
      <c r="AE562">
        <v>4.5</v>
      </c>
    </row>
    <row r="563" spans="12:31" ht="15" x14ac:dyDescent="0.2">
      <c r="L563" s="154" t="e">
        <f t="shared" si="77"/>
        <v>#VALUE!</v>
      </c>
      <c r="M563">
        <v>4.51</v>
      </c>
      <c r="N563" s="154" t="e">
        <f t="shared" si="78"/>
        <v>#VALUE!</v>
      </c>
      <c r="O563">
        <v>4.51</v>
      </c>
      <c r="P563" s="154" t="e">
        <f t="shared" si="79"/>
        <v>#VALUE!</v>
      </c>
      <c r="Q563">
        <v>4.51</v>
      </c>
      <c r="R563" s="154" t="e">
        <f t="shared" si="80"/>
        <v>#VALUE!</v>
      </c>
      <c r="S563">
        <v>4.51</v>
      </c>
      <c r="T563" s="154" t="e">
        <f t="shared" si="81"/>
        <v>#VALUE!</v>
      </c>
      <c r="U563">
        <v>4.51</v>
      </c>
      <c r="V563" s="154" t="e">
        <f t="shared" si="82"/>
        <v>#VALUE!</v>
      </c>
      <c r="W563">
        <v>4.51</v>
      </c>
      <c r="X563" s="157" t="e">
        <f t="shared" si="83"/>
        <v>#VALUE!</v>
      </c>
      <c r="Y563">
        <v>4.51</v>
      </c>
      <c r="Z563" s="154" t="e">
        <f t="shared" si="84"/>
        <v>#VALUE!</v>
      </c>
      <c r="AA563">
        <v>4.51</v>
      </c>
      <c r="AB563" s="154" t="e">
        <f t="shared" si="85"/>
        <v>#VALUE!</v>
      </c>
      <c r="AC563">
        <v>4.51</v>
      </c>
      <c r="AD563" s="154" t="e">
        <f t="shared" si="86"/>
        <v>#VALUE!</v>
      </c>
      <c r="AE563">
        <v>4.51</v>
      </c>
    </row>
    <row r="564" spans="12:31" ht="15" x14ac:dyDescent="0.2">
      <c r="L564" s="154" t="e">
        <f t="shared" si="77"/>
        <v>#VALUE!</v>
      </c>
      <c r="M564">
        <v>4.5199999999999996</v>
      </c>
      <c r="N564" s="154" t="e">
        <f t="shared" si="78"/>
        <v>#VALUE!</v>
      </c>
      <c r="O564">
        <v>4.5199999999999996</v>
      </c>
      <c r="P564" s="154" t="e">
        <f t="shared" si="79"/>
        <v>#VALUE!</v>
      </c>
      <c r="Q564">
        <v>4.5199999999999996</v>
      </c>
      <c r="R564" s="154" t="e">
        <f t="shared" si="80"/>
        <v>#VALUE!</v>
      </c>
      <c r="S564">
        <v>4.5199999999999996</v>
      </c>
      <c r="T564" s="154" t="e">
        <f t="shared" si="81"/>
        <v>#VALUE!</v>
      </c>
      <c r="U564">
        <v>4.5199999999999996</v>
      </c>
      <c r="V564" s="154" t="e">
        <f t="shared" si="82"/>
        <v>#VALUE!</v>
      </c>
      <c r="W564">
        <v>4.5199999999999996</v>
      </c>
      <c r="X564" s="157" t="e">
        <f t="shared" si="83"/>
        <v>#VALUE!</v>
      </c>
      <c r="Y564">
        <v>4.5199999999999996</v>
      </c>
      <c r="Z564" s="154" t="e">
        <f t="shared" si="84"/>
        <v>#VALUE!</v>
      </c>
      <c r="AA564">
        <v>4.5199999999999996</v>
      </c>
      <c r="AB564" s="154" t="e">
        <f t="shared" si="85"/>
        <v>#VALUE!</v>
      </c>
      <c r="AC564">
        <v>4.5199999999999996</v>
      </c>
      <c r="AD564" s="154" t="e">
        <f t="shared" si="86"/>
        <v>#VALUE!</v>
      </c>
      <c r="AE564">
        <v>4.5199999999999996</v>
      </c>
    </row>
    <row r="565" spans="12:31" ht="15" x14ac:dyDescent="0.2">
      <c r="L565" s="154" t="e">
        <f t="shared" si="77"/>
        <v>#VALUE!</v>
      </c>
      <c r="M565">
        <v>4.53</v>
      </c>
      <c r="N565" s="154" t="e">
        <f t="shared" si="78"/>
        <v>#VALUE!</v>
      </c>
      <c r="O565">
        <v>4.53</v>
      </c>
      <c r="P565" s="154" t="e">
        <f t="shared" si="79"/>
        <v>#VALUE!</v>
      </c>
      <c r="Q565">
        <v>4.53</v>
      </c>
      <c r="R565" s="154" t="e">
        <f t="shared" si="80"/>
        <v>#VALUE!</v>
      </c>
      <c r="S565">
        <v>4.53</v>
      </c>
      <c r="T565" s="154" t="e">
        <f t="shared" si="81"/>
        <v>#VALUE!</v>
      </c>
      <c r="U565">
        <v>4.53</v>
      </c>
      <c r="V565" s="154" t="e">
        <f t="shared" si="82"/>
        <v>#VALUE!</v>
      </c>
      <c r="W565">
        <v>4.53</v>
      </c>
      <c r="X565" s="157" t="e">
        <f t="shared" si="83"/>
        <v>#VALUE!</v>
      </c>
      <c r="Y565">
        <v>4.53</v>
      </c>
      <c r="Z565" s="154" t="e">
        <f t="shared" si="84"/>
        <v>#VALUE!</v>
      </c>
      <c r="AA565">
        <v>4.53</v>
      </c>
      <c r="AB565" s="154" t="e">
        <f t="shared" si="85"/>
        <v>#VALUE!</v>
      </c>
      <c r="AC565">
        <v>4.53</v>
      </c>
      <c r="AD565" s="154" t="e">
        <f t="shared" si="86"/>
        <v>#VALUE!</v>
      </c>
      <c r="AE565">
        <v>4.53</v>
      </c>
    </row>
    <row r="566" spans="12:31" ht="15" x14ac:dyDescent="0.2">
      <c r="L566" s="154" t="e">
        <f t="shared" si="77"/>
        <v>#VALUE!</v>
      </c>
      <c r="M566">
        <v>4.54</v>
      </c>
      <c r="N566" s="154" t="e">
        <f t="shared" si="78"/>
        <v>#VALUE!</v>
      </c>
      <c r="O566">
        <v>4.54</v>
      </c>
      <c r="P566" s="154" t="e">
        <f t="shared" si="79"/>
        <v>#VALUE!</v>
      </c>
      <c r="Q566">
        <v>4.54</v>
      </c>
      <c r="R566" s="154" t="e">
        <f t="shared" si="80"/>
        <v>#VALUE!</v>
      </c>
      <c r="S566">
        <v>4.54</v>
      </c>
      <c r="T566" s="154" t="e">
        <f t="shared" si="81"/>
        <v>#VALUE!</v>
      </c>
      <c r="U566">
        <v>4.54</v>
      </c>
      <c r="V566" s="154" t="e">
        <f t="shared" si="82"/>
        <v>#VALUE!</v>
      </c>
      <c r="W566">
        <v>4.54</v>
      </c>
      <c r="X566" s="157" t="e">
        <f t="shared" si="83"/>
        <v>#VALUE!</v>
      </c>
      <c r="Y566">
        <v>4.54</v>
      </c>
      <c r="Z566" s="154" t="e">
        <f t="shared" si="84"/>
        <v>#VALUE!</v>
      </c>
      <c r="AA566">
        <v>4.54</v>
      </c>
      <c r="AB566" s="154" t="e">
        <f t="shared" si="85"/>
        <v>#VALUE!</v>
      </c>
      <c r="AC566">
        <v>4.54</v>
      </c>
      <c r="AD566" s="154" t="e">
        <f t="shared" si="86"/>
        <v>#VALUE!</v>
      </c>
      <c r="AE566">
        <v>4.54</v>
      </c>
    </row>
    <row r="567" spans="12:31" ht="15" x14ac:dyDescent="0.2">
      <c r="L567" s="154" t="e">
        <f t="shared" si="77"/>
        <v>#VALUE!</v>
      </c>
      <c r="M567">
        <v>4.55</v>
      </c>
      <c r="N567" s="154" t="e">
        <f t="shared" si="78"/>
        <v>#VALUE!</v>
      </c>
      <c r="O567">
        <v>4.55</v>
      </c>
      <c r="P567" s="154" t="e">
        <f t="shared" si="79"/>
        <v>#VALUE!</v>
      </c>
      <c r="Q567">
        <v>4.55</v>
      </c>
      <c r="R567" s="154" t="e">
        <f t="shared" si="80"/>
        <v>#VALUE!</v>
      </c>
      <c r="S567">
        <v>4.55</v>
      </c>
      <c r="T567" s="154" t="e">
        <f t="shared" si="81"/>
        <v>#VALUE!</v>
      </c>
      <c r="U567">
        <v>4.55</v>
      </c>
      <c r="V567" s="154" t="e">
        <f t="shared" si="82"/>
        <v>#VALUE!</v>
      </c>
      <c r="W567">
        <v>4.55</v>
      </c>
      <c r="X567" s="157" t="e">
        <f t="shared" si="83"/>
        <v>#VALUE!</v>
      </c>
      <c r="Y567">
        <v>4.55</v>
      </c>
      <c r="Z567" s="154" t="e">
        <f t="shared" si="84"/>
        <v>#VALUE!</v>
      </c>
      <c r="AA567">
        <v>4.55</v>
      </c>
      <c r="AB567" s="154" t="e">
        <f t="shared" si="85"/>
        <v>#VALUE!</v>
      </c>
      <c r="AC567">
        <v>4.55</v>
      </c>
      <c r="AD567" s="154" t="e">
        <f t="shared" si="86"/>
        <v>#VALUE!</v>
      </c>
      <c r="AE567">
        <v>4.55</v>
      </c>
    </row>
    <row r="568" spans="12:31" ht="15" x14ac:dyDescent="0.2">
      <c r="L568" s="154" t="e">
        <f t="shared" si="77"/>
        <v>#VALUE!</v>
      </c>
      <c r="M568">
        <v>4.5599999999999996</v>
      </c>
      <c r="N568" s="154" t="e">
        <f t="shared" si="78"/>
        <v>#VALUE!</v>
      </c>
      <c r="O568">
        <v>4.5599999999999996</v>
      </c>
      <c r="P568" s="154" t="e">
        <f t="shared" si="79"/>
        <v>#VALUE!</v>
      </c>
      <c r="Q568">
        <v>4.5599999999999996</v>
      </c>
      <c r="R568" s="154" t="e">
        <f t="shared" si="80"/>
        <v>#VALUE!</v>
      </c>
      <c r="S568">
        <v>4.5599999999999996</v>
      </c>
      <c r="T568" s="154" t="e">
        <f t="shared" si="81"/>
        <v>#VALUE!</v>
      </c>
      <c r="U568">
        <v>4.5599999999999996</v>
      </c>
      <c r="V568" s="154" t="e">
        <f t="shared" si="82"/>
        <v>#VALUE!</v>
      </c>
      <c r="W568">
        <v>4.5599999999999996</v>
      </c>
      <c r="X568" s="157" t="e">
        <f t="shared" si="83"/>
        <v>#VALUE!</v>
      </c>
      <c r="Y568">
        <v>4.5599999999999996</v>
      </c>
      <c r="Z568" s="154" t="e">
        <f t="shared" si="84"/>
        <v>#VALUE!</v>
      </c>
      <c r="AA568">
        <v>4.5599999999999996</v>
      </c>
      <c r="AB568" s="154" t="e">
        <f t="shared" si="85"/>
        <v>#VALUE!</v>
      </c>
      <c r="AC568">
        <v>4.5599999999999996</v>
      </c>
      <c r="AD568" s="154" t="e">
        <f t="shared" si="86"/>
        <v>#VALUE!</v>
      </c>
      <c r="AE568">
        <v>4.5599999999999996</v>
      </c>
    </row>
    <row r="569" spans="12:31" ht="15" x14ac:dyDescent="0.2">
      <c r="L569" s="154" t="e">
        <f t="shared" si="77"/>
        <v>#VALUE!</v>
      </c>
      <c r="M569">
        <v>4.57</v>
      </c>
      <c r="N569" s="154" t="e">
        <f t="shared" si="78"/>
        <v>#VALUE!</v>
      </c>
      <c r="O569">
        <v>4.57</v>
      </c>
      <c r="P569" s="154" t="e">
        <f t="shared" si="79"/>
        <v>#VALUE!</v>
      </c>
      <c r="Q569">
        <v>4.57</v>
      </c>
      <c r="R569" s="154" t="e">
        <f t="shared" si="80"/>
        <v>#VALUE!</v>
      </c>
      <c r="S569">
        <v>4.57</v>
      </c>
      <c r="T569" s="154" t="e">
        <f t="shared" si="81"/>
        <v>#VALUE!</v>
      </c>
      <c r="U569">
        <v>4.57</v>
      </c>
      <c r="V569" s="154" t="e">
        <f t="shared" si="82"/>
        <v>#VALUE!</v>
      </c>
      <c r="W569">
        <v>4.57</v>
      </c>
      <c r="X569" s="157" t="e">
        <f t="shared" si="83"/>
        <v>#VALUE!</v>
      </c>
      <c r="Y569">
        <v>4.57</v>
      </c>
      <c r="Z569" s="154" t="e">
        <f t="shared" si="84"/>
        <v>#VALUE!</v>
      </c>
      <c r="AA569">
        <v>4.57</v>
      </c>
      <c r="AB569" s="154" t="e">
        <f t="shared" si="85"/>
        <v>#VALUE!</v>
      </c>
      <c r="AC569">
        <v>4.57</v>
      </c>
      <c r="AD569" s="154" t="e">
        <f t="shared" si="86"/>
        <v>#VALUE!</v>
      </c>
      <c r="AE569">
        <v>4.57</v>
      </c>
    </row>
    <row r="570" spans="12:31" ht="15" x14ac:dyDescent="0.2">
      <c r="L570" s="154" t="e">
        <f t="shared" si="77"/>
        <v>#VALUE!</v>
      </c>
      <c r="M570">
        <v>4.58</v>
      </c>
      <c r="N570" s="154" t="e">
        <f t="shared" si="78"/>
        <v>#VALUE!</v>
      </c>
      <c r="O570">
        <v>4.58</v>
      </c>
      <c r="P570" s="154" t="e">
        <f t="shared" si="79"/>
        <v>#VALUE!</v>
      </c>
      <c r="Q570">
        <v>4.58</v>
      </c>
      <c r="R570" s="154" t="e">
        <f t="shared" si="80"/>
        <v>#VALUE!</v>
      </c>
      <c r="S570">
        <v>4.58</v>
      </c>
      <c r="T570" s="154" t="e">
        <f t="shared" si="81"/>
        <v>#VALUE!</v>
      </c>
      <c r="U570">
        <v>4.58</v>
      </c>
      <c r="V570" s="154" t="e">
        <f t="shared" si="82"/>
        <v>#VALUE!</v>
      </c>
      <c r="W570">
        <v>4.58</v>
      </c>
      <c r="X570" s="157" t="e">
        <f t="shared" si="83"/>
        <v>#VALUE!</v>
      </c>
      <c r="Y570">
        <v>4.58</v>
      </c>
      <c r="Z570" s="154" t="e">
        <f t="shared" si="84"/>
        <v>#VALUE!</v>
      </c>
      <c r="AA570">
        <v>4.58</v>
      </c>
      <c r="AB570" s="154" t="e">
        <f t="shared" si="85"/>
        <v>#VALUE!</v>
      </c>
      <c r="AC570">
        <v>4.58</v>
      </c>
      <c r="AD570" s="154" t="e">
        <f t="shared" si="86"/>
        <v>#VALUE!</v>
      </c>
      <c r="AE570">
        <v>4.58</v>
      </c>
    </row>
    <row r="571" spans="12:31" ht="15" x14ac:dyDescent="0.2">
      <c r="L571" s="154" t="e">
        <f t="shared" si="77"/>
        <v>#VALUE!</v>
      </c>
      <c r="M571">
        <v>4.59</v>
      </c>
      <c r="N571" s="154" t="e">
        <f t="shared" si="78"/>
        <v>#VALUE!</v>
      </c>
      <c r="O571">
        <v>4.59</v>
      </c>
      <c r="P571" s="154" t="e">
        <f t="shared" si="79"/>
        <v>#VALUE!</v>
      </c>
      <c r="Q571">
        <v>4.59</v>
      </c>
      <c r="R571" s="154" t="e">
        <f t="shared" si="80"/>
        <v>#VALUE!</v>
      </c>
      <c r="S571">
        <v>4.59</v>
      </c>
      <c r="T571" s="154" t="e">
        <f t="shared" si="81"/>
        <v>#VALUE!</v>
      </c>
      <c r="U571">
        <v>4.59</v>
      </c>
      <c r="V571" s="154" t="e">
        <f t="shared" si="82"/>
        <v>#VALUE!</v>
      </c>
      <c r="W571">
        <v>4.59</v>
      </c>
      <c r="X571" s="157" t="e">
        <f t="shared" si="83"/>
        <v>#VALUE!</v>
      </c>
      <c r="Y571">
        <v>4.59</v>
      </c>
      <c r="Z571" s="154" t="e">
        <f t="shared" si="84"/>
        <v>#VALUE!</v>
      </c>
      <c r="AA571">
        <v>4.59</v>
      </c>
      <c r="AB571" s="154" t="e">
        <f t="shared" si="85"/>
        <v>#VALUE!</v>
      </c>
      <c r="AC571">
        <v>4.59</v>
      </c>
      <c r="AD571" s="154" t="e">
        <f t="shared" si="86"/>
        <v>#VALUE!</v>
      </c>
      <c r="AE571">
        <v>4.59</v>
      </c>
    </row>
    <row r="572" spans="12:31" ht="15" x14ac:dyDescent="0.2">
      <c r="L572" s="154" t="e">
        <f t="shared" si="77"/>
        <v>#VALUE!</v>
      </c>
      <c r="M572">
        <v>4.5999999999999996</v>
      </c>
      <c r="N572" s="154" t="e">
        <f t="shared" si="78"/>
        <v>#VALUE!</v>
      </c>
      <c r="O572">
        <v>4.5999999999999996</v>
      </c>
      <c r="P572" s="154" t="e">
        <f t="shared" si="79"/>
        <v>#VALUE!</v>
      </c>
      <c r="Q572">
        <v>4.5999999999999996</v>
      </c>
      <c r="R572" s="154" t="e">
        <f t="shared" si="80"/>
        <v>#VALUE!</v>
      </c>
      <c r="S572">
        <v>4.5999999999999996</v>
      </c>
      <c r="T572" s="154" t="e">
        <f t="shared" si="81"/>
        <v>#VALUE!</v>
      </c>
      <c r="U572">
        <v>4.5999999999999996</v>
      </c>
      <c r="V572" s="154" t="e">
        <f t="shared" si="82"/>
        <v>#VALUE!</v>
      </c>
      <c r="W572">
        <v>4.5999999999999996</v>
      </c>
      <c r="X572" s="157" t="e">
        <f t="shared" si="83"/>
        <v>#VALUE!</v>
      </c>
      <c r="Y572">
        <v>4.5999999999999996</v>
      </c>
      <c r="Z572" s="154" t="e">
        <f t="shared" si="84"/>
        <v>#VALUE!</v>
      </c>
      <c r="AA572">
        <v>4.5999999999999996</v>
      </c>
      <c r="AB572" s="154" t="e">
        <f t="shared" si="85"/>
        <v>#VALUE!</v>
      </c>
      <c r="AC572">
        <v>4.5999999999999996</v>
      </c>
      <c r="AD572" s="154" t="e">
        <f t="shared" si="86"/>
        <v>#VALUE!</v>
      </c>
      <c r="AE572">
        <v>4.5999999999999996</v>
      </c>
    </row>
    <row r="573" spans="12:31" ht="15" x14ac:dyDescent="0.2">
      <c r="L573" s="154" t="e">
        <f t="shared" si="77"/>
        <v>#VALUE!</v>
      </c>
      <c r="M573">
        <v>4.6100000000000003</v>
      </c>
      <c r="N573" s="154" t="e">
        <f t="shared" si="78"/>
        <v>#VALUE!</v>
      </c>
      <c r="O573">
        <v>4.6100000000000003</v>
      </c>
      <c r="P573" s="154" t="e">
        <f t="shared" si="79"/>
        <v>#VALUE!</v>
      </c>
      <c r="Q573">
        <v>4.6100000000000003</v>
      </c>
      <c r="R573" s="154" t="e">
        <f t="shared" si="80"/>
        <v>#VALUE!</v>
      </c>
      <c r="S573">
        <v>4.6100000000000003</v>
      </c>
      <c r="T573" s="154" t="e">
        <f t="shared" si="81"/>
        <v>#VALUE!</v>
      </c>
      <c r="U573">
        <v>4.6100000000000003</v>
      </c>
      <c r="V573" s="154" t="e">
        <f t="shared" si="82"/>
        <v>#VALUE!</v>
      </c>
      <c r="W573">
        <v>4.6100000000000003</v>
      </c>
      <c r="X573" s="157" t="e">
        <f t="shared" si="83"/>
        <v>#VALUE!</v>
      </c>
      <c r="Y573">
        <v>4.6100000000000003</v>
      </c>
      <c r="Z573" s="154" t="e">
        <f t="shared" si="84"/>
        <v>#VALUE!</v>
      </c>
      <c r="AA573">
        <v>4.6100000000000003</v>
      </c>
      <c r="AB573" s="154" t="e">
        <f t="shared" si="85"/>
        <v>#VALUE!</v>
      </c>
      <c r="AC573">
        <v>4.6100000000000003</v>
      </c>
      <c r="AD573" s="154" t="e">
        <f t="shared" si="86"/>
        <v>#VALUE!</v>
      </c>
      <c r="AE573">
        <v>4.6100000000000003</v>
      </c>
    </row>
    <row r="574" spans="12:31" ht="15" x14ac:dyDescent="0.2">
      <c r="L574" s="154" t="e">
        <f t="shared" si="77"/>
        <v>#VALUE!</v>
      </c>
      <c r="M574">
        <v>4.62</v>
      </c>
      <c r="N574" s="154" t="e">
        <f t="shared" si="78"/>
        <v>#VALUE!</v>
      </c>
      <c r="O574">
        <v>4.62</v>
      </c>
      <c r="P574" s="154" t="e">
        <f t="shared" si="79"/>
        <v>#VALUE!</v>
      </c>
      <c r="Q574">
        <v>4.62</v>
      </c>
      <c r="R574" s="154" t="e">
        <f t="shared" si="80"/>
        <v>#VALUE!</v>
      </c>
      <c r="S574">
        <v>4.62</v>
      </c>
      <c r="T574" s="154" t="e">
        <f t="shared" si="81"/>
        <v>#VALUE!</v>
      </c>
      <c r="U574">
        <v>4.62</v>
      </c>
      <c r="V574" s="154" t="e">
        <f t="shared" si="82"/>
        <v>#VALUE!</v>
      </c>
      <c r="W574">
        <v>4.62</v>
      </c>
      <c r="X574" s="157" t="e">
        <f t="shared" si="83"/>
        <v>#VALUE!</v>
      </c>
      <c r="Y574">
        <v>4.62</v>
      </c>
      <c r="Z574" s="154" t="e">
        <f t="shared" si="84"/>
        <v>#VALUE!</v>
      </c>
      <c r="AA574">
        <v>4.62</v>
      </c>
      <c r="AB574" s="154" t="e">
        <f t="shared" si="85"/>
        <v>#VALUE!</v>
      </c>
      <c r="AC574">
        <v>4.62</v>
      </c>
      <c r="AD574" s="154" t="e">
        <f t="shared" si="86"/>
        <v>#VALUE!</v>
      </c>
      <c r="AE574">
        <v>4.62</v>
      </c>
    </row>
    <row r="575" spans="12:31" ht="15" x14ac:dyDescent="0.2">
      <c r="L575" s="154" t="e">
        <f t="shared" si="77"/>
        <v>#VALUE!</v>
      </c>
      <c r="M575">
        <v>4.63</v>
      </c>
      <c r="N575" s="154" t="e">
        <f t="shared" si="78"/>
        <v>#VALUE!</v>
      </c>
      <c r="O575">
        <v>4.63</v>
      </c>
      <c r="P575" s="154" t="e">
        <f t="shared" si="79"/>
        <v>#VALUE!</v>
      </c>
      <c r="Q575">
        <v>4.63</v>
      </c>
      <c r="R575" s="154" t="e">
        <f t="shared" si="80"/>
        <v>#VALUE!</v>
      </c>
      <c r="S575">
        <v>4.63</v>
      </c>
      <c r="T575" s="154" t="e">
        <f t="shared" si="81"/>
        <v>#VALUE!</v>
      </c>
      <c r="U575">
        <v>4.63</v>
      </c>
      <c r="V575" s="154" t="e">
        <f t="shared" si="82"/>
        <v>#VALUE!</v>
      </c>
      <c r="W575">
        <v>4.63</v>
      </c>
      <c r="X575" s="157" t="e">
        <f t="shared" si="83"/>
        <v>#VALUE!</v>
      </c>
      <c r="Y575">
        <v>4.63</v>
      </c>
      <c r="Z575" s="154" t="e">
        <f t="shared" si="84"/>
        <v>#VALUE!</v>
      </c>
      <c r="AA575">
        <v>4.63</v>
      </c>
      <c r="AB575" s="154" t="e">
        <f t="shared" si="85"/>
        <v>#VALUE!</v>
      </c>
      <c r="AC575">
        <v>4.63</v>
      </c>
      <c r="AD575" s="154" t="e">
        <f t="shared" si="86"/>
        <v>#VALUE!</v>
      </c>
      <c r="AE575">
        <v>4.63</v>
      </c>
    </row>
    <row r="576" spans="12:31" ht="15" x14ac:dyDescent="0.2">
      <c r="L576" s="154" t="e">
        <f t="shared" si="77"/>
        <v>#VALUE!</v>
      </c>
      <c r="M576">
        <v>4.6399999999999997</v>
      </c>
      <c r="N576" s="154" t="e">
        <f t="shared" si="78"/>
        <v>#VALUE!</v>
      </c>
      <c r="O576">
        <v>4.6399999999999997</v>
      </c>
      <c r="P576" s="154" t="e">
        <f t="shared" si="79"/>
        <v>#VALUE!</v>
      </c>
      <c r="Q576">
        <v>4.6399999999999997</v>
      </c>
      <c r="R576" s="154" t="e">
        <f t="shared" si="80"/>
        <v>#VALUE!</v>
      </c>
      <c r="S576">
        <v>4.6399999999999997</v>
      </c>
      <c r="T576" s="154" t="e">
        <f t="shared" si="81"/>
        <v>#VALUE!</v>
      </c>
      <c r="U576">
        <v>4.6399999999999997</v>
      </c>
      <c r="V576" s="154" t="e">
        <f t="shared" si="82"/>
        <v>#VALUE!</v>
      </c>
      <c r="W576">
        <v>4.6399999999999997</v>
      </c>
      <c r="X576" s="157" t="e">
        <f t="shared" si="83"/>
        <v>#VALUE!</v>
      </c>
      <c r="Y576">
        <v>4.6399999999999997</v>
      </c>
      <c r="Z576" s="154" t="e">
        <f t="shared" si="84"/>
        <v>#VALUE!</v>
      </c>
      <c r="AA576">
        <v>4.6399999999999997</v>
      </c>
      <c r="AB576" s="154" t="e">
        <f t="shared" si="85"/>
        <v>#VALUE!</v>
      </c>
      <c r="AC576">
        <v>4.6399999999999997</v>
      </c>
      <c r="AD576" s="154" t="e">
        <f t="shared" si="86"/>
        <v>#VALUE!</v>
      </c>
      <c r="AE576">
        <v>4.6399999999999997</v>
      </c>
    </row>
    <row r="577" spans="12:31" ht="15" x14ac:dyDescent="0.2">
      <c r="L577" s="154" t="e">
        <f t="shared" si="77"/>
        <v>#VALUE!</v>
      </c>
      <c r="M577">
        <v>4.6500000000000004</v>
      </c>
      <c r="N577" s="154" t="e">
        <f t="shared" si="78"/>
        <v>#VALUE!</v>
      </c>
      <c r="O577">
        <v>4.6500000000000004</v>
      </c>
      <c r="P577" s="154" t="e">
        <f t="shared" si="79"/>
        <v>#VALUE!</v>
      </c>
      <c r="Q577">
        <v>4.6500000000000004</v>
      </c>
      <c r="R577" s="154" t="e">
        <f t="shared" si="80"/>
        <v>#VALUE!</v>
      </c>
      <c r="S577">
        <v>4.6500000000000004</v>
      </c>
      <c r="T577" s="154" t="e">
        <f t="shared" si="81"/>
        <v>#VALUE!</v>
      </c>
      <c r="U577">
        <v>4.6500000000000004</v>
      </c>
      <c r="V577" s="154" t="e">
        <f t="shared" si="82"/>
        <v>#VALUE!</v>
      </c>
      <c r="W577">
        <v>4.6500000000000004</v>
      </c>
      <c r="X577" s="157" t="e">
        <f t="shared" si="83"/>
        <v>#VALUE!</v>
      </c>
      <c r="Y577">
        <v>4.6500000000000004</v>
      </c>
      <c r="Z577" s="154" t="e">
        <f t="shared" si="84"/>
        <v>#VALUE!</v>
      </c>
      <c r="AA577">
        <v>4.6500000000000004</v>
      </c>
      <c r="AB577" s="154" t="e">
        <f t="shared" si="85"/>
        <v>#VALUE!</v>
      </c>
      <c r="AC577">
        <v>4.6500000000000004</v>
      </c>
      <c r="AD577" s="154" t="e">
        <f t="shared" si="86"/>
        <v>#VALUE!</v>
      </c>
      <c r="AE577">
        <v>4.6500000000000004</v>
      </c>
    </row>
    <row r="578" spans="12:31" ht="15" x14ac:dyDescent="0.2">
      <c r="L578" s="154" t="e">
        <f t="shared" si="77"/>
        <v>#VALUE!</v>
      </c>
      <c r="M578">
        <v>4.66</v>
      </c>
      <c r="N578" s="154" t="e">
        <f t="shared" si="78"/>
        <v>#VALUE!</v>
      </c>
      <c r="O578">
        <v>4.66</v>
      </c>
      <c r="P578" s="154" t="e">
        <f t="shared" si="79"/>
        <v>#VALUE!</v>
      </c>
      <c r="Q578">
        <v>4.66</v>
      </c>
      <c r="R578" s="154" t="e">
        <f t="shared" si="80"/>
        <v>#VALUE!</v>
      </c>
      <c r="S578">
        <v>4.66</v>
      </c>
      <c r="T578" s="154" t="e">
        <f t="shared" si="81"/>
        <v>#VALUE!</v>
      </c>
      <c r="U578">
        <v>4.66</v>
      </c>
      <c r="V578" s="154" t="e">
        <f t="shared" si="82"/>
        <v>#VALUE!</v>
      </c>
      <c r="W578">
        <v>4.66</v>
      </c>
      <c r="X578" s="157" t="e">
        <f t="shared" si="83"/>
        <v>#VALUE!</v>
      </c>
      <c r="Y578">
        <v>4.66</v>
      </c>
      <c r="Z578" s="154" t="e">
        <f t="shared" si="84"/>
        <v>#VALUE!</v>
      </c>
      <c r="AA578">
        <v>4.66</v>
      </c>
      <c r="AB578" s="154" t="e">
        <f t="shared" si="85"/>
        <v>#VALUE!</v>
      </c>
      <c r="AC578">
        <v>4.66</v>
      </c>
      <c r="AD578" s="154" t="e">
        <f t="shared" si="86"/>
        <v>#VALUE!</v>
      </c>
      <c r="AE578">
        <v>4.66</v>
      </c>
    </row>
    <row r="579" spans="12:31" ht="15" x14ac:dyDescent="0.2">
      <c r="L579" s="154" t="e">
        <f t="shared" si="77"/>
        <v>#VALUE!</v>
      </c>
      <c r="M579">
        <v>4.67</v>
      </c>
      <c r="N579" s="154" t="e">
        <f t="shared" si="78"/>
        <v>#VALUE!</v>
      </c>
      <c r="O579">
        <v>4.67</v>
      </c>
      <c r="P579" s="154" t="e">
        <f t="shared" si="79"/>
        <v>#VALUE!</v>
      </c>
      <c r="Q579">
        <v>4.67</v>
      </c>
      <c r="R579" s="154" t="e">
        <f t="shared" si="80"/>
        <v>#VALUE!</v>
      </c>
      <c r="S579">
        <v>4.67</v>
      </c>
      <c r="T579" s="154" t="e">
        <f t="shared" si="81"/>
        <v>#VALUE!</v>
      </c>
      <c r="U579">
        <v>4.67</v>
      </c>
      <c r="V579" s="154" t="e">
        <f t="shared" si="82"/>
        <v>#VALUE!</v>
      </c>
      <c r="W579">
        <v>4.67</v>
      </c>
      <c r="X579" s="157" t="e">
        <f t="shared" si="83"/>
        <v>#VALUE!</v>
      </c>
      <c r="Y579">
        <v>4.67</v>
      </c>
      <c r="Z579" s="154" t="e">
        <f t="shared" si="84"/>
        <v>#VALUE!</v>
      </c>
      <c r="AA579">
        <v>4.67</v>
      </c>
      <c r="AB579" s="154" t="e">
        <f t="shared" si="85"/>
        <v>#VALUE!</v>
      </c>
      <c r="AC579">
        <v>4.67</v>
      </c>
      <c r="AD579" s="154" t="e">
        <f t="shared" si="86"/>
        <v>#VALUE!</v>
      </c>
      <c r="AE579">
        <v>4.67</v>
      </c>
    </row>
    <row r="580" spans="12:31" ht="15" x14ac:dyDescent="0.2">
      <c r="L580" s="154" t="e">
        <f t="shared" si="77"/>
        <v>#VALUE!</v>
      </c>
      <c r="M580">
        <v>4.68</v>
      </c>
      <c r="N580" s="154" t="e">
        <f t="shared" si="78"/>
        <v>#VALUE!</v>
      </c>
      <c r="O580">
        <v>4.68</v>
      </c>
      <c r="P580" s="154" t="e">
        <f t="shared" si="79"/>
        <v>#VALUE!</v>
      </c>
      <c r="Q580">
        <v>4.68</v>
      </c>
      <c r="R580" s="154" t="e">
        <f t="shared" si="80"/>
        <v>#VALUE!</v>
      </c>
      <c r="S580">
        <v>4.68</v>
      </c>
      <c r="T580" s="154" t="e">
        <f t="shared" si="81"/>
        <v>#VALUE!</v>
      </c>
      <c r="U580">
        <v>4.68</v>
      </c>
      <c r="V580" s="154" t="e">
        <f t="shared" si="82"/>
        <v>#VALUE!</v>
      </c>
      <c r="W580">
        <v>4.68</v>
      </c>
      <c r="X580" s="157" t="e">
        <f t="shared" si="83"/>
        <v>#VALUE!</v>
      </c>
      <c r="Y580">
        <v>4.68</v>
      </c>
      <c r="Z580" s="154" t="e">
        <f t="shared" si="84"/>
        <v>#VALUE!</v>
      </c>
      <c r="AA580">
        <v>4.68</v>
      </c>
      <c r="AB580" s="154" t="e">
        <f t="shared" si="85"/>
        <v>#VALUE!</v>
      </c>
      <c r="AC580">
        <v>4.68</v>
      </c>
      <c r="AD580" s="154" t="e">
        <f t="shared" si="86"/>
        <v>#VALUE!</v>
      </c>
      <c r="AE580">
        <v>4.68</v>
      </c>
    </row>
    <row r="581" spans="12:31" ht="15" x14ac:dyDescent="0.2">
      <c r="L581" s="154" t="e">
        <f t="shared" si="77"/>
        <v>#VALUE!</v>
      </c>
      <c r="M581">
        <v>4.6900000000000004</v>
      </c>
      <c r="N581" s="154" t="e">
        <f t="shared" si="78"/>
        <v>#VALUE!</v>
      </c>
      <c r="O581">
        <v>4.6900000000000004</v>
      </c>
      <c r="P581" s="154" t="e">
        <f t="shared" si="79"/>
        <v>#VALUE!</v>
      </c>
      <c r="Q581">
        <v>4.6900000000000004</v>
      </c>
      <c r="R581" s="154" t="e">
        <f t="shared" si="80"/>
        <v>#VALUE!</v>
      </c>
      <c r="S581">
        <v>4.6900000000000004</v>
      </c>
      <c r="T581" s="154" t="e">
        <f t="shared" si="81"/>
        <v>#VALUE!</v>
      </c>
      <c r="U581">
        <v>4.6900000000000004</v>
      </c>
      <c r="V581" s="154" t="e">
        <f t="shared" si="82"/>
        <v>#VALUE!</v>
      </c>
      <c r="W581">
        <v>4.6900000000000004</v>
      </c>
      <c r="X581" s="157" t="e">
        <f t="shared" si="83"/>
        <v>#VALUE!</v>
      </c>
      <c r="Y581">
        <v>4.6900000000000004</v>
      </c>
      <c r="Z581" s="154" t="e">
        <f t="shared" si="84"/>
        <v>#VALUE!</v>
      </c>
      <c r="AA581">
        <v>4.6900000000000004</v>
      </c>
      <c r="AB581" s="154" t="e">
        <f t="shared" si="85"/>
        <v>#VALUE!</v>
      </c>
      <c r="AC581">
        <v>4.6900000000000004</v>
      </c>
      <c r="AD581" s="154" t="e">
        <f t="shared" si="86"/>
        <v>#VALUE!</v>
      </c>
      <c r="AE581">
        <v>4.6900000000000004</v>
      </c>
    </row>
    <row r="582" spans="12:31" ht="15" x14ac:dyDescent="0.2">
      <c r="L582" s="154" t="e">
        <f t="shared" si="77"/>
        <v>#VALUE!</v>
      </c>
      <c r="M582">
        <v>4.7</v>
      </c>
      <c r="N582" s="154" t="e">
        <f t="shared" si="78"/>
        <v>#VALUE!</v>
      </c>
      <c r="O582">
        <v>4.7</v>
      </c>
      <c r="P582" s="154" t="e">
        <f t="shared" si="79"/>
        <v>#VALUE!</v>
      </c>
      <c r="Q582">
        <v>4.7</v>
      </c>
      <c r="R582" s="154" t="e">
        <f t="shared" si="80"/>
        <v>#VALUE!</v>
      </c>
      <c r="S582">
        <v>4.7</v>
      </c>
      <c r="T582" s="154" t="e">
        <f t="shared" si="81"/>
        <v>#VALUE!</v>
      </c>
      <c r="U582">
        <v>4.7</v>
      </c>
      <c r="V582" s="154" t="e">
        <f t="shared" si="82"/>
        <v>#VALUE!</v>
      </c>
      <c r="W582">
        <v>4.7</v>
      </c>
      <c r="X582" s="157" t="e">
        <f t="shared" si="83"/>
        <v>#VALUE!</v>
      </c>
      <c r="Y582">
        <v>4.7</v>
      </c>
      <c r="Z582" s="154" t="e">
        <f t="shared" si="84"/>
        <v>#VALUE!</v>
      </c>
      <c r="AA582">
        <v>4.7</v>
      </c>
      <c r="AB582" s="154" t="e">
        <f t="shared" si="85"/>
        <v>#VALUE!</v>
      </c>
      <c r="AC582">
        <v>4.7</v>
      </c>
      <c r="AD582" s="154" t="e">
        <f t="shared" si="86"/>
        <v>#VALUE!</v>
      </c>
      <c r="AE582">
        <v>4.7</v>
      </c>
    </row>
    <row r="583" spans="12:31" ht="15" x14ac:dyDescent="0.2">
      <c r="L583" s="154" t="e">
        <f t="shared" si="77"/>
        <v>#VALUE!</v>
      </c>
      <c r="M583">
        <v>4.71</v>
      </c>
      <c r="N583" s="154" t="e">
        <f t="shared" si="78"/>
        <v>#VALUE!</v>
      </c>
      <c r="O583">
        <v>4.71</v>
      </c>
      <c r="P583" s="154" t="e">
        <f t="shared" si="79"/>
        <v>#VALUE!</v>
      </c>
      <c r="Q583">
        <v>4.71</v>
      </c>
      <c r="R583" s="154" t="e">
        <f t="shared" si="80"/>
        <v>#VALUE!</v>
      </c>
      <c r="S583">
        <v>4.71</v>
      </c>
      <c r="T583" s="154" t="e">
        <f t="shared" si="81"/>
        <v>#VALUE!</v>
      </c>
      <c r="U583">
        <v>4.71</v>
      </c>
      <c r="V583" s="154" t="e">
        <f t="shared" si="82"/>
        <v>#VALUE!</v>
      </c>
      <c r="W583">
        <v>4.71</v>
      </c>
      <c r="X583" s="157" t="e">
        <f t="shared" si="83"/>
        <v>#VALUE!</v>
      </c>
      <c r="Y583">
        <v>4.71</v>
      </c>
      <c r="Z583" s="154" t="e">
        <f t="shared" si="84"/>
        <v>#VALUE!</v>
      </c>
      <c r="AA583">
        <v>4.71</v>
      </c>
      <c r="AB583" s="154" t="e">
        <f t="shared" si="85"/>
        <v>#VALUE!</v>
      </c>
      <c r="AC583">
        <v>4.71</v>
      </c>
      <c r="AD583" s="154" t="e">
        <f t="shared" si="86"/>
        <v>#VALUE!</v>
      </c>
      <c r="AE583">
        <v>4.71</v>
      </c>
    </row>
    <row r="584" spans="12:31" ht="15" x14ac:dyDescent="0.2">
      <c r="L584" s="154" t="e">
        <f t="shared" si="77"/>
        <v>#VALUE!</v>
      </c>
      <c r="M584">
        <v>4.72</v>
      </c>
      <c r="N584" s="154" t="e">
        <f t="shared" si="78"/>
        <v>#VALUE!</v>
      </c>
      <c r="O584">
        <v>4.72</v>
      </c>
      <c r="P584" s="154" t="e">
        <f t="shared" si="79"/>
        <v>#VALUE!</v>
      </c>
      <c r="Q584">
        <v>4.72</v>
      </c>
      <c r="R584" s="154" t="e">
        <f t="shared" si="80"/>
        <v>#VALUE!</v>
      </c>
      <c r="S584">
        <v>4.72</v>
      </c>
      <c r="T584" s="154" t="e">
        <f t="shared" si="81"/>
        <v>#VALUE!</v>
      </c>
      <c r="U584">
        <v>4.72</v>
      </c>
      <c r="V584" s="154" t="e">
        <f t="shared" si="82"/>
        <v>#VALUE!</v>
      </c>
      <c r="W584">
        <v>4.72</v>
      </c>
      <c r="X584" s="157" t="e">
        <f t="shared" si="83"/>
        <v>#VALUE!</v>
      </c>
      <c r="Y584">
        <v>4.72</v>
      </c>
      <c r="Z584" s="154" t="e">
        <f t="shared" si="84"/>
        <v>#VALUE!</v>
      </c>
      <c r="AA584">
        <v>4.72</v>
      </c>
      <c r="AB584" s="154" t="e">
        <f t="shared" si="85"/>
        <v>#VALUE!</v>
      </c>
      <c r="AC584">
        <v>4.72</v>
      </c>
      <c r="AD584" s="154" t="e">
        <f t="shared" si="86"/>
        <v>#VALUE!</v>
      </c>
      <c r="AE584">
        <v>4.72</v>
      </c>
    </row>
    <row r="585" spans="12:31" ht="15" x14ac:dyDescent="0.2">
      <c r="L585" s="154" t="e">
        <f t="shared" si="77"/>
        <v>#VALUE!</v>
      </c>
      <c r="M585">
        <v>4.7300000000000004</v>
      </c>
      <c r="N585" s="154" t="e">
        <f t="shared" si="78"/>
        <v>#VALUE!</v>
      </c>
      <c r="O585">
        <v>4.7300000000000004</v>
      </c>
      <c r="P585" s="154" t="e">
        <f t="shared" si="79"/>
        <v>#VALUE!</v>
      </c>
      <c r="Q585">
        <v>4.7300000000000004</v>
      </c>
      <c r="R585" s="154" t="e">
        <f t="shared" si="80"/>
        <v>#VALUE!</v>
      </c>
      <c r="S585">
        <v>4.7300000000000004</v>
      </c>
      <c r="T585" s="154" t="e">
        <f t="shared" si="81"/>
        <v>#VALUE!</v>
      </c>
      <c r="U585">
        <v>4.7300000000000004</v>
      </c>
      <c r="V585" s="154" t="e">
        <f t="shared" si="82"/>
        <v>#VALUE!</v>
      </c>
      <c r="W585">
        <v>4.7300000000000004</v>
      </c>
      <c r="X585" s="157" t="e">
        <f t="shared" si="83"/>
        <v>#VALUE!</v>
      </c>
      <c r="Y585">
        <v>4.7300000000000004</v>
      </c>
      <c r="Z585" s="154" t="e">
        <f t="shared" si="84"/>
        <v>#VALUE!</v>
      </c>
      <c r="AA585">
        <v>4.7300000000000004</v>
      </c>
      <c r="AB585" s="154" t="e">
        <f t="shared" si="85"/>
        <v>#VALUE!</v>
      </c>
      <c r="AC585">
        <v>4.7300000000000004</v>
      </c>
      <c r="AD585" s="154" t="e">
        <f t="shared" si="86"/>
        <v>#VALUE!</v>
      </c>
      <c r="AE585">
        <v>4.7300000000000004</v>
      </c>
    </row>
    <row r="586" spans="12:31" ht="15" x14ac:dyDescent="0.2">
      <c r="L586" s="154" t="e">
        <f t="shared" si="77"/>
        <v>#VALUE!</v>
      </c>
      <c r="M586">
        <v>4.74</v>
      </c>
      <c r="N586" s="154" t="e">
        <f t="shared" si="78"/>
        <v>#VALUE!</v>
      </c>
      <c r="O586">
        <v>4.74</v>
      </c>
      <c r="P586" s="154" t="e">
        <f t="shared" si="79"/>
        <v>#VALUE!</v>
      </c>
      <c r="Q586">
        <v>4.74</v>
      </c>
      <c r="R586" s="154" t="e">
        <f t="shared" si="80"/>
        <v>#VALUE!</v>
      </c>
      <c r="S586">
        <v>4.74</v>
      </c>
      <c r="T586" s="154" t="e">
        <f t="shared" si="81"/>
        <v>#VALUE!</v>
      </c>
      <c r="U586">
        <v>4.74</v>
      </c>
      <c r="V586" s="154" t="e">
        <f t="shared" si="82"/>
        <v>#VALUE!</v>
      </c>
      <c r="W586">
        <v>4.74</v>
      </c>
      <c r="X586" s="157" t="e">
        <f t="shared" si="83"/>
        <v>#VALUE!</v>
      </c>
      <c r="Y586">
        <v>4.74</v>
      </c>
      <c r="Z586" s="154" t="e">
        <f t="shared" si="84"/>
        <v>#VALUE!</v>
      </c>
      <c r="AA586">
        <v>4.74</v>
      </c>
      <c r="AB586" s="154" t="e">
        <f t="shared" si="85"/>
        <v>#VALUE!</v>
      </c>
      <c r="AC586">
        <v>4.74</v>
      </c>
      <c r="AD586" s="154" t="e">
        <f t="shared" si="86"/>
        <v>#VALUE!</v>
      </c>
      <c r="AE586">
        <v>4.74</v>
      </c>
    </row>
    <row r="587" spans="12:31" ht="15" x14ac:dyDescent="0.2">
      <c r="L587" s="154" t="e">
        <f t="shared" si="77"/>
        <v>#VALUE!</v>
      </c>
      <c r="M587">
        <v>4.75</v>
      </c>
      <c r="N587" s="154" t="e">
        <f t="shared" si="78"/>
        <v>#VALUE!</v>
      </c>
      <c r="O587">
        <v>4.75</v>
      </c>
      <c r="P587" s="154" t="e">
        <f t="shared" si="79"/>
        <v>#VALUE!</v>
      </c>
      <c r="Q587">
        <v>4.75</v>
      </c>
      <c r="R587" s="154" t="e">
        <f t="shared" si="80"/>
        <v>#VALUE!</v>
      </c>
      <c r="S587">
        <v>4.75</v>
      </c>
      <c r="T587" s="154" t="e">
        <f t="shared" si="81"/>
        <v>#VALUE!</v>
      </c>
      <c r="U587">
        <v>4.75</v>
      </c>
      <c r="V587" s="154" t="e">
        <f t="shared" si="82"/>
        <v>#VALUE!</v>
      </c>
      <c r="W587">
        <v>4.75</v>
      </c>
      <c r="X587" s="157" t="e">
        <f t="shared" si="83"/>
        <v>#VALUE!</v>
      </c>
      <c r="Y587">
        <v>4.75</v>
      </c>
      <c r="Z587" s="154" t="e">
        <f t="shared" si="84"/>
        <v>#VALUE!</v>
      </c>
      <c r="AA587">
        <v>4.75</v>
      </c>
      <c r="AB587" s="154" t="e">
        <f t="shared" si="85"/>
        <v>#VALUE!</v>
      </c>
      <c r="AC587">
        <v>4.75</v>
      </c>
      <c r="AD587" s="154" t="e">
        <f t="shared" si="86"/>
        <v>#VALUE!</v>
      </c>
      <c r="AE587">
        <v>4.75</v>
      </c>
    </row>
    <row r="588" spans="12:31" ht="15" x14ac:dyDescent="0.2">
      <c r="L588" s="154" t="e">
        <f t="shared" si="77"/>
        <v>#VALUE!</v>
      </c>
      <c r="M588">
        <v>4.76</v>
      </c>
      <c r="N588" s="154" t="e">
        <f t="shared" si="78"/>
        <v>#VALUE!</v>
      </c>
      <c r="O588">
        <v>4.76</v>
      </c>
      <c r="P588" s="154" t="e">
        <f t="shared" si="79"/>
        <v>#VALUE!</v>
      </c>
      <c r="Q588">
        <v>4.76</v>
      </c>
      <c r="R588" s="154" t="e">
        <f t="shared" si="80"/>
        <v>#VALUE!</v>
      </c>
      <c r="S588">
        <v>4.76</v>
      </c>
      <c r="T588" s="154" t="e">
        <f t="shared" si="81"/>
        <v>#VALUE!</v>
      </c>
      <c r="U588">
        <v>4.76</v>
      </c>
      <c r="V588" s="154" t="e">
        <f t="shared" si="82"/>
        <v>#VALUE!</v>
      </c>
      <c r="W588">
        <v>4.76</v>
      </c>
      <c r="X588" s="157" t="e">
        <f t="shared" si="83"/>
        <v>#VALUE!</v>
      </c>
      <c r="Y588">
        <v>4.76</v>
      </c>
      <c r="Z588" s="154" t="e">
        <f t="shared" si="84"/>
        <v>#VALUE!</v>
      </c>
      <c r="AA588">
        <v>4.76</v>
      </c>
      <c r="AB588" s="154" t="e">
        <f t="shared" si="85"/>
        <v>#VALUE!</v>
      </c>
      <c r="AC588">
        <v>4.76</v>
      </c>
      <c r="AD588" s="154" t="e">
        <f t="shared" si="86"/>
        <v>#VALUE!</v>
      </c>
      <c r="AE588">
        <v>4.76</v>
      </c>
    </row>
    <row r="589" spans="12:31" ht="15" x14ac:dyDescent="0.2">
      <c r="L589" s="154" t="e">
        <f t="shared" si="77"/>
        <v>#VALUE!</v>
      </c>
      <c r="M589">
        <v>4.7699999999999996</v>
      </c>
      <c r="N589" s="154" t="e">
        <f t="shared" si="78"/>
        <v>#VALUE!</v>
      </c>
      <c r="O589">
        <v>4.7699999999999996</v>
      </c>
      <c r="P589" s="154" t="e">
        <f t="shared" si="79"/>
        <v>#VALUE!</v>
      </c>
      <c r="Q589">
        <v>4.7699999999999996</v>
      </c>
      <c r="R589" s="154" t="e">
        <f t="shared" si="80"/>
        <v>#VALUE!</v>
      </c>
      <c r="S589">
        <v>4.7699999999999996</v>
      </c>
      <c r="T589" s="154" t="e">
        <f t="shared" si="81"/>
        <v>#VALUE!</v>
      </c>
      <c r="U589">
        <v>4.7699999999999996</v>
      </c>
      <c r="V589" s="154" t="e">
        <f t="shared" si="82"/>
        <v>#VALUE!</v>
      </c>
      <c r="W589">
        <v>4.7699999999999996</v>
      </c>
      <c r="X589" s="157" t="e">
        <f t="shared" si="83"/>
        <v>#VALUE!</v>
      </c>
      <c r="Y589">
        <v>4.7699999999999996</v>
      </c>
      <c r="Z589" s="154" t="e">
        <f t="shared" si="84"/>
        <v>#VALUE!</v>
      </c>
      <c r="AA589">
        <v>4.7699999999999996</v>
      </c>
      <c r="AB589" s="154" t="e">
        <f t="shared" si="85"/>
        <v>#VALUE!</v>
      </c>
      <c r="AC589">
        <v>4.7699999999999996</v>
      </c>
      <c r="AD589" s="154" t="e">
        <f t="shared" si="86"/>
        <v>#VALUE!</v>
      </c>
      <c r="AE589">
        <v>4.7699999999999996</v>
      </c>
    </row>
    <row r="590" spans="12:31" ht="15" x14ac:dyDescent="0.2">
      <c r="L590" s="154" t="e">
        <f t="shared" si="77"/>
        <v>#VALUE!</v>
      </c>
      <c r="M590">
        <v>4.78</v>
      </c>
      <c r="N590" s="154" t="e">
        <f t="shared" si="78"/>
        <v>#VALUE!</v>
      </c>
      <c r="O590">
        <v>4.78</v>
      </c>
      <c r="P590" s="154" t="e">
        <f t="shared" si="79"/>
        <v>#VALUE!</v>
      </c>
      <c r="Q590">
        <v>4.78</v>
      </c>
      <c r="R590" s="154" t="e">
        <f t="shared" si="80"/>
        <v>#VALUE!</v>
      </c>
      <c r="S590">
        <v>4.78</v>
      </c>
      <c r="T590" s="154" t="e">
        <f t="shared" si="81"/>
        <v>#VALUE!</v>
      </c>
      <c r="U590">
        <v>4.78</v>
      </c>
      <c r="V590" s="154" t="e">
        <f t="shared" si="82"/>
        <v>#VALUE!</v>
      </c>
      <c r="W590">
        <v>4.78</v>
      </c>
      <c r="X590" s="157" t="e">
        <f t="shared" si="83"/>
        <v>#VALUE!</v>
      </c>
      <c r="Y590">
        <v>4.78</v>
      </c>
      <c r="Z590" s="154" t="e">
        <f t="shared" si="84"/>
        <v>#VALUE!</v>
      </c>
      <c r="AA590">
        <v>4.78</v>
      </c>
      <c r="AB590" s="154" t="e">
        <f t="shared" si="85"/>
        <v>#VALUE!</v>
      </c>
      <c r="AC590">
        <v>4.78</v>
      </c>
      <c r="AD590" s="154" t="e">
        <f t="shared" si="86"/>
        <v>#VALUE!</v>
      </c>
      <c r="AE590">
        <v>4.78</v>
      </c>
    </row>
    <row r="591" spans="12:31" ht="15" x14ac:dyDescent="0.2">
      <c r="L591" s="154" t="e">
        <f t="shared" si="77"/>
        <v>#VALUE!</v>
      </c>
      <c r="M591">
        <v>4.79</v>
      </c>
      <c r="N591" s="154" t="e">
        <f t="shared" si="78"/>
        <v>#VALUE!</v>
      </c>
      <c r="O591">
        <v>4.79</v>
      </c>
      <c r="P591" s="154" t="e">
        <f t="shared" si="79"/>
        <v>#VALUE!</v>
      </c>
      <c r="Q591">
        <v>4.79</v>
      </c>
      <c r="R591" s="154" t="e">
        <f t="shared" si="80"/>
        <v>#VALUE!</v>
      </c>
      <c r="S591">
        <v>4.79</v>
      </c>
      <c r="T591" s="154" t="e">
        <f t="shared" si="81"/>
        <v>#VALUE!</v>
      </c>
      <c r="U591">
        <v>4.79</v>
      </c>
      <c r="V591" s="154" t="e">
        <f t="shared" si="82"/>
        <v>#VALUE!</v>
      </c>
      <c r="W591">
        <v>4.79</v>
      </c>
      <c r="X591" s="157" t="e">
        <f t="shared" si="83"/>
        <v>#VALUE!</v>
      </c>
      <c r="Y591">
        <v>4.79</v>
      </c>
      <c r="Z591" s="154" t="e">
        <f t="shared" si="84"/>
        <v>#VALUE!</v>
      </c>
      <c r="AA591">
        <v>4.79</v>
      </c>
      <c r="AB591" s="154" t="e">
        <f t="shared" si="85"/>
        <v>#VALUE!</v>
      </c>
      <c r="AC591">
        <v>4.79</v>
      </c>
      <c r="AD591" s="154" t="e">
        <f t="shared" si="86"/>
        <v>#VALUE!</v>
      </c>
      <c r="AE591">
        <v>4.79</v>
      </c>
    </row>
    <row r="592" spans="12:31" ht="15" x14ac:dyDescent="0.2">
      <c r="L592" s="154" t="e">
        <f t="shared" si="77"/>
        <v>#VALUE!</v>
      </c>
      <c r="M592">
        <v>4.8</v>
      </c>
      <c r="N592" s="154" t="e">
        <f t="shared" si="78"/>
        <v>#VALUE!</v>
      </c>
      <c r="O592">
        <v>4.8</v>
      </c>
      <c r="P592" s="154" t="e">
        <f t="shared" si="79"/>
        <v>#VALUE!</v>
      </c>
      <c r="Q592">
        <v>4.8</v>
      </c>
      <c r="R592" s="154" t="e">
        <f t="shared" si="80"/>
        <v>#VALUE!</v>
      </c>
      <c r="S592">
        <v>4.8</v>
      </c>
      <c r="T592" s="154" t="e">
        <f t="shared" si="81"/>
        <v>#VALUE!</v>
      </c>
      <c r="U592">
        <v>4.8</v>
      </c>
      <c r="V592" s="154" t="e">
        <f t="shared" si="82"/>
        <v>#VALUE!</v>
      </c>
      <c r="W592">
        <v>4.8</v>
      </c>
      <c r="X592" s="157" t="e">
        <f t="shared" si="83"/>
        <v>#VALUE!</v>
      </c>
      <c r="Y592">
        <v>4.8</v>
      </c>
      <c r="Z592" s="154" t="e">
        <f t="shared" si="84"/>
        <v>#VALUE!</v>
      </c>
      <c r="AA592">
        <v>4.8</v>
      </c>
      <c r="AB592" s="154" t="e">
        <f t="shared" si="85"/>
        <v>#VALUE!</v>
      </c>
      <c r="AC592">
        <v>4.8</v>
      </c>
      <c r="AD592" s="154" t="e">
        <f t="shared" si="86"/>
        <v>#VALUE!</v>
      </c>
      <c r="AE592">
        <v>4.8</v>
      </c>
    </row>
    <row r="593" spans="12:31" ht="15" x14ac:dyDescent="0.2">
      <c r="L593" s="154" t="e">
        <f t="shared" si="77"/>
        <v>#VALUE!</v>
      </c>
      <c r="M593">
        <v>4.8099999999999996</v>
      </c>
      <c r="N593" s="154" t="e">
        <f t="shared" si="78"/>
        <v>#VALUE!</v>
      </c>
      <c r="O593">
        <v>4.8099999999999996</v>
      </c>
      <c r="P593" s="154" t="e">
        <f t="shared" si="79"/>
        <v>#VALUE!</v>
      </c>
      <c r="Q593">
        <v>4.8099999999999996</v>
      </c>
      <c r="R593" s="154" t="e">
        <f t="shared" si="80"/>
        <v>#VALUE!</v>
      </c>
      <c r="S593">
        <v>4.8099999999999996</v>
      </c>
      <c r="T593" s="154" t="e">
        <f t="shared" si="81"/>
        <v>#VALUE!</v>
      </c>
      <c r="U593">
        <v>4.8099999999999996</v>
      </c>
      <c r="V593" s="154" t="e">
        <f t="shared" si="82"/>
        <v>#VALUE!</v>
      </c>
      <c r="W593">
        <v>4.8099999999999996</v>
      </c>
      <c r="X593" s="157" t="e">
        <f t="shared" si="83"/>
        <v>#VALUE!</v>
      </c>
      <c r="Y593">
        <v>4.8099999999999996</v>
      </c>
      <c r="Z593" s="154" t="e">
        <f t="shared" si="84"/>
        <v>#VALUE!</v>
      </c>
      <c r="AA593">
        <v>4.8099999999999996</v>
      </c>
      <c r="AB593" s="154" t="e">
        <f t="shared" si="85"/>
        <v>#VALUE!</v>
      </c>
      <c r="AC593">
        <v>4.8099999999999996</v>
      </c>
      <c r="AD593" s="154" t="e">
        <f t="shared" si="86"/>
        <v>#VALUE!</v>
      </c>
      <c r="AE593">
        <v>4.8099999999999996</v>
      </c>
    </row>
    <row r="594" spans="12:31" ht="15" x14ac:dyDescent="0.2">
      <c r="L594" s="154" t="e">
        <f t="shared" si="77"/>
        <v>#VALUE!</v>
      </c>
      <c r="M594">
        <v>4.82</v>
      </c>
      <c r="N594" s="154" t="e">
        <f t="shared" si="78"/>
        <v>#VALUE!</v>
      </c>
      <c r="O594">
        <v>4.82</v>
      </c>
      <c r="P594" s="154" t="e">
        <f t="shared" si="79"/>
        <v>#VALUE!</v>
      </c>
      <c r="Q594">
        <v>4.82</v>
      </c>
      <c r="R594" s="154" t="e">
        <f t="shared" si="80"/>
        <v>#VALUE!</v>
      </c>
      <c r="S594">
        <v>4.82</v>
      </c>
      <c r="T594" s="154" t="e">
        <f t="shared" si="81"/>
        <v>#VALUE!</v>
      </c>
      <c r="U594">
        <v>4.82</v>
      </c>
      <c r="V594" s="154" t="e">
        <f t="shared" si="82"/>
        <v>#VALUE!</v>
      </c>
      <c r="W594">
        <v>4.82</v>
      </c>
      <c r="X594" s="157" t="e">
        <f t="shared" si="83"/>
        <v>#VALUE!</v>
      </c>
      <c r="Y594">
        <v>4.82</v>
      </c>
      <c r="Z594" s="154" t="e">
        <f t="shared" si="84"/>
        <v>#VALUE!</v>
      </c>
      <c r="AA594">
        <v>4.82</v>
      </c>
      <c r="AB594" s="154" t="e">
        <f t="shared" si="85"/>
        <v>#VALUE!</v>
      </c>
      <c r="AC594">
        <v>4.82</v>
      </c>
      <c r="AD594" s="154" t="e">
        <f t="shared" si="86"/>
        <v>#VALUE!</v>
      </c>
      <c r="AE594">
        <v>4.82</v>
      </c>
    </row>
    <row r="595" spans="12:31" ht="15" x14ac:dyDescent="0.2">
      <c r="L595" s="154" t="e">
        <f t="shared" si="77"/>
        <v>#VALUE!</v>
      </c>
      <c r="M595">
        <v>4.83</v>
      </c>
      <c r="N595" s="154" t="e">
        <f t="shared" si="78"/>
        <v>#VALUE!</v>
      </c>
      <c r="O595">
        <v>4.83</v>
      </c>
      <c r="P595" s="154" t="e">
        <f t="shared" si="79"/>
        <v>#VALUE!</v>
      </c>
      <c r="Q595">
        <v>4.83</v>
      </c>
      <c r="R595" s="154" t="e">
        <f t="shared" si="80"/>
        <v>#VALUE!</v>
      </c>
      <c r="S595">
        <v>4.83</v>
      </c>
      <c r="T595" s="154" t="e">
        <f t="shared" si="81"/>
        <v>#VALUE!</v>
      </c>
      <c r="U595">
        <v>4.83</v>
      </c>
      <c r="V595" s="154" t="e">
        <f t="shared" si="82"/>
        <v>#VALUE!</v>
      </c>
      <c r="W595">
        <v>4.83</v>
      </c>
      <c r="X595" s="157" t="e">
        <f t="shared" si="83"/>
        <v>#VALUE!</v>
      </c>
      <c r="Y595">
        <v>4.83</v>
      </c>
      <c r="Z595" s="154" t="e">
        <f t="shared" si="84"/>
        <v>#VALUE!</v>
      </c>
      <c r="AA595">
        <v>4.83</v>
      </c>
      <c r="AB595" s="154" t="e">
        <f t="shared" si="85"/>
        <v>#VALUE!</v>
      </c>
      <c r="AC595">
        <v>4.83</v>
      </c>
      <c r="AD595" s="154" t="e">
        <f t="shared" si="86"/>
        <v>#VALUE!</v>
      </c>
      <c r="AE595">
        <v>4.83</v>
      </c>
    </row>
    <row r="596" spans="12:31" ht="15" x14ac:dyDescent="0.2">
      <c r="L596" s="154" t="e">
        <f t="shared" si="77"/>
        <v>#VALUE!</v>
      </c>
      <c r="M596">
        <v>4.84</v>
      </c>
      <c r="N596" s="154" t="e">
        <f t="shared" si="78"/>
        <v>#VALUE!</v>
      </c>
      <c r="O596">
        <v>4.84</v>
      </c>
      <c r="P596" s="154" t="e">
        <f t="shared" si="79"/>
        <v>#VALUE!</v>
      </c>
      <c r="Q596">
        <v>4.84</v>
      </c>
      <c r="R596" s="154" t="e">
        <f t="shared" si="80"/>
        <v>#VALUE!</v>
      </c>
      <c r="S596">
        <v>4.84</v>
      </c>
      <c r="T596" s="154" t="e">
        <f t="shared" si="81"/>
        <v>#VALUE!</v>
      </c>
      <c r="U596">
        <v>4.84</v>
      </c>
      <c r="V596" s="154" t="e">
        <f t="shared" si="82"/>
        <v>#VALUE!</v>
      </c>
      <c r="W596">
        <v>4.84</v>
      </c>
      <c r="X596" s="157" t="e">
        <f t="shared" si="83"/>
        <v>#VALUE!</v>
      </c>
      <c r="Y596">
        <v>4.84</v>
      </c>
      <c r="Z596" s="154" t="e">
        <f t="shared" si="84"/>
        <v>#VALUE!</v>
      </c>
      <c r="AA596">
        <v>4.84</v>
      </c>
      <c r="AB596" s="154" t="e">
        <f t="shared" si="85"/>
        <v>#VALUE!</v>
      </c>
      <c r="AC596">
        <v>4.84</v>
      </c>
      <c r="AD596" s="154" t="e">
        <f t="shared" si="86"/>
        <v>#VALUE!</v>
      </c>
      <c r="AE596">
        <v>4.84</v>
      </c>
    </row>
    <row r="597" spans="12:31" ht="15" x14ac:dyDescent="0.2">
      <c r="L597" s="154" t="e">
        <f t="shared" si="77"/>
        <v>#VALUE!</v>
      </c>
      <c r="M597">
        <v>4.8499999999999996</v>
      </c>
      <c r="N597" s="154" t="e">
        <f t="shared" si="78"/>
        <v>#VALUE!</v>
      </c>
      <c r="O597">
        <v>4.8499999999999996</v>
      </c>
      <c r="P597" s="154" t="e">
        <f t="shared" si="79"/>
        <v>#VALUE!</v>
      </c>
      <c r="Q597">
        <v>4.8499999999999996</v>
      </c>
      <c r="R597" s="154" t="e">
        <f t="shared" si="80"/>
        <v>#VALUE!</v>
      </c>
      <c r="S597">
        <v>4.8499999999999996</v>
      </c>
      <c r="T597" s="154" t="e">
        <f t="shared" si="81"/>
        <v>#VALUE!</v>
      </c>
      <c r="U597">
        <v>4.8499999999999996</v>
      </c>
      <c r="V597" s="154" t="e">
        <f t="shared" si="82"/>
        <v>#VALUE!</v>
      </c>
      <c r="W597">
        <v>4.8499999999999996</v>
      </c>
      <c r="X597" s="157" t="e">
        <f t="shared" si="83"/>
        <v>#VALUE!</v>
      </c>
      <c r="Y597">
        <v>4.8499999999999996</v>
      </c>
      <c r="Z597" s="154" t="e">
        <f t="shared" si="84"/>
        <v>#VALUE!</v>
      </c>
      <c r="AA597">
        <v>4.8499999999999996</v>
      </c>
      <c r="AB597" s="154" t="e">
        <f t="shared" si="85"/>
        <v>#VALUE!</v>
      </c>
      <c r="AC597">
        <v>4.8499999999999996</v>
      </c>
      <c r="AD597" s="154" t="e">
        <f t="shared" si="86"/>
        <v>#VALUE!</v>
      </c>
      <c r="AE597">
        <v>4.8499999999999996</v>
      </c>
    </row>
    <row r="598" spans="12:31" ht="15" x14ac:dyDescent="0.2">
      <c r="L598" s="154" t="e">
        <f t="shared" si="77"/>
        <v>#VALUE!</v>
      </c>
      <c r="M598">
        <v>4.8600000000000003</v>
      </c>
      <c r="N598" s="154" t="e">
        <f t="shared" si="78"/>
        <v>#VALUE!</v>
      </c>
      <c r="O598">
        <v>4.8600000000000003</v>
      </c>
      <c r="P598" s="154" t="e">
        <f t="shared" si="79"/>
        <v>#VALUE!</v>
      </c>
      <c r="Q598">
        <v>4.8600000000000003</v>
      </c>
      <c r="R598" s="154" t="e">
        <f t="shared" si="80"/>
        <v>#VALUE!</v>
      </c>
      <c r="S598">
        <v>4.8600000000000003</v>
      </c>
      <c r="T598" s="154" t="e">
        <f t="shared" si="81"/>
        <v>#VALUE!</v>
      </c>
      <c r="U598">
        <v>4.8600000000000003</v>
      </c>
      <c r="V598" s="154" t="e">
        <f t="shared" si="82"/>
        <v>#VALUE!</v>
      </c>
      <c r="W598">
        <v>4.8600000000000003</v>
      </c>
      <c r="X598" s="157" t="e">
        <f t="shared" si="83"/>
        <v>#VALUE!</v>
      </c>
      <c r="Y598">
        <v>4.8600000000000003</v>
      </c>
      <c r="Z598" s="154" t="e">
        <f t="shared" si="84"/>
        <v>#VALUE!</v>
      </c>
      <c r="AA598">
        <v>4.8600000000000003</v>
      </c>
      <c r="AB598" s="154" t="e">
        <f t="shared" si="85"/>
        <v>#VALUE!</v>
      </c>
      <c r="AC598">
        <v>4.8600000000000003</v>
      </c>
      <c r="AD598" s="154" t="e">
        <f t="shared" si="86"/>
        <v>#VALUE!</v>
      </c>
      <c r="AE598">
        <v>4.8600000000000003</v>
      </c>
    </row>
    <row r="599" spans="12:31" ht="15" x14ac:dyDescent="0.2">
      <c r="L599" s="154" t="e">
        <f t="shared" si="77"/>
        <v>#VALUE!</v>
      </c>
      <c r="M599">
        <v>4.87</v>
      </c>
      <c r="N599" s="154" t="e">
        <f t="shared" si="78"/>
        <v>#VALUE!</v>
      </c>
      <c r="O599">
        <v>4.87</v>
      </c>
      <c r="P599" s="154" t="e">
        <f t="shared" si="79"/>
        <v>#VALUE!</v>
      </c>
      <c r="Q599">
        <v>4.87</v>
      </c>
      <c r="R599" s="154" t="e">
        <f t="shared" si="80"/>
        <v>#VALUE!</v>
      </c>
      <c r="S599">
        <v>4.87</v>
      </c>
      <c r="T599" s="154" t="e">
        <f t="shared" si="81"/>
        <v>#VALUE!</v>
      </c>
      <c r="U599">
        <v>4.87</v>
      </c>
      <c r="V599" s="154" t="e">
        <f t="shared" si="82"/>
        <v>#VALUE!</v>
      </c>
      <c r="W599">
        <v>4.87</v>
      </c>
      <c r="X599" s="157" t="e">
        <f t="shared" si="83"/>
        <v>#VALUE!</v>
      </c>
      <c r="Y599">
        <v>4.87</v>
      </c>
      <c r="Z599" s="154" t="e">
        <f t="shared" si="84"/>
        <v>#VALUE!</v>
      </c>
      <c r="AA599">
        <v>4.87</v>
      </c>
      <c r="AB599" s="154" t="e">
        <f t="shared" si="85"/>
        <v>#VALUE!</v>
      </c>
      <c r="AC599">
        <v>4.87</v>
      </c>
      <c r="AD599" s="154" t="e">
        <f t="shared" si="86"/>
        <v>#VALUE!</v>
      </c>
      <c r="AE599">
        <v>4.87</v>
      </c>
    </row>
    <row r="600" spans="12:31" ht="15" x14ac:dyDescent="0.2">
      <c r="L600" s="154" t="e">
        <f t="shared" si="77"/>
        <v>#VALUE!</v>
      </c>
      <c r="M600">
        <v>4.88</v>
      </c>
      <c r="N600" s="154" t="e">
        <f t="shared" si="78"/>
        <v>#VALUE!</v>
      </c>
      <c r="O600">
        <v>4.88</v>
      </c>
      <c r="P600" s="154" t="e">
        <f t="shared" si="79"/>
        <v>#VALUE!</v>
      </c>
      <c r="Q600">
        <v>4.88</v>
      </c>
      <c r="R600" s="154" t="e">
        <f t="shared" si="80"/>
        <v>#VALUE!</v>
      </c>
      <c r="S600">
        <v>4.88</v>
      </c>
      <c r="T600" s="154" t="e">
        <f t="shared" si="81"/>
        <v>#VALUE!</v>
      </c>
      <c r="U600">
        <v>4.88</v>
      </c>
      <c r="V600" s="154" t="e">
        <f t="shared" si="82"/>
        <v>#VALUE!</v>
      </c>
      <c r="W600">
        <v>4.88</v>
      </c>
      <c r="X600" s="157" t="e">
        <f t="shared" si="83"/>
        <v>#VALUE!</v>
      </c>
      <c r="Y600">
        <v>4.88</v>
      </c>
      <c r="Z600" s="154" t="e">
        <f t="shared" si="84"/>
        <v>#VALUE!</v>
      </c>
      <c r="AA600">
        <v>4.88</v>
      </c>
      <c r="AB600" s="154" t="e">
        <f t="shared" si="85"/>
        <v>#VALUE!</v>
      </c>
      <c r="AC600">
        <v>4.88</v>
      </c>
      <c r="AD600" s="154" t="e">
        <f t="shared" si="86"/>
        <v>#VALUE!</v>
      </c>
      <c r="AE600">
        <v>4.88</v>
      </c>
    </row>
    <row r="601" spans="12:31" ht="15" x14ac:dyDescent="0.2">
      <c r="L601" s="154" t="e">
        <f t="shared" si="77"/>
        <v>#VALUE!</v>
      </c>
      <c r="M601">
        <v>4.8899999999999997</v>
      </c>
      <c r="N601" s="154" t="e">
        <f t="shared" si="78"/>
        <v>#VALUE!</v>
      </c>
      <c r="O601">
        <v>4.8899999999999997</v>
      </c>
      <c r="P601" s="154" t="e">
        <f t="shared" si="79"/>
        <v>#VALUE!</v>
      </c>
      <c r="Q601">
        <v>4.8899999999999997</v>
      </c>
      <c r="R601" s="154" t="e">
        <f t="shared" si="80"/>
        <v>#VALUE!</v>
      </c>
      <c r="S601">
        <v>4.8899999999999997</v>
      </c>
      <c r="T601" s="154" t="e">
        <f t="shared" si="81"/>
        <v>#VALUE!</v>
      </c>
      <c r="U601">
        <v>4.8899999999999997</v>
      </c>
      <c r="V601" s="154" t="e">
        <f t="shared" si="82"/>
        <v>#VALUE!</v>
      </c>
      <c r="W601">
        <v>4.8899999999999997</v>
      </c>
      <c r="X601" s="157" t="e">
        <f t="shared" si="83"/>
        <v>#VALUE!</v>
      </c>
      <c r="Y601">
        <v>4.8899999999999997</v>
      </c>
      <c r="Z601" s="154" t="e">
        <f t="shared" si="84"/>
        <v>#VALUE!</v>
      </c>
      <c r="AA601">
        <v>4.8899999999999997</v>
      </c>
      <c r="AB601" s="154" t="e">
        <f t="shared" si="85"/>
        <v>#VALUE!</v>
      </c>
      <c r="AC601">
        <v>4.8899999999999997</v>
      </c>
      <c r="AD601" s="154" t="e">
        <f t="shared" si="86"/>
        <v>#VALUE!</v>
      </c>
      <c r="AE601">
        <v>4.8899999999999997</v>
      </c>
    </row>
    <row r="602" spans="12:31" ht="15" x14ac:dyDescent="0.2">
      <c r="L602" s="154" t="e">
        <f t="shared" si="77"/>
        <v>#VALUE!</v>
      </c>
      <c r="M602">
        <v>4.9000000000000004</v>
      </c>
      <c r="N602" s="154" t="e">
        <f t="shared" si="78"/>
        <v>#VALUE!</v>
      </c>
      <c r="O602">
        <v>4.9000000000000004</v>
      </c>
      <c r="P602" s="154" t="e">
        <f t="shared" si="79"/>
        <v>#VALUE!</v>
      </c>
      <c r="Q602">
        <v>4.9000000000000004</v>
      </c>
      <c r="R602" s="154" t="e">
        <f t="shared" si="80"/>
        <v>#VALUE!</v>
      </c>
      <c r="S602">
        <v>4.9000000000000004</v>
      </c>
      <c r="T602" s="154" t="e">
        <f t="shared" si="81"/>
        <v>#VALUE!</v>
      </c>
      <c r="U602">
        <v>4.9000000000000004</v>
      </c>
      <c r="V602" s="154" t="e">
        <f t="shared" si="82"/>
        <v>#VALUE!</v>
      </c>
      <c r="W602">
        <v>4.9000000000000004</v>
      </c>
      <c r="X602" s="157" t="e">
        <f t="shared" si="83"/>
        <v>#VALUE!</v>
      </c>
      <c r="Y602">
        <v>4.9000000000000004</v>
      </c>
      <c r="Z602" s="154" t="e">
        <f t="shared" si="84"/>
        <v>#VALUE!</v>
      </c>
      <c r="AA602">
        <v>4.9000000000000004</v>
      </c>
      <c r="AB602" s="154" t="e">
        <f t="shared" si="85"/>
        <v>#VALUE!</v>
      </c>
      <c r="AC602">
        <v>4.9000000000000004</v>
      </c>
      <c r="AD602" s="154" t="e">
        <f t="shared" si="86"/>
        <v>#VALUE!</v>
      </c>
      <c r="AE602">
        <v>4.9000000000000004</v>
      </c>
    </row>
    <row r="603" spans="12:31" ht="15" x14ac:dyDescent="0.2">
      <c r="L603" s="154" t="e">
        <f t="shared" si="77"/>
        <v>#VALUE!</v>
      </c>
      <c r="M603">
        <v>4.91</v>
      </c>
      <c r="N603" s="154" t="e">
        <f t="shared" si="78"/>
        <v>#VALUE!</v>
      </c>
      <c r="O603">
        <v>4.91</v>
      </c>
      <c r="P603" s="154" t="e">
        <f t="shared" si="79"/>
        <v>#VALUE!</v>
      </c>
      <c r="Q603">
        <v>4.91</v>
      </c>
      <c r="R603" s="154" t="e">
        <f t="shared" si="80"/>
        <v>#VALUE!</v>
      </c>
      <c r="S603">
        <v>4.91</v>
      </c>
      <c r="T603" s="154" t="e">
        <f t="shared" si="81"/>
        <v>#VALUE!</v>
      </c>
      <c r="U603">
        <v>4.91</v>
      </c>
      <c r="V603" s="154" t="e">
        <f t="shared" si="82"/>
        <v>#VALUE!</v>
      </c>
      <c r="W603">
        <v>4.91</v>
      </c>
      <c r="X603" s="157" t="e">
        <f t="shared" si="83"/>
        <v>#VALUE!</v>
      </c>
      <c r="Y603">
        <v>4.91</v>
      </c>
      <c r="Z603" s="154" t="e">
        <f t="shared" si="84"/>
        <v>#VALUE!</v>
      </c>
      <c r="AA603">
        <v>4.91</v>
      </c>
      <c r="AB603" s="154" t="e">
        <f t="shared" si="85"/>
        <v>#VALUE!</v>
      </c>
      <c r="AC603">
        <v>4.91</v>
      </c>
      <c r="AD603" s="154" t="e">
        <f t="shared" si="86"/>
        <v>#VALUE!</v>
      </c>
      <c r="AE603">
        <v>4.91</v>
      </c>
    </row>
    <row r="604" spans="12:31" ht="15" x14ac:dyDescent="0.2">
      <c r="L604" s="154" t="e">
        <f t="shared" si="77"/>
        <v>#VALUE!</v>
      </c>
      <c r="M604">
        <v>4.92</v>
      </c>
      <c r="N604" s="154" t="e">
        <f t="shared" si="78"/>
        <v>#VALUE!</v>
      </c>
      <c r="O604">
        <v>4.92</v>
      </c>
      <c r="P604" s="154" t="e">
        <f t="shared" si="79"/>
        <v>#VALUE!</v>
      </c>
      <c r="Q604">
        <v>4.92</v>
      </c>
      <c r="R604" s="154" t="e">
        <f t="shared" si="80"/>
        <v>#VALUE!</v>
      </c>
      <c r="S604">
        <v>4.92</v>
      </c>
      <c r="T604" s="154" t="e">
        <f t="shared" si="81"/>
        <v>#VALUE!</v>
      </c>
      <c r="U604">
        <v>4.92</v>
      </c>
      <c r="V604" s="154" t="e">
        <f t="shared" si="82"/>
        <v>#VALUE!</v>
      </c>
      <c r="W604">
        <v>4.92</v>
      </c>
      <c r="X604" s="157" t="e">
        <f t="shared" si="83"/>
        <v>#VALUE!</v>
      </c>
      <c r="Y604">
        <v>4.92</v>
      </c>
      <c r="Z604" s="154" t="e">
        <f t="shared" si="84"/>
        <v>#VALUE!</v>
      </c>
      <c r="AA604">
        <v>4.92</v>
      </c>
      <c r="AB604" s="154" t="e">
        <f t="shared" si="85"/>
        <v>#VALUE!</v>
      </c>
      <c r="AC604">
        <v>4.92</v>
      </c>
      <c r="AD604" s="154" t="e">
        <f t="shared" si="86"/>
        <v>#VALUE!</v>
      </c>
      <c r="AE604">
        <v>4.92</v>
      </c>
    </row>
    <row r="605" spans="12:31" ht="15" x14ac:dyDescent="0.2">
      <c r="L605" s="154" t="e">
        <f t="shared" si="77"/>
        <v>#VALUE!</v>
      </c>
      <c r="M605">
        <v>4.93</v>
      </c>
      <c r="N605" s="154" t="e">
        <f t="shared" si="78"/>
        <v>#VALUE!</v>
      </c>
      <c r="O605">
        <v>4.93</v>
      </c>
      <c r="P605" s="154" t="e">
        <f t="shared" si="79"/>
        <v>#VALUE!</v>
      </c>
      <c r="Q605">
        <v>4.93</v>
      </c>
      <c r="R605" s="154" t="e">
        <f t="shared" si="80"/>
        <v>#VALUE!</v>
      </c>
      <c r="S605">
        <v>4.93</v>
      </c>
      <c r="T605" s="154" t="e">
        <f t="shared" si="81"/>
        <v>#VALUE!</v>
      </c>
      <c r="U605">
        <v>4.93</v>
      </c>
      <c r="V605" s="154" t="e">
        <f t="shared" si="82"/>
        <v>#VALUE!</v>
      </c>
      <c r="W605">
        <v>4.93</v>
      </c>
      <c r="X605" s="157" t="e">
        <f t="shared" si="83"/>
        <v>#VALUE!</v>
      </c>
      <c r="Y605">
        <v>4.93</v>
      </c>
      <c r="Z605" s="154" t="e">
        <f t="shared" si="84"/>
        <v>#VALUE!</v>
      </c>
      <c r="AA605">
        <v>4.93</v>
      </c>
      <c r="AB605" s="154" t="e">
        <f t="shared" si="85"/>
        <v>#VALUE!</v>
      </c>
      <c r="AC605">
        <v>4.93</v>
      </c>
      <c r="AD605" s="154" t="e">
        <f t="shared" si="86"/>
        <v>#VALUE!</v>
      </c>
      <c r="AE605">
        <v>4.93</v>
      </c>
    </row>
    <row r="606" spans="12:31" ht="15" x14ac:dyDescent="0.2">
      <c r="L606" s="154" t="e">
        <f t="shared" si="77"/>
        <v>#VALUE!</v>
      </c>
      <c r="M606">
        <v>4.9400000000000004</v>
      </c>
      <c r="N606" s="154" t="e">
        <f t="shared" si="78"/>
        <v>#VALUE!</v>
      </c>
      <c r="O606">
        <v>4.9400000000000004</v>
      </c>
      <c r="P606" s="154" t="e">
        <f t="shared" si="79"/>
        <v>#VALUE!</v>
      </c>
      <c r="Q606">
        <v>4.9400000000000004</v>
      </c>
      <c r="R606" s="154" t="e">
        <f t="shared" si="80"/>
        <v>#VALUE!</v>
      </c>
      <c r="S606">
        <v>4.9400000000000004</v>
      </c>
      <c r="T606" s="154" t="e">
        <f t="shared" si="81"/>
        <v>#VALUE!</v>
      </c>
      <c r="U606">
        <v>4.9400000000000004</v>
      </c>
      <c r="V606" s="154" t="e">
        <f t="shared" si="82"/>
        <v>#VALUE!</v>
      </c>
      <c r="W606">
        <v>4.9400000000000004</v>
      </c>
      <c r="X606" s="157" t="e">
        <f t="shared" si="83"/>
        <v>#VALUE!</v>
      </c>
      <c r="Y606">
        <v>4.9400000000000004</v>
      </c>
      <c r="Z606" s="154" t="e">
        <f t="shared" si="84"/>
        <v>#VALUE!</v>
      </c>
      <c r="AA606">
        <v>4.9400000000000004</v>
      </c>
      <c r="AB606" s="154" t="e">
        <f t="shared" si="85"/>
        <v>#VALUE!</v>
      </c>
      <c r="AC606">
        <v>4.9400000000000004</v>
      </c>
      <c r="AD606" s="154" t="e">
        <f t="shared" si="86"/>
        <v>#VALUE!</v>
      </c>
      <c r="AE606">
        <v>4.9400000000000004</v>
      </c>
    </row>
    <row r="607" spans="12:31" ht="15" x14ac:dyDescent="0.2">
      <c r="L607" s="154" t="e">
        <f t="shared" si="77"/>
        <v>#VALUE!</v>
      </c>
      <c r="M607">
        <v>4.95</v>
      </c>
      <c r="N607" s="154" t="e">
        <f t="shared" si="78"/>
        <v>#VALUE!</v>
      </c>
      <c r="O607">
        <v>4.95</v>
      </c>
      <c r="P607" s="154" t="e">
        <f t="shared" si="79"/>
        <v>#VALUE!</v>
      </c>
      <c r="Q607">
        <v>4.95</v>
      </c>
      <c r="R607" s="154" t="e">
        <f t="shared" si="80"/>
        <v>#VALUE!</v>
      </c>
      <c r="S607">
        <v>4.95</v>
      </c>
      <c r="T607" s="154" t="e">
        <f t="shared" si="81"/>
        <v>#VALUE!</v>
      </c>
      <c r="U607">
        <v>4.95</v>
      </c>
      <c r="V607" s="154" t="e">
        <f t="shared" si="82"/>
        <v>#VALUE!</v>
      </c>
      <c r="W607">
        <v>4.95</v>
      </c>
      <c r="X607" s="157" t="e">
        <f t="shared" si="83"/>
        <v>#VALUE!</v>
      </c>
      <c r="Y607">
        <v>4.95</v>
      </c>
      <c r="Z607" s="154" t="e">
        <f t="shared" si="84"/>
        <v>#VALUE!</v>
      </c>
      <c r="AA607">
        <v>4.95</v>
      </c>
      <c r="AB607" s="154" t="e">
        <f t="shared" si="85"/>
        <v>#VALUE!</v>
      </c>
      <c r="AC607">
        <v>4.95</v>
      </c>
      <c r="AD607" s="154" t="e">
        <f t="shared" si="86"/>
        <v>#VALUE!</v>
      </c>
      <c r="AE607">
        <v>4.95</v>
      </c>
    </row>
    <row r="608" spans="12:31" ht="15" x14ac:dyDescent="0.2">
      <c r="L608" s="154" t="e">
        <f t="shared" si="77"/>
        <v>#VALUE!</v>
      </c>
      <c r="M608">
        <v>4.96</v>
      </c>
      <c r="N608" s="154" t="e">
        <f t="shared" si="78"/>
        <v>#VALUE!</v>
      </c>
      <c r="O608">
        <v>4.96</v>
      </c>
      <c r="P608" s="154" t="e">
        <f t="shared" si="79"/>
        <v>#VALUE!</v>
      </c>
      <c r="Q608">
        <v>4.96</v>
      </c>
      <c r="R608" s="154" t="e">
        <f t="shared" si="80"/>
        <v>#VALUE!</v>
      </c>
      <c r="S608">
        <v>4.96</v>
      </c>
      <c r="T608" s="154" t="e">
        <f t="shared" si="81"/>
        <v>#VALUE!</v>
      </c>
      <c r="U608">
        <v>4.96</v>
      </c>
      <c r="V608" s="154" t="e">
        <f t="shared" si="82"/>
        <v>#VALUE!</v>
      </c>
      <c r="W608">
        <v>4.96</v>
      </c>
      <c r="X608" s="157" t="e">
        <f t="shared" si="83"/>
        <v>#VALUE!</v>
      </c>
      <c r="Y608">
        <v>4.96</v>
      </c>
      <c r="Z608" s="154" t="e">
        <f t="shared" si="84"/>
        <v>#VALUE!</v>
      </c>
      <c r="AA608">
        <v>4.96</v>
      </c>
      <c r="AB608" s="154" t="e">
        <f t="shared" si="85"/>
        <v>#VALUE!</v>
      </c>
      <c r="AC608">
        <v>4.96</v>
      </c>
      <c r="AD608" s="154" t="e">
        <f t="shared" si="86"/>
        <v>#VALUE!</v>
      </c>
      <c r="AE608">
        <v>4.96</v>
      </c>
    </row>
    <row r="609" spans="12:31" ht="15" x14ac:dyDescent="0.2">
      <c r="L609" s="154" t="e">
        <f t="shared" si="77"/>
        <v>#VALUE!</v>
      </c>
      <c r="M609">
        <v>4.97</v>
      </c>
      <c r="N609" s="154" t="e">
        <f t="shared" si="78"/>
        <v>#VALUE!</v>
      </c>
      <c r="O609">
        <v>4.97</v>
      </c>
      <c r="P609" s="154" t="e">
        <f t="shared" si="79"/>
        <v>#VALUE!</v>
      </c>
      <c r="Q609">
        <v>4.97</v>
      </c>
      <c r="R609" s="154" t="e">
        <f t="shared" si="80"/>
        <v>#VALUE!</v>
      </c>
      <c r="S609">
        <v>4.97</v>
      </c>
      <c r="T609" s="154" t="e">
        <f t="shared" si="81"/>
        <v>#VALUE!</v>
      </c>
      <c r="U609">
        <v>4.97</v>
      </c>
      <c r="V609" s="154" t="e">
        <f t="shared" si="82"/>
        <v>#VALUE!</v>
      </c>
      <c r="W609">
        <v>4.97</v>
      </c>
      <c r="X609" s="157" t="e">
        <f t="shared" si="83"/>
        <v>#VALUE!</v>
      </c>
      <c r="Y609">
        <v>4.97</v>
      </c>
      <c r="Z609" s="154" t="e">
        <f t="shared" si="84"/>
        <v>#VALUE!</v>
      </c>
      <c r="AA609">
        <v>4.97</v>
      </c>
      <c r="AB609" s="154" t="e">
        <f t="shared" si="85"/>
        <v>#VALUE!</v>
      </c>
      <c r="AC609">
        <v>4.97</v>
      </c>
      <c r="AD609" s="154" t="e">
        <f t="shared" si="86"/>
        <v>#VALUE!</v>
      </c>
      <c r="AE609">
        <v>4.97</v>
      </c>
    </row>
    <row r="610" spans="12:31" ht="15" x14ac:dyDescent="0.2">
      <c r="L610" s="154" t="e">
        <f t="shared" si="77"/>
        <v>#VALUE!</v>
      </c>
      <c r="M610">
        <v>4.9800000000000004</v>
      </c>
      <c r="N610" s="154" t="e">
        <f t="shared" si="78"/>
        <v>#VALUE!</v>
      </c>
      <c r="O610">
        <v>4.9800000000000004</v>
      </c>
      <c r="P610" s="154" t="e">
        <f t="shared" si="79"/>
        <v>#VALUE!</v>
      </c>
      <c r="Q610">
        <v>4.9800000000000004</v>
      </c>
      <c r="R610" s="154" t="e">
        <f t="shared" si="80"/>
        <v>#VALUE!</v>
      </c>
      <c r="S610">
        <v>4.9800000000000004</v>
      </c>
      <c r="T610" s="154" t="e">
        <f t="shared" si="81"/>
        <v>#VALUE!</v>
      </c>
      <c r="U610">
        <v>4.9800000000000004</v>
      </c>
      <c r="V610" s="154" t="e">
        <f t="shared" si="82"/>
        <v>#VALUE!</v>
      </c>
      <c r="W610">
        <v>4.9800000000000004</v>
      </c>
      <c r="X610" s="157" t="e">
        <f t="shared" si="83"/>
        <v>#VALUE!</v>
      </c>
      <c r="Y610">
        <v>4.9800000000000004</v>
      </c>
      <c r="Z610" s="154" t="e">
        <f t="shared" si="84"/>
        <v>#VALUE!</v>
      </c>
      <c r="AA610">
        <v>4.9800000000000004</v>
      </c>
      <c r="AB610" s="154" t="e">
        <f t="shared" si="85"/>
        <v>#VALUE!</v>
      </c>
      <c r="AC610">
        <v>4.9800000000000004</v>
      </c>
      <c r="AD610" s="154" t="e">
        <f t="shared" si="86"/>
        <v>#VALUE!</v>
      </c>
      <c r="AE610">
        <v>4.9800000000000004</v>
      </c>
    </row>
    <row r="611" spans="12:31" ht="15" x14ac:dyDescent="0.2">
      <c r="L611" s="154" t="e">
        <f t="shared" si="77"/>
        <v>#VALUE!</v>
      </c>
      <c r="M611">
        <v>4.99</v>
      </c>
      <c r="N611" s="154" t="e">
        <f t="shared" si="78"/>
        <v>#VALUE!</v>
      </c>
      <c r="O611">
        <v>4.99</v>
      </c>
      <c r="P611" s="154" t="e">
        <f t="shared" si="79"/>
        <v>#VALUE!</v>
      </c>
      <c r="Q611">
        <v>4.99</v>
      </c>
      <c r="R611" s="154" t="e">
        <f t="shared" si="80"/>
        <v>#VALUE!</v>
      </c>
      <c r="S611">
        <v>4.99</v>
      </c>
      <c r="T611" s="154" t="e">
        <f t="shared" si="81"/>
        <v>#VALUE!</v>
      </c>
      <c r="U611">
        <v>4.99</v>
      </c>
      <c r="V611" s="154" t="e">
        <f t="shared" si="82"/>
        <v>#VALUE!</v>
      </c>
      <c r="W611">
        <v>4.99</v>
      </c>
      <c r="X611" s="157" t="e">
        <f t="shared" si="83"/>
        <v>#VALUE!</v>
      </c>
      <c r="Y611">
        <v>4.99</v>
      </c>
      <c r="Z611" s="154" t="e">
        <f t="shared" si="84"/>
        <v>#VALUE!</v>
      </c>
      <c r="AA611">
        <v>4.99</v>
      </c>
      <c r="AB611" s="154" t="e">
        <f t="shared" si="85"/>
        <v>#VALUE!</v>
      </c>
      <c r="AC611">
        <v>4.99</v>
      </c>
      <c r="AD611" s="154" t="e">
        <f t="shared" si="86"/>
        <v>#VALUE!</v>
      </c>
      <c r="AE611">
        <v>4.99</v>
      </c>
    </row>
    <row r="612" spans="12:31" ht="15" x14ac:dyDescent="0.2">
      <c r="L612" s="154" t="e">
        <f t="shared" si="77"/>
        <v>#VALUE!</v>
      </c>
      <c r="M612">
        <v>5</v>
      </c>
      <c r="N612" s="154" t="e">
        <f t="shared" si="78"/>
        <v>#VALUE!</v>
      </c>
      <c r="O612">
        <v>5</v>
      </c>
      <c r="P612" s="154" t="e">
        <f t="shared" si="79"/>
        <v>#VALUE!</v>
      </c>
      <c r="Q612">
        <v>5</v>
      </c>
      <c r="R612" s="154" t="e">
        <f t="shared" si="80"/>
        <v>#VALUE!</v>
      </c>
      <c r="S612">
        <v>5</v>
      </c>
      <c r="T612" s="154" t="e">
        <f t="shared" si="81"/>
        <v>#VALUE!</v>
      </c>
      <c r="U612">
        <v>5</v>
      </c>
      <c r="V612" s="154" t="e">
        <f t="shared" si="82"/>
        <v>#VALUE!</v>
      </c>
      <c r="W612">
        <v>5</v>
      </c>
      <c r="X612" s="157" t="e">
        <f t="shared" si="83"/>
        <v>#VALUE!</v>
      </c>
      <c r="Y612">
        <v>5</v>
      </c>
      <c r="Z612" s="154" t="e">
        <f t="shared" si="84"/>
        <v>#VALUE!</v>
      </c>
      <c r="AA612">
        <v>5</v>
      </c>
      <c r="AB612" s="154" t="e">
        <f t="shared" si="85"/>
        <v>#VALUE!</v>
      </c>
      <c r="AC612">
        <v>5</v>
      </c>
      <c r="AD612" s="154" t="e">
        <f t="shared" si="86"/>
        <v>#VALUE!</v>
      </c>
      <c r="AE612">
        <v>5</v>
      </c>
    </row>
    <row r="613" spans="12:31" ht="15" x14ac:dyDescent="0.2">
      <c r="L613" s="154" t="e">
        <f t="shared" si="77"/>
        <v>#VALUE!</v>
      </c>
      <c r="M613">
        <v>5.01</v>
      </c>
      <c r="N613" s="154" t="e">
        <f t="shared" si="78"/>
        <v>#VALUE!</v>
      </c>
      <c r="O613">
        <v>5.01</v>
      </c>
      <c r="P613" s="154" t="e">
        <f t="shared" si="79"/>
        <v>#VALUE!</v>
      </c>
      <c r="Q613">
        <v>5.01</v>
      </c>
      <c r="R613" s="154" t="e">
        <f t="shared" si="80"/>
        <v>#VALUE!</v>
      </c>
      <c r="S613">
        <v>5.01</v>
      </c>
      <c r="T613" s="154" t="e">
        <f t="shared" si="81"/>
        <v>#VALUE!</v>
      </c>
      <c r="U613">
        <v>5.01</v>
      </c>
      <c r="V613" s="154" t="e">
        <f t="shared" si="82"/>
        <v>#VALUE!</v>
      </c>
      <c r="W613">
        <v>5.01</v>
      </c>
      <c r="X613" s="157" t="e">
        <f t="shared" si="83"/>
        <v>#VALUE!</v>
      </c>
      <c r="Y613">
        <v>5.01</v>
      </c>
      <c r="Z613" s="154" t="e">
        <f t="shared" si="84"/>
        <v>#VALUE!</v>
      </c>
      <c r="AA613">
        <v>5.01</v>
      </c>
      <c r="AB613" s="154" t="e">
        <f t="shared" si="85"/>
        <v>#VALUE!</v>
      </c>
      <c r="AC613">
        <v>5.01</v>
      </c>
      <c r="AD613" s="154" t="e">
        <f t="shared" si="86"/>
        <v>#VALUE!</v>
      </c>
      <c r="AE613">
        <v>5.01</v>
      </c>
    </row>
    <row r="614" spans="12:31" ht="15" x14ac:dyDescent="0.2">
      <c r="L614" s="154" t="e">
        <f t="shared" si="77"/>
        <v>#VALUE!</v>
      </c>
      <c r="M614">
        <v>5.0199999999999996</v>
      </c>
      <c r="N614" s="154" t="e">
        <f t="shared" si="78"/>
        <v>#VALUE!</v>
      </c>
      <c r="O614">
        <v>5.0199999999999996</v>
      </c>
      <c r="P614" s="154" t="e">
        <f t="shared" si="79"/>
        <v>#VALUE!</v>
      </c>
      <c r="Q614">
        <v>5.0199999999999996</v>
      </c>
      <c r="R614" s="154" t="e">
        <f t="shared" si="80"/>
        <v>#VALUE!</v>
      </c>
      <c r="S614">
        <v>5.0199999999999996</v>
      </c>
      <c r="T614" s="154" t="e">
        <f t="shared" si="81"/>
        <v>#VALUE!</v>
      </c>
      <c r="U614">
        <v>5.0199999999999996</v>
      </c>
      <c r="V614" s="154" t="e">
        <f t="shared" si="82"/>
        <v>#VALUE!</v>
      </c>
      <c r="W614">
        <v>5.0199999999999996</v>
      </c>
      <c r="X614" s="157" t="e">
        <f t="shared" si="83"/>
        <v>#VALUE!</v>
      </c>
      <c r="Y614">
        <v>5.0199999999999996</v>
      </c>
      <c r="Z614" s="154" t="e">
        <f t="shared" si="84"/>
        <v>#VALUE!</v>
      </c>
      <c r="AA614">
        <v>5.0199999999999996</v>
      </c>
      <c r="AB614" s="154" t="e">
        <f t="shared" si="85"/>
        <v>#VALUE!</v>
      </c>
      <c r="AC614">
        <v>5.0199999999999996</v>
      </c>
      <c r="AD614" s="154" t="e">
        <f t="shared" si="86"/>
        <v>#VALUE!</v>
      </c>
      <c r="AE614">
        <v>5.0199999999999996</v>
      </c>
    </row>
    <row r="615" spans="12:31" ht="15" x14ac:dyDescent="0.2">
      <c r="L615" s="154" t="e">
        <f t="shared" si="77"/>
        <v>#VALUE!</v>
      </c>
      <c r="M615">
        <v>5.03</v>
      </c>
      <c r="N615" s="154" t="e">
        <f t="shared" si="78"/>
        <v>#VALUE!</v>
      </c>
      <c r="O615">
        <v>5.03</v>
      </c>
      <c r="P615" s="154" t="e">
        <f t="shared" si="79"/>
        <v>#VALUE!</v>
      </c>
      <c r="Q615">
        <v>5.03</v>
      </c>
      <c r="R615" s="154" t="e">
        <f t="shared" si="80"/>
        <v>#VALUE!</v>
      </c>
      <c r="S615">
        <v>5.03</v>
      </c>
      <c r="T615" s="154" t="e">
        <f t="shared" si="81"/>
        <v>#VALUE!</v>
      </c>
      <c r="U615">
        <v>5.03</v>
      </c>
      <c r="V615" s="154" t="e">
        <f t="shared" si="82"/>
        <v>#VALUE!</v>
      </c>
      <c r="W615">
        <v>5.03</v>
      </c>
      <c r="X615" s="157" t="e">
        <f t="shared" si="83"/>
        <v>#VALUE!</v>
      </c>
      <c r="Y615">
        <v>5.03</v>
      </c>
      <c r="Z615" s="154" t="e">
        <f t="shared" si="84"/>
        <v>#VALUE!</v>
      </c>
      <c r="AA615">
        <v>5.03</v>
      </c>
      <c r="AB615" s="154" t="e">
        <f t="shared" si="85"/>
        <v>#VALUE!</v>
      </c>
      <c r="AC615">
        <v>5.03</v>
      </c>
      <c r="AD615" s="154" t="e">
        <f t="shared" si="86"/>
        <v>#VALUE!</v>
      </c>
      <c r="AE615">
        <v>5.03</v>
      </c>
    </row>
    <row r="616" spans="12:31" ht="15" x14ac:dyDescent="0.2">
      <c r="L616" s="154" t="e">
        <f t="shared" si="77"/>
        <v>#VALUE!</v>
      </c>
      <c r="M616">
        <v>5.04</v>
      </c>
      <c r="N616" s="154" t="e">
        <f t="shared" si="78"/>
        <v>#VALUE!</v>
      </c>
      <c r="O616">
        <v>5.04</v>
      </c>
      <c r="P616" s="154" t="e">
        <f t="shared" si="79"/>
        <v>#VALUE!</v>
      </c>
      <c r="Q616">
        <v>5.04</v>
      </c>
      <c r="R616" s="154" t="e">
        <f t="shared" si="80"/>
        <v>#VALUE!</v>
      </c>
      <c r="S616">
        <v>5.04</v>
      </c>
      <c r="T616" s="154" t="e">
        <f t="shared" si="81"/>
        <v>#VALUE!</v>
      </c>
      <c r="U616">
        <v>5.04</v>
      </c>
      <c r="V616" s="154" t="e">
        <f t="shared" si="82"/>
        <v>#VALUE!</v>
      </c>
      <c r="W616">
        <v>5.04</v>
      </c>
      <c r="X616" s="157" t="e">
        <f t="shared" si="83"/>
        <v>#VALUE!</v>
      </c>
      <c r="Y616">
        <v>5.04</v>
      </c>
      <c r="Z616" s="154" t="e">
        <f t="shared" si="84"/>
        <v>#VALUE!</v>
      </c>
      <c r="AA616">
        <v>5.04</v>
      </c>
      <c r="AB616" s="154" t="e">
        <f t="shared" si="85"/>
        <v>#VALUE!</v>
      </c>
      <c r="AC616">
        <v>5.04</v>
      </c>
      <c r="AD616" s="154" t="e">
        <f t="shared" si="86"/>
        <v>#VALUE!</v>
      </c>
      <c r="AE616">
        <v>5.04</v>
      </c>
    </row>
    <row r="617" spans="12:31" ht="15" x14ac:dyDescent="0.2">
      <c r="L617" s="154" t="e">
        <f t="shared" si="77"/>
        <v>#VALUE!</v>
      </c>
      <c r="M617">
        <v>5.05</v>
      </c>
      <c r="N617" s="154" t="e">
        <f t="shared" si="78"/>
        <v>#VALUE!</v>
      </c>
      <c r="O617">
        <v>5.05</v>
      </c>
      <c r="P617" s="154" t="e">
        <f t="shared" si="79"/>
        <v>#VALUE!</v>
      </c>
      <c r="Q617">
        <v>5.05</v>
      </c>
      <c r="R617" s="154" t="e">
        <f t="shared" si="80"/>
        <v>#VALUE!</v>
      </c>
      <c r="S617">
        <v>5.05</v>
      </c>
      <c r="T617" s="154" t="e">
        <f t="shared" si="81"/>
        <v>#VALUE!</v>
      </c>
      <c r="U617">
        <v>5.05</v>
      </c>
      <c r="V617" s="154" t="e">
        <f t="shared" si="82"/>
        <v>#VALUE!</v>
      </c>
      <c r="W617">
        <v>5.05</v>
      </c>
      <c r="X617" s="157" t="e">
        <f t="shared" si="83"/>
        <v>#VALUE!</v>
      </c>
      <c r="Y617">
        <v>5.05</v>
      </c>
      <c r="Z617" s="154" t="e">
        <f t="shared" si="84"/>
        <v>#VALUE!</v>
      </c>
      <c r="AA617">
        <v>5.05</v>
      </c>
      <c r="AB617" s="154" t="e">
        <f t="shared" si="85"/>
        <v>#VALUE!</v>
      </c>
      <c r="AC617">
        <v>5.05</v>
      </c>
      <c r="AD617" s="154" t="e">
        <f t="shared" si="86"/>
        <v>#VALUE!</v>
      </c>
      <c r="AE617">
        <v>5.05</v>
      </c>
    </row>
    <row r="618" spans="12:31" ht="15" x14ac:dyDescent="0.2">
      <c r="L618" s="154" t="e">
        <f t="shared" si="77"/>
        <v>#VALUE!</v>
      </c>
      <c r="M618">
        <v>5.0599999999999996</v>
      </c>
      <c r="N618" s="154" t="e">
        <f t="shared" si="78"/>
        <v>#VALUE!</v>
      </c>
      <c r="O618">
        <v>5.0599999999999996</v>
      </c>
      <c r="P618" s="154" t="e">
        <f t="shared" si="79"/>
        <v>#VALUE!</v>
      </c>
      <c r="Q618">
        <v>5.0599999999999996</v>
      </c>
      <c r="R618" s="154" t="e">
        <f t="shared" si="80"/>
        <v>#VALUE!</v>
      </c>
      <c r="S618">
        <v>5.0599999999999996</v>
      </c>
      <c r="T618" s="154" t="e">
        <f t="shared" si="81"/>
        <v>#VALUE!</v>
      </c>
      <c r="U618">
        <v>5.0599999999999996</v>
      </c>
      <c r="V618" s="154" t="e">
        <f t="shared" si="82"/>
        <v>#VALUE!</v>
      </c>
      <c r="W618">
        <v>5.0599999999999996</v>
      </c>
      <c r="X618" s="157" t="e">
        <f t="shared" si="83"/>
        <v>#VALUE!</v>
      </c>
      <c r="Y618">
        <v>5.0599999999999996</v>
      </c>
      <c r="Z618" s="154" t="e">
        <f t="shared" si="84"/>
        <v>#VALUE!</v>
      </c>
      <c r="AA618">
        <v>5.0599999999999996</v>
      </c>
      <c r="AB618" s="154" t="e">
        <f t="shared" si="85"/>
        <v>#VALUE!</v>
      </c>
      <c r="AC618">
        <v>5.0599999999999996</v>
      </c>
      <c r="AD618" s="154" t="e">
        <f t="shared" si="86"/>
        <v>#VALUE!</v>
      </c>
      <c r="AE618">
        <v>5.0599999999999996</v>
      </c>
    </row>
    <row r="619" spans="12:31" ht="15" x14ac:dyDescent="0.2">
      <c r="L619" s="154" t="e">
        <f t="shared" si="77"/>
        <v>#VALUE!</v>
      </c>
      <c r="M619">
        <v>5.07</v>
      </c>
      <c r="N619" s="154" t="e">
        <f t="shared" si="78"/>
        <v>#VALUE!</v>
      </c>
      <c r="O619">
        <v>5.07</v>
      </c>
      <c r="P619" s="154" t="e">
        <f t="shared" si="79"/>
        <v>#VALUE!</v>
      </c>
      <c r="Q619">
        <v>5.07</v>
      </c>
      <c r="R619" s="154" t="e">
        <f t="shared" si="80"/>
        <v>#VALUE!</v>
      </c>
      <c r="S619">
        <v>5.07</v>
      </c>
      <c r="T619" s="154" t="e">
        <f t="shared" si="81"/>
        <v>#VALUE!</v>
      </c>
      <c r="U619">
        <v>5.07</v>
      </c>
      <c r="V619" s="154" t="e">
        <f t="shared" si="82"/>
        <v>#VALUE!</v>
      </c>
      <c r="W619">
        <v>5.07</v>
      </c>
      <c r="X619" s="157" t="e">
        <f t="shared" si="83"/>
        <v>#VALUE!</v>
      </c>
      <c r="Y619">
        <v>5.07</v>
      </c>
      <c r="Z619" s="154" t="e">
        <f t="shared" si="84"/>
        <v>#VALUE!</v>
      </c>
      <c r="AA619">
        <v>5.07</v>
      </c>
      <c r="AB619" s="154" t="e">
        <f t="shared" si="85"/>
        <v>#VALUE!</v>
      </c>
      <c r="AC619">
        <v>5.07</v>
      </c>
      <c r="AD619" s="154" t="e">
        <f t="shared" si="86"/>
        <v>#VALUE!</v>
      </c>
      <c r="AE619">
        <v>5.07</v>
      </c>
    </row>
    <row r="620" spans="12:31" ht="15" x14ac:dyDescent="0.2">
      <c r="L620" s="154" t="e">
        <f t="shared" si="77"/>
        <v>#VALUE!</v>
      </c>
      <c r="M620">
        <v>5.08</v>
      </c>
      <c r="N620" s="154" t="e">
        <f t="shared" si="78"/>
        <v>#VALUE!</v>
      </c>
      <c r="O620">
        <v>5.08</v>
      </c>
      <c r="P620" s="154" t="e">
        <f t="shared" si="79"/>
        <v>#VALUE!</v>
      </c>
      <c r="Q620">
        <v>5.08</v>
      </c>
      <c r="R620" s="154" t="e">
        <f t="shared" si="80"/>
        <v>#VALUE!</v>
      </c>
      <c r="S620">
        <v>5.08</v>
      </c>
      <c r="T620" s="154" t="e">
        <f t="shared" si="81"/>
        <v>#VALUE!</v>
      </c>
      <c r="U620">
        <v>5.08</v>
      </c>
      <c r="V620" s="154" t="e">
        <f t="shared" si="82"/>
        <v>#VALUE!</v>
      </c>
      <c r="W620">
        <v>5.08</v>
      </c>
      <c r="X620" s="157" t="e">
        <f t="shared" si="83"/>
        <v>#VALUE!</v>
      </c>
      <c r="Y620">
        <v>5.08</v>
      </c>
      <c r="Z620" s="154" t="e">
        <f t="shared" si="84"/>
        <v>#VALUE!</v>
      </c>
      <c r="AA620">
        <v>5.08</v>
      </c>
      <c r="AB620" s="154" t="e">
        <f t="shared" si="85"/>
        <v>#VALUE!</v>
      </c>
      <c r="AC620">
        <v>5.08</v>
      </c>
      <c r="AD620" s="154" t="e">
        <f t="shared" si="86"/>
        <v>#VALUE!</v>
      </c>
      <c r="AE620">
        <v>5.08</v>
      </c>
    </row>
    <row r="621" spans="12:31" ht="15" x14ac:dyDescent="0.2">
      <c r="L621" s="154" t="e">
        <f t="shared" si="77"/>
        <v>#VALUE!</v>
      </c>
      <c r="M621">
        <v>5.09</v>
      </c>
      <c r="N621" s="154" t="e">
        <f t="shared" si="78"/>
        <v>#VALUE!</v>
      </c>
      <c r="O621">
        <v>5.09</v>
      </c>
      <c r="P621" s="154" t="e">
        <f t="shared" si="79"/>
        <v>#VALUE!</v>
      </c>
      <c r="Q621">
        <v>5.09</v>
      </c>
      <c r="R621" s="154" t="e">
        <f t="shared" si="80"/>
        <v>#VALUE!</v>
      </c>
      <c r="S621">
        <v>5.09</v>
      </c>
      <c r="T621" s="154" t="e">
        <f t="shared" si="81"/>
        <v>#VALUE!</v>
      </c>
      <c r="U621">
        <v>5.09</v>
      </c>
      <c r="V621" s="154" t="e">
        <f t="shared" si="82"/>
        <v>#VALUE!</v>
      </c>
      <c r="W621">
        <v>5.09</v>
      </c>
      <c r="X621" s="157" t="e">
        <f t="shared" si="83"/>
        <v>#VALUE!</v>
      </c>
      <c r="Y621">
        <v>5.09</v>
      </c>
      <c r="Z621" s="154" t="e">
        <f t="shared" si="84"/>
        <v>#VALUE!</v>
      </c>
      <c r="AA621">
        <v>5.09</v>
      </c>
      <c r="AB621" s="154" t="e">
        <f t="shared" si="85"/>
        <v>#VALUE!</v>
      </c>
      <c r="AC621">
        <v>5.09</v>
      </c>
      <c r="AD621" s="154" t="e">
        <f t="shared" si="86"/>
        <v>#VALUE!</v>
      </c>
      <c r="AE621">
        <v>5.09</v>
      </c>
    </row>
    <row r="622" spans="12:31" ht="15" x14ac:dyDescent="0.2">
      <c r="L622" s="154" t="e">
        <f t="shared" si="77"/>
        <v>#VALUE!</v>
      </c>
      <c r="M622">
        <v>5.0999999999999996</v>
      </c>
      <c r="N622" s="154" t="e">
        <f t="shared" si="78"/>
        <v>#VALUE!</v>
      </c>
      <c r="O622">
        <v>5.0999999999999996</v>
      </c>
      <c r="P622" s="154" t="e">
        <f t="shared" si="79"/>
        <v>#VALUE!</v>
      </c>
      <c r="Q622">
        <v>5.0999999999999996</v>
      </c>
      <c r="R622" s="154" t="e">
        <f t="shared" si="80"/>
        <v>#VALUE!</v>
      </c>
      <c r="S622">
        <v>5.0999999999999996</v>
      </c>
      <c r="T622" s="154" t="e">
        <f t="shared" si="81"/>
        <v>#VALUE!</v>
      </c>
      <c r="U622">
        <v>5.0999999999999996</v>
      </c>
      <c r="V622" s="154" t="e">
        <f t="shared" si="82"/>
        <v>#VALUE!</v>
      </c>
      <c r="W622">
        <v>5.0999999999999996</v>
      </c>
      <c r="X622" s="157" t="e">
        <f t="shared" si="83"/>
        <v>#VALUE!</v>
      </c>
      <c r="Y622">
        <v>5.0999999999999996</v>
      </c>
      <c r="Z622" s="154" t="e">
        <f t="shared" si="84"/>
        <v>#VALUE!</v>
      </c>
      <c r="AA622">
        <v>5.0999999999999996</v>
      </c>
      <c r="AB622" s="154" t="e">
        <f t="shared" si="85"/>
        <v>#VALUE!</v>
      </c>
      <c r="AC622">
        <v>5.0999999999999996</v>
      </c>
      <c r="AD622" s="154" t="e">
        <f t="shared" si="86"/>
        <v>#VALUE!</v>
      </c>
      <c r="AE622">
        <v>5.0999999999999996</v>
      </c>
    </row>
    <row r="623" spans="12:31" ht="15" x14ac:dyDescent="0.2">
      <c r="L623" s="154" t="e">
        <f t="shared" si="77"/>
        <v>#VALUE!</v>
      </c>
      <c r="M623">
        <v>5.1100000000000003</v>
      </c>
      <c r="N623" s="154" t="e">
        <f t="shared" si="78"/>
        <v>#VALUE!</v>
      </c>
      <c r="O623">
        <v>5.1100000000000003</v>
      </c>
      <c r="P623" s="154" t="e">
        <f t="shared" si="79"/>
        <v>#VALUE!</v>
      </c>
      <c r="Q623">
        <v>5.1100000000000003</v>
      </c>
      <c r="R623" s="154" t="e">
        <f t="shared" si="80"/>
        <v>#VALUE!</v>
      </c>
      <c r="S623">
        <v>5.1100000000000003</v>
      </c>
      <c r="T623" s="154" t="e">
        <f t="shared" si="81"/>
        <v>#VALUE!</v>
      </c>
      <c r="U623">
        <v>5.1100000000000003</v>
      </c>
      <c r="V623" s="154" t="e">
        <f t="shared" si="82"/>
        <v>#VALUE!</v>
      </c>
      <c r="W623">
        <v>5.1100000000000003</v>
      </c>
      <c r="X623" s="157" t="e">
        <f t="shared" si="83"/>
        <v>#VALUE!</v>
      </c>
      <c r="Y623">
        <v>5.1100000000000003</v>
      </c>
      <c r="Z623" s="154" t="e">
        <f t="shared" si="84"/>
        <v>#VALUE!</v>
      </c>
      <c r="AA623">
        <v>5.1100000000000003</v>
      </c>
      <c r="AB623" s="154" t="e">
        <f t="shared" si="85"/>
        <v>#VALUE!</v>
      </c>
      <c r="AC623">
        <v>5.1100000000000003</v>
      </c>
      <c r="AD623" s="154" t="e">
        <f t="shared" si="86"/>
        <v>#VALUE!</v>
      </c>
      <c r="AE623">
        <v>5.1100000000000003</v>
      </c>
    </row>
    <row r="624" spans="12:31" ht="15" x14ac:dyDescent="0.2">
      <c r="L624" s="154" t="e">
        <f t="shared" si="77"/>
        <v>#VALUE!</v>
      </c>
      <c r="M624">
        <v>5.12</v>
      </c>
      <c r="N624" s="154" t="e">
        <f t="shared" si="78"/>
        <v>#VALUE!</v>
      </c>
      <c r="O624">
        <v>5.12</v>
      </c>
      <c r="P624" s="154" t="e">
        <f t="shared" si="79"/>
        <v>#VALUE!</v>
      </c>
      <c r="Q624">
        <v>5.12</v>
      </c>
      <c r="R624" s="154" t="e">
        <f t="shared" si="80"/>
        <v>#VALUE!</v>
      </c>
      <c r="S624">
        <v>5.12</v>
      </c>
      <c r="T624" s="154" t="e">
        <f t="shared" si="81"/>
        <v>#VALUE!</v>
      </c>
      <c r="U624">
        <v>5.12</v>
      </c>
      <c r="V624" s="154" t="e">
        <f t="shared" si="82"/>
        <v>#VALUE!</v>
      </c>
      <c r="W624">
        <v>5.12</v>
      </c>
      <c r="X624" s="157" t="e">
        <f t="shared" si="83"/>
        <v>#VALUE!</v>
      </c>
      <c r="Y624">
        <v>5.12</v>
      </c>
      <c r="Z624" s="154" t="e">
        <f t="shared" si="84"/>
        <v>#VALUE!</v>
      </c>
      <c r="AA624">
        <v>5.12</v>
      </c>
      <c r="AB624" s="154" t="e">
        <f t="shared" si="85"/>
        <v>#VALUE!</v>
      </c>
      <c r="AC624">
        <v>5.12</v>
      </c>
      <c r="AD624" s="154" t="e">
        <f t="shared" si="86"/>
        <v>#VALUE!</v>
      </c>
      <c r="AE624">
        <v>5.12</v>
      </c>
    </row>
    <row r="625" spans="12:31" ht="15" x14ac:dyDescent="0.2">
      <c r="L625" s="154" t="e">
        <f t="shared" ref="L625:L688" si="87">((1.486/$D$33)*((((PI()*($D$46/12)^2)/4)-((($D$46/12)/2)^2*((2*ACOS(((($D$46/12)/2)-(($D$46/12)-(M625/12)))/(($D$46/12)/2)))-SIN(2*ACOS(((($D$46/12)/2)-(($D$46/12)-(M625/12)))/(($D$46/12)/2))))/2))/((PI()*($D$46/12))-((2*ACOS(((($D$46/12)/2)-(($D$46/12)-(M625/12)))/(($D$46/12)/2)))*(($D$46/12)/2))))^(2/3)*$H$17^0.5)*(((PI()*($D$46/12)^2)/4)-((($D$46/12)/2)^2*((2*ACOS(((($D$46/12)/2)-(($D$46/12)-(M625/12)))/(($D$46/12)/2)))-SIN(2*ACOS(((($D$46/12)/2)-(($D$46/12)-(M625/12)))/(($D$46/12)/2))))/2))</f>
        <v>#VALUE!</v>
      </c>
      <c r="M625">
        <v>5.13</v>
      </c>
      <c r="N625" s="154" t="e">
        <f t="shared" ref="N625:N688" si="88">((1.486/$D$34)*((((PI()*($D$47/12)^2)/4)-((($D$47/12)/2)^2*((2*ACOS(((($D$47/12)/2)-(($D$47/12)-(O625/12)))/(($D$47/12)/2)))-SIN(2*ACOS(((($D$47/12)/2)-(($D$47/12)-(O625/12)))/(($D$47/12)/2))))/2))/((PI()*($D$47/12))-((2*ACOS(((($D$47/12)/2)-(($D$47/12)-(O625/12)))/(($D$47/12)/2)))*(($D$47/12)/2))))^(2/3)*$H$18^0.5)*(((PI()*($D$47/12)^2)/4)-((($D$47/12)/2)^2*((2*ACOS(((($D$47/12)/2)-(($D$47/12)-(O625/12)))/(($D$47/12)/2)))-SIN(2*ACOS(((($D$47/12)/2)-(($D$47/12)-(O625/12)))/(($D$47/12)/2))))/2))</f>
        <v>#VALUE!</v>
      </c>
      <c r="O625">
        <v>5.13</v>
      </c>
      <c r="P625" s="154" t="e">
        <f t="shared" ref="P625:P688" si="89">((1.486/$D$35)*((((PI()*($D$48/12)^2)/4)-((($D$48/12)/2)^2*((2*ACOS(((($D$48/12)/2)-(($D$48/12)-(Q625/12)))/(($D$48/12)/2)))-SIN(2*ACOS(((($D$48/12)/2)-(($D$48/12)-(Q625/12)))/(($D$48/12)/2))))/2))/((PI()*($D$48/12))-((2*ACOS(((($D$48/12)/2)-(($D$48/12)-(Q625/12)))/(($D$48/12)/2)))*(($D$48/12)/2))))^(2/3)*$H$19^0.5)*(((PI()*($D$48/12)^2)/4)-((($D$48/12)/2)^2*((2*ACOS(((($D$48/12)/2)-(($D$48/12)-(Q625/12)))/(($D$48/12)/2)))-SIN(2*ACOS(((($D$48/12)/2)-(($D$48/12)-(Q625/12)))/(($D$48/12)/2))))/2))</f>
        <v>#VALUE!</v>
      </c>
      <c r="Q625">
        <v>5.13</v>
      </c>
      <c r="R625" s="154" t="e">
        <f t="shared" ref="R625:R688" si="90">((1.486/$D$36)*((((PI()*($D$49/12)^2)/4)-((($D$49/12)/2)^2*((2*ACOS(((($D$49/12)/2)-(($D$49/12)-(S625/12)))/(($D$49/12)/2)))-SIN(2*ACOS(((($D$49/12)/2)-(($D$49/12)-(S625/12)))/(($D$49/12)/2))))/2))/((PI()*($D$49/12))-((2*ACOS(((($D$49/12)/2)-(($D$49/12)-(S625/12)))/(($D$49/12)/2)))*(($D$49/12)/2))))^(2/3)*$H$20^0.5)*(((PI()*($D$49/12)^2)/4)-((($D$49/12)/2)^2*((2*ACOS(((($D$49/12)/2)-(($D$49/12)-(S625/12)))/(($D$49/12)/2)))-SIN(2*ACOS(((($D$49/12)/2)-(($D$49/12)-(S625/12)))/(($D$49/12)/2))))/2))</f>
        <v>#VALUE!</v>
      </c>
      <c r="S625">
        <v>5.13</v>
      </c>
      <c r="T625" s="154" t="e">
        <f t="shared" ref="T625:T688" si="91">((1.486/$D$37)*((((PI()*($D$50/12)^2)/4)-((($D$50/12)/2)^2*((2*ACOS(((($D$50/12)/2)-(($D$50/12)-(U625/12)))/(($D$50/12)/2)))-SIN(2*ACOS(((($D$50/12)/2)-(($D$50/12)-(U625/12)))/(($D$50/12)/2))))/2))/((PI()*($D$50/12))-((2*ACOS(((($D$50/12)/2)-(($D$50/12)-(U625/12)))/(($D$50/12)/2)))*(($D$50/12)/2))))^(2/3)*$H$21^0.5)*(((PI()*($D$50/12)^2)/4)-((($D$50/12)/2)^2*((2*ACOS(((($D$50/12)/2)-(($D$50/12)-(U625/12)))/(($D$50/12)/2)))-SIN(2*ACOS(((($D$50/12)/2)-(($D$50/12)-(U625/12)))/(($D$50/12)/2))))/2))</f>
        <v>#VALUE!</v>
      </c>
      <c r="U625">
        <v>5.13</v>
      </c>
      <c r="V625" s="154" t="e">
        <f t="shared" ref="V625:V688" si="92">((1.486/$D$38)*((((PI()*($D$51/12)^2)/4)-((($D$51/12)/2)^2*((2*ACOS(((($D$51/12)/2)-(($D$51/12)-(W625/12)))/(($D$51/12)/2)))-SIN(2*ACOS(((($D$51/12)/2)-(($D$51/12)-(W625/12)))/(($D$51/12)/2))))/2))/((PI()*($D$51/12))-((2*ACOS(((($D$51/12)/2)-(($D$51/12)-(W625/12)))/(($D$51/12)/2)))*(($D$51/12)/2))))^(2/3)*$H$22^0.5)*(((PI()*($D$51/12)^2)/4)-((($D$51/12)/2)^2*((2*ACOS(((($D$51/12)/2)-(($D$51/12)-(W625/12)))/(($D$51/12)/2)))-SIN(2*ACOS(((($D$51/12)/2)-(($D$51/12)-(W625/12)))/(($D$51/12)/2))))/2))</f>
        <v>#VALUE!</v>
      </c>
      <c r="W625">
        <v>5.13</v>
      </c>
      <c r="X625" s="157" t="e">
        <f t="shared" ref="X625:X688" si="93">((1.486/$D$39)*((((PI()*($D$52/12)^2)/4)-((($D$52/12)/2)^2*((2*ACOS(((($D$52/12)/2)-(($D$52/12)-(Y625/12)))/(($D$52/12)/2)))-SIN(2*ACOS(((($D$52/12)/2)-(($D$52/12)-(Y625/12)))/(($D$52/12)/2))))/2))/((PI()*($D$52/12))-((2*ACOS(((($D$52/12)/2)-(($D$52/12)-(Y625/12)))/(($D$52/12)/2)))*(($D$52/12)/2))))^(2/3)*$H$23^0.5)*(((PI()*($D$52/12)^2)/4)-((($D$52/12)/2)^2*((2*ACOS(((($D$52/12)/2)-(($D$52/12)-(Y625/12)))/(($D$52/12)/2)))-SIN(2*ACOS(((($D$52/12)/2)-(($D$52/12)-(Y625/12)))/(($D$52/12)/2))))/2))</f>
        <v>#VALUE!</v>
      </c>
      <c r="Y625">
        <v>5.13</v>
      </c>
      <c r="Z625" s="154" t="e">
        <f t="shared" ref="Z625:Z688" si="94">((1.486/$D$40)*((((PI()*($D$53/12)^2)/4)-((($D$53/12)/2)^2*((2*ACOS(((($D$53/12)/2)-(($D$53/12)-(AA625/12)))/(($D$53/12)/2)))-SIN(2*ACOS(((($D$53/12)/2)-(($D$53/12)-(AA625/12)))/(($D$53/12)/2))))/2))/((PI()*($D$53/12))-((2*ACOS(((($D$53/12)/2)-(($D$53/12)-(AA625/12)))/(($D$53/12)/2)))*(($D$53/12)/2))))^(2/3)*$H$24^0.5)*(((PI()*($D$53/12)^2)/4)-((($D$53/12)/2)^2*((2*ACOS(((($D$53/12)/2)-(($D$53/12)-(AA625/12)))/(($D$53/12)/2)))-SIN(2*ACOS(((($D$53/12)/2)-(($D$53/12)-(AA625/12)))/(($D$53/12)/2))))/2))</f>
        <v>#VALUE!</v>
      </c>
      <c r="AA625">
        <v>5.13</v>
      </c>
      <c r="AB625" s="154" t="e">
        <f t="shared" ref="AB625:AB688" si="95">((1.486/$D$41)*((((PI()*($D$54/12)^2)/4)-((($D$54/12)/2)^2*((2*ACOS(((($D$54/12)/2)-(($D$54/12)-(AC625/12)))/(($D$54/12)/2)))-SIN(2*ACOS(((($D$54/12)/2)-(($D$54/12)-(AC625/12)))/(($D$54/12)/2))))/2))/((PI()*($D$54/12))-((2*ACOS(((($D$54/12)/2)-(($D$54/12)-(AC625/12)))/(($D$54/12)/2)))*(($D$54/12)/2))))^(2/3)*$H$25^0.5)*(((PI()*($D$54/12)^2)/4)-((($D$54/12)/2)^2*((2*ACOS(((($D$54/12)/2)-(($D$54/12)-(AC625/12)))/(($D$54/12)/2)))-SIN(2*ACOS(((($D$54/12)/2)-(($D$54/12)-(AC625/12)))/(($D$54/12)/2))))/2))</f>
        <v>#VALUE!</v>
      </c>
      <c r="AC625">
        <v>5.13</v>
      </c>
      <c r="AD625" s="154" t="e">
        <f t="shared" ref="AD625:AD688" si="96">((1.486/$D$42)*((((PI()*($D$55/12)^2)/4)-((($D$55/12)/2)^2*((2*ACOS(((($D$55/12)/2)-(($D$55/12)-(AE625/12)))/(($D$55/12)/2)))-SIN(2*ACOS(((($D$55/12)/2)-(($D$55/12)-(AE625/12)))/(($D$55/12)/2))))/2))/((PI()*($D$55/12))-((2*ACOS(((($D$55/12)/2)-(($D$55/12)-(AE625/12)))/(($D$55/12)/2)))*(($D$55/12)/2))))^(2/3)*$H$26^0.5)*(((PI()*($D$55/12)^2)/4)-((($D$55/12)/2)^2*((2*ACOS(((($D$55/12)/2)-(($D$55/12)-(AE625/12)))/(($D$55/12)/2)))-SIN(2*ACOS(((($D$55/12)/2)-(($D$55/12)-(AE625/12)))/(($D$55/12)/2))))/2))</f>
        <v>#VALUE!</v>
      </c>
      <c r="AE625">
        <v>5.13</v>
      </c>
    </row>
    <row r="626" spans="12:31" ht="15" x14ac:dyDescent="0.2">
      <c r="L626" s="154" t="e">
        <f t="shared" si="87"/>
        <v>#VALUE!</v>
      </c>
      <c r="M626">
        <v>5.14</v>
      </c>
      <c r="N626" s="154" t="e">
        <f t="shared" si="88"/>
        <v>#VALUE!</v>
      </c>
      <c r="O626">
        <v>5.14</v>
      </c>
      <c r="P626" s="154" t="e">
        <f t="shared" si="89"/>
        <v>#VALUE!</v>
      </c>
      <c r="Q626">
        <v>5.14</v>
      </c>
      <c r="R626" s="154" t="e">
        <f t="shared" si="90"/>
        <v>#VALUE!</v>
      </c>
      <c r="S626">
        <v>5.14</v>
      </c>
      <c r="T626" s="154" t="e">
        <f t="shared" si="91"/>
        <v>#VALUE!</v>
      </c>
      <c r="U626">
        <v>5.14</v>
      </c>
      <c r="V626" s="154" t="e">
        <f t="shared" si="92"/>
        <v>#VALUE!</v>
      </c>
      <c r="W626">
        <v>5.14</v>
      </c>
      <c r="X626" s="157" t="e">
        <f t="shared" si="93"/>
        <v>#VALUE!</v>
      </c>
      <c r="Y626">
        <v>5.14</v>
      </c>
      <c r="Z626" s="154" t="e">
        <f t="shared" si="94"/>
        <v>#VALUE!</v>
      </c>
      <c r="AA626">
        <v>5.14</v>
      </c>
      <c r="AB626" s="154" t="e">
        <f t="shared" si="95"/>
        <v>#VALUE!</v>
      </c>
      <c r="AC626">
        <v>5.14</v>
      </c>
      <c r="AD626" s="154" t="e">
        <f t="shared" si="96"/>
        <v>#VALUE!</v>
      </c>
      <c r="AE626">
        <v>5.14</v>
      </c>
    </row>
    <row r="627" spans="12:31" ht="15" x14ac:dyDescent="0.2">
      <c r="L627" s="154" t="e">
        <f t="shared" si="87"/>
        <v>#VALUE!</v>
      </c>
      <c r="M627">
        <v>5.15</v>
      </c>
      <c r="N627" s="154" t="e">
        <f t="shared" si="88"/>
        <v>#VALUE!</v>
      </c>
      <c r="O627">
        <v>5.15</v>
      </c>
      <c r="P627" s="154" t="e">
        <f t="shared" si="89"/>
        <v>#VALUE!</v>
      </c>
      <c r="Q627">
        <v>5.15</v>
      </c>
      <c r="R627" s="154" t="e">
        <f t="shared" si="90"/>
        <v>#VALUE!</v>
      </c>
      <c r="S627">
        <v>5.15</v>
      </c>
      <c r="T627" s="154" t="e">
        <f t="shared" si="91"/>
        <v>#VALUE!</v>
      </c>
      <c r="U627">
        <v>5.15</v>
      </c>
      <c r="V627" s="154" t="e">
        <f t="shared" si="92"/>
        <v>#VALUE!</v>
      </c>
      <c r="W627">
        <v>5.15</v>
      </c>
      <c r="X627" s="157" t="e">
        <f t="shared" si="93"/>
        <v>#VALUE!</v>
      </c>
      <c r="Y627">
        <v>5.15</v>
      </c>
      <c r="Z627" s="154" t="e">
        <f t="shared" si="94"/>
        <v>#VALUE!</v>
      </c>
      <c r="AA627">
        <v>5.15</v>
      </c>
      <c r="AB627" s="154" t="e">
        <f t="shared" si="95"/>
        <v>#VALUE!</v>
      </c>
      <c r="AC627">
        <v>5.15</v>
      </c>
      <c r="AD627" s="154" t="e">
        <f t="shared" si="96"/>
        <v>#VALUE!</v>
      </c>
      <c r="AE627">
        <v>5.15</v>
      </c>
    </row>
    <row r="628" spans="12:31" ht="15" x14ac:dyDescent="0.2">
      <c r="L628" s="154" t="e">
        <f t="shared" si="87"/>
        <v>#VALUE!</v>
      </c>
      <c r="M628">
        <v>5.16</v>
      </c>
      <c r="N628" s="154" t="e">
        <f t="shared" si="88"/>
        <v>#VALUE!</v>
      </c>
      <c r="O628">
        <v>5.16</v>
      </c>
      <c r="P628" s="154" t="e">
        <f t="shared" si="89"/>
        <v>#VALUE!</v>
      </c>
      <c r="Q628">
        <v>5.16</v>
      </c>
      <c r="R628" s="154" t="e">
        <f t="shared" si="90"/>
        <v>#VALUE!</v>
      </c>
      <c r="S628">
        <v>5.16</v>
      </c>
      <c r="T628" s="154" t="e">
        <f t="shared" si="91"/>
        <v>#VALUE!</v>
      </c>
      <c r="U628">
        <v>5.16</v>
      </c>
      <c r="V628" s="154" t="e">
        <f t="shared" si="92"/>
        <v>#VALUE!</v>
      </c>
      <c r="W628">
        <v>5.16</v>
      </c>
      <c r="X628" s="157" t="e">
        <f t="shared" si="93"/>
        <v>#VALUE!</v>
      </c>
      <c r="Y628">
        <v>5.16</v>
      </c>
      <c r="Z628" s="154" t="e">
        <f t="shared" si="94"/>
        <v>#VALUE!</v>
      </c>
      <c r="AA628">
        <v>5.16</v>
      </c>
      <c r="AB628" s="154" t="e">
        <f t="shared" si="95"/>
        <v>#VALUE!</v>
      </c>
      <c r="AC628">
        <v>5.16</v>
      </c>
      <c r="AD628" s="154" t="e">
        <f t="shared" si="96"/>
        <v>#VALUE!</v>
      </c>
      <c r="AE628">
        <v>5.16</v>
      </c>
    </row>
    <row r="629" spans="12:31" ht="15" x14ac:dyDescent="0.2">
      <c r="L629" s="154" t="e">
        <f t="shared" si="87"/>
        <v>#VALUE!</v>
      </c>
      <c r="M629">
        <v>5.17</v>
      </c>
      <c r="N629" s="154" t="e">
        <f t="shared" si="88"/>
        <v>#VALUE!</v>
      </c>
      <c r="O629">
        <v>5.17</v>
      </c>
      <c r="P629" s="154" t="e">
        <f t="shared" si="89"/>
        <v>#VALUE!</v>
      </c>
      <c r="Q629">
        <v>5.17</v>
      </c>
      <c r="R629" s="154" t="e">
        <f t="shared" si="90"/>
        <v>#VALUE!</v>
      </c>
      <c r="S629">
        <v>5.17</v>
      </c>
      <c r="T629" s="154" t="e">
        <f t="shared" si="91"/>
        <v>#VALUE!</v>
      </c>
      <c r="U629">
        <v>5.17</v>
      </c>
      <c r="V629" s="154" t="e">
        <f t="shared" si="92"/>
        <v>#VALUE!</v>
      </c>
      <c r="W629">
        <v>5.17</v>
      </c>
      <c r="X629" s="157" t="e">
        <f t="shared" si="93"/>
        <v>#VALUE!</v>
      </c>
      <c r="Y629">
        <v>5.17</v>
      </c>
      <c r="Z629" s="154" t="e">
        <f t="shared" si="94"/>
        <v>#VALUE!</v>
      </c>
      <c r="AA629">
        <v>5.17</v>
      </c>
      <c r="AB629" s="154" t="e">
        <f t="shared" si="95"/>
        <v>#VALUE!</v>
      </c>
      <c r="AC629">
        <v>5.17</v>
      </c>
      <c r="AD629" s="154" t="e">
        <f t="shared" si="96"/>
        <v>#VALUE!</v>
      </c>
      <c r="AE629">
        <v>5.17</v>
      </c>
    </row>
    <row r="630" spans="12:31" ht="15" x14ac:dyDescent="0.2">
      <c r="L630" s="154" t="e">
        <f t="shared" si="87"/>
        <v>#VALUE!</v>
      </c>
      <c r="M630">
        <v>5.18</v>
      </c>
      <c r="N630" s="154" t="e">
        <f t="shared" si="88"/>
        <v>#VALUE!</v>
      </c>
      <c r="O630">
        <v>5.18</v>
      </c>
      <c r="P630" s="154" t="e">
        <f t="shared" si="89"/>
        <v>#VALUE!</v>
      </c>
      <c r="Q630">
        <v>5.18</v>
      </c>
      <c r="R630" s="154" t="e">
        <f t="shared" si="90"/>
        <v>#VALUE!</v>
      </c>
      <c r="S630">
        <v>5.18</v>
      </c>
      <c r="T630" s="154" t="e">
        <f t="shared" si="91"/>
        <v>#VALUE!</v>
      </c>
      <c r="U630">
        <v>5.18</v>
      </c>
      <c r="V630" s="154" t="e">
        <f t="shared" si="92"/>
        <v>#VALUE!</v>
      </c>
      <c r="W630">
        <v>5.18</v>
      </c>
      <c r="X630" s="157" t="e">
        <f t="shared" si="93"/>
        <v>#VALUE!</v>
      </c>
      <c r="Y630">
        <v>5.18</v>
      </c>
      <c r="Z630" s="154" t="e">
        <f t="shared" si="94"/>
        <v>#VALUE!</v>
      </c>
      <c r="AA630">
        <v>5.18</v>
      </c>
      <c r="AB630" s="154" t="e">
        <f t="shared" si="95"/>
        <v>#VALUE!</v>
      </c>
      <c r="AC630">
        <v>5.18</v>
      </c>
      <c r="AD630" s="154" t="e">
        <f t="shared" si="96"/>
        <v>#VALUE!</v>
      </c>
      <c r="AE630">
        <v>5.18</v>
      </c>
    </row>
    <row r="631" spans="12:31" ht="15" x14ac:dyDescent="0.2">
      <c r="L631" s="154" t="e">
        <f t="shared" si="87"/>
        <v>#VALUE!</v>
      </c>
      <c r="M631">
        <v>5.19</v>
      </c>
      <c r="N631" s="154" t="e">
        <f t="shared" si="88"/>
        <v>#VALUE!</v>
      </c>
      <c r="O631">
        <v>5.19</v>
      </c>
      <c r="P631" s="154" t="e">
        <f t="shared" si="89"/>
        <v>#VALUE!</v>
      </c>
      <c r="Q631">
        <v>5.19</v>
      </c>
      <c r="R631" s="154" t="e">
        <f t="shared" si="90"/>
        <v>#VALUE!</v>
      </c>
      <c r="S631">
        <v>5.19</v>
      </c>
      <c r="T631" s="154" t="e">
        <f t="shared" si="91"/>
        <v>#VALUE!</v>
      </c>
      <c r="U631">
        <v>5.19</v>
      </c>
      <c r="V631" s="154" t="e">
        <f t="shared" si="92"/>
        <v>#VALUE!</v>
      </c>
      <c r="W631">
        <v>5.19</v>
      </c>
      <c r="X631" s="157" t="e">
        <f t="shared" si="93"/>
        <v>#VALUE!</v>
      </c>
      <c r="Y631">
        <v>5.19</v>
      </c>
      <c r="Z631" s="154" t="e">
        <f t="shared" si="94"/>
        <v>#VALUE!</v>
      </c>
      <c r="AA631">
        <v>5.19</v>
      </c>
      <c r="AB631" s="154" t="e">
        <f t="shared" si="95"/>
        <v>#VALUE!</v>
      </c>
      <c r="AC631">
        <v>5.19</v>
      </c>
      <c r="AD631" s="154" t="e">
        <f t="shared" si="96"/>
        <v>#VALUE!</v>
      </c>
      <c r="AE631">
        <v>5.19</v>
      </c>
    </row>
    <row r="632" spans="12:31" ht="15" x14ac:dyDescent="0.2">
      <c r="L632" s="154" t="e">
        <f t="shared" si="87"/>
        <v>#VALUE!</v>
      </c>
      <c r="M632">
        <v>5.2</v>
      </c>
      <c r="N632" s="154" t="e">
        <f t="shared" si="88"/>
        <v>#VALUE!</v>
      </c>
      <c r="O632">
        <v>5.2</v>
      </c>
      <c r="P632" s="154" t="e">
        <f t="shared" si="89"/>
        <v>#VALUE!</v>
      </c>
      <c r="Q632">
        <v>5.2</v>
      </c>
      <c r="R632" s="154" t="e">
        <f t="shared" si="90"/>
        <v>#VALUE!</v>
      </c>
      <c r="S632">
        <v>5.2</v>
      </c>
      <c r="T632" s="154" t="e">
        <f t="shared" si="91"/>
        <v>#VALUE!</v>
      </c>
      <c r="U632">
        <v>5.2</v>
      </c>
      <c r="V632" s="154" t="e">
        <f t="shared" si="92"/>
        <v>#VALUE!</v>
      </c>
      <c r="W632">
        <v>5.2</v>
      </c>
      <c r="X632" s="157" t="e">
        <f t="shared" si="93"/>
        <v>#VALUE!</v>
      </c>
      <c r="Y632">
        <v>5.2</v>
      </c>
      <c r="Z632" s="154" t="e">
        <f t="shared" si="94"/>
        <v>#VALUE!</v>
      </c>
      <c r="AA632">
        <v>5.2</v>
      </c>
      <c r="AB632" s="154" t="e">
        <f t="shared" si="95"/>
        <v>#VALUE!</v>
      </c>
      <c r="AC632">
        <v>5.2</v>
      </c>
      <c r="AD632" s="154" t="e">
        <f t="shared" si="96"/>
        <v>#VALUE!</v>
      </c>
      <c r="AE632">
        <v>5.2</v>
      </c>
    </row>
    <row r="633" spans="12:31" ht="15" x14ac:dyDescent="0.2">
      <c r="L633" s="154" t="e">
        <f t="shared" si="87"/>
        <v>#VALUE!</v>
      </c>
      <c r="M633">
        <v>5.21</v>
      </c>
      <c r="N633" s="154" t="e">
        <f t="shared" si="88"/>
        <v>#VALUE!</v>
      </c>
      <c r="O633">
        <v>5.21</v>
      </c>
      <c r="P633" s="154" t="e">
        <f t="shared" si="89"/>
        <v>#VALUE!</v>
      </c>
      <c r="Q633">
        <v>5.21</v>
      </c>
      <c r="R633" s="154" t="e">
        <f t="shared" si="90"/>
        <v>#VALUE!</v>
      </c>
      <c r="S633">
        <v>5.21</v>
      </c>
      <c r="T633" s="154" t="e">
        <f t="shared" si="91"/>
        <v>#VALUE!</v>
      </c>
      <c r="U633">
        <v>5.21</v>
      </c>
      <c r="V633" s="154" t="e">
        <f t="shared" si="92"/>
        <v>#VALUE!</v>
      </c>
      <c r="W633">
        <v>5.21</v>
      </c>
      <c r="X633" s="157" t="e">
        <f t="shared" si="93"/>
        <v>#VALUE!</v>
      </c>
      <c r="Y633">
        <v>5.21</v>
      </c>
      <c r="Z633" s="154" t="e">
        <f t="shared" si="94"/>
        <v>#VALUE!</v>
      </c>
      <c r="AA633">
        <v>5.21</v>
      </c>
      <c r="AB633" s="154" t="e">
        <f t="shared" si="95"/>
        <v>#VALUE!</v>
      </c>
      <c r="AC633">
        <v>5.21</v>
      </c>
      <c r="AD633" s="154" t="e">
        <f t="shared" si="96"/>
        <v>#VALUE!</v>
      </c>
      <c r="AE633">
        <v>5.21</v>
      </c>
    </row>
    <row r="634" spans="12:31" ht="15" x14ac:dyDescent="0.2">
      <c r="L634" s="154" t="e">
        <f t="shared" si="87"/>
        <v>#VALUE!</v>
      </c>
      <c r="M634">
        <v>5.22</v>
      </c>
      <c r="N634" s="154" t="e">
        <f t="shared" si="88"/>
        <v>#VALUE!</v>
      </c>
      <c r="O634">
        <v>5.22</v>
      </c>
      <c r="P634" s="154" t="e">
        <f t="shared" si="89"/>
        <v>#VALUE!</v>
      </c>
      <c r="Q634">
        <v>5.22</v>
      </c>
      <c r="R634" s="154" t="e">
        <f t="shared" si="90"/>
        <v>#VALUE!</v>
      </c>
      <c r="S634">
        <v>5.22</v>
      </c>
      <c r="T634" s="154" t="e">
        <f t="shared" si="91"/>
        <v>#VALUE!</v>
      </c>
      <c r="U634">
        <v>5.22</v>
      </c>
      <c r="V634" s="154" t="e">
        <f t="shared" si="92"/>
        <v>#VALUE!</v>
      </c>
      <c r="W634">
        <v>5.22</v>
      </c>
      <c r="X634" s="157" t="e">
        <f t="shared" si="93"/>
        <v>#VALUE!</v>
      </c>
      <c r="Y634">
        <v>5.22</v>
      </c>
      <c r="Z634" s="154" t="e">
        <f t="shared" si="94"/>
        <v>#VALUE!</v>
      </c>
      <c r="AA634">
        <v>5.22</v>
      </c>
      <c r="AB634" s="154" t="e">
        <f t="shared" si="95"/>
        <v>#VALUE!</v>
      </c>
      <c r="AC634">
        <v>5.22</v>
      </c>
      <c r="AD634" s="154" t="e">
        <f t="shared" si="96"/>
        <v>#VALUE!</v>
      </c>
      <c r="AE634">
        <v>5.22</v>
      </c>
    </row>
    <row r="635" spans="12:31" ht="15" x14ac:dyDescent="0.2">
      <c r="L635" s="154" t="e">
        <f t="shared" si="87"/>
        <v>#VALUE!</v>
      </c>
      <c r="M635">
        <v>5.23</v>
      </c>
      <c r="N635" s="154" t="e">
        <f t="shared" si="88"/>
        <v>#VALUE!</v>
      </c>
      <c r="O635">
        <v>5.23</v>
      </c>
      <c r="P635" s="154" t="e">
        <f t="shared" si="89"/>
        <v>#VALUE!</v>
      </c>
      <c r="Q635">
        <v>5.23</v>
      </c>
      <c r="R635" s="154" t="e">
        <f t="shared" si="90"/>
        <v>#VALUE!</v>
      </c>
      <c r="S635">
        <v>5.23</v>
      </c>
      <c r="T635" s="154" t="e">
        <f t="shared" si="91"/>
        <v>#VALUE!</v>
      </c>
      <c r="U635">
        <v>5.23</v>
      </c>
      <c r="V635" s="154" t="e">
        <f t="shared" si="92"/>
        <v>#VALUE!</v>
      </c>
      <c r="W635">
        <v>5.23</v>
      </c>
      <c r="X635" s="157" t="e">
        <f t="shared" si="93"/>
        <v>#VALUE!</v>
      </c>
      <c r="Y635">
        <v>5.23</v>
      </c>
      <c r="Z635" s="154" t="e">
        <f t="shared" si="94"/>
        <v>#VALUE!</v>
      </c>
      <c r="AA635">
        <v>5.23</v>
      </c>
      <c r="AB635" s="154" t="e">
        <f t="shared" si="95"/>
        <v>#VALUE!</v>
      </c>
      <c r="AC635">
        <v>5.23</v>
      </c>
      <c r="AD635" s="154" t="e">
        <f t="shared" si="96"/>
        <v>#VALUE!</v>
      </c>
      <c r="AE635">
        <v>5.23</v>
      </c>
    </row>
    <row r="636" spans="12:31" ht="15" x14ac:dyDescent="0.2">
      <c r="L636" s="154" t="e">
        <f t="shared" si="87"/>
        <v>#VALUE!</v>
      </c>
      <c r="M636">
        <v>5.24</v>
      </c>
      <c r="N636" s="154" t="e">
        <f t="shared" si="88"/>
        <v>#VALUE!</v>
      </c>
      <c r="O636">
        <v>5.24</v>
      </c>
      <c r="P636" s="154" t="e">
        <f t="shared" si="89"/>
        <v>#VALUE!</v>
      </c>
      <c r="Q636">
        <v>5.24</v>
      </c>
      <c r="R636" s="154" t="e">
        <f t="shared" si="90"/>
        <v>#VALUE!</v>
      </c>
      <c r="S636">
        <v>5.24</v>
      </c>
      <c r="T636" s="154" t="e">
        <f t="shared" si="91"/>
        <v>#VALUE!</v>
      </c>
      <c r="U636">
        <v>5.24</v>
      </c>
      <c r="V636" s="154" t="e">
        <f t="shared" si="92"/>
        <v>#VALUE!</v>
      </c>
      <c r="W636">
        <v>5.24</v>
      </c>
      <c r="X636" s="157" t="e">
        <f t="shared" si="93"/>
        <v>#VALUE!</v>
      </c>
      <c r="Y636">
        <v>5.24</v>
      </c>
      <c r="Z636" s="154" t="e">
        <f t="shared" si="94"/>
        <v>#VALUE!</v>
      </c>
      <c r="AA636">
        <v>5.24</v>
      </c>
      <c r="AB636" s="154" t="e">
        <f t="shared" si="95"/>
        <v>#VALUE!</v>
      </c>
      <c r="AC636">
        <v>5.24</v>
      </c>
      <c r="AD636" s="154" t="e">
        <f t="shared" si="96"/>
        <v>#VALUE!</v>
      </c>
      <c r="AE636">
        <v>5.24</v>
      </c>
    </row>
    <row r="637" spans="12:31" ht="15" x14ac:dyDescent="0.2">
      <c r="L637" s="154" t="e">
        <f t="shared" si="87"/>
        <v>#VALUE!</v>
      </c>
      <c r="M637">
        <v>5.25</v>
      </c>
      <c r="N637" s="154" t="e">
        <f t="shared" si="88"/>
        <v>#VALUE!</v>
      </c>
      <c r="O637">
        <v>5.25</v>
      </c>
      <c r="P637" s="154" t="e">
        <f t="shared" si="89"/>
        <v>#VALUE!</v>
      </c>
      <c r="Q637">
        <v>5.25</v>
      </c>
      <c r="R637" s="154" t="e">
        <f t="shared" si="90"/>
        <v>#VALUE!</v>
      </c>
      <c r="S637">
        <v>5.25</v>
      </c>
      <c r="T637" s="154" t="e">
        <f t="shared" si="91"/>
        <v>#VALUE!</v>
      </c>
      <c r="U637">
        <v>5.25</v>
      </c>
      <c r="V637" s="154" t="e">
        <f t="shared" si="92"/>
        <v>#VALUE!</v>
      </c>
      <c r="W637">
        <v>5.25</v>
      </c>
      <c r="X637" s="157" t="e">
        <f t="shared" si="93"/>
        <v>#VALUE!</v>
      </c>
      <c r="Y637">
        <v>5.25</v>
      </c>
      <c r="Z637" s="154" t="e">
        <f t="shared" si="94"/>
        <v>#VALUE!</v>
      </c>
      <c r="AA637">
        <v>5.25</v>
      </c>
      <c r="AB637" s="154" t="e">
        <f t="shared" si="95"/>
        <v>#VALUE!</v>
      </c>
      <c r="AC637">
        <v>5.25</v>
      </c>
      <c r="AD637" s="154" t="e">
        <f t="shared" si="96"/>
        <v>#VALUE!</v>
      </c>
      <c r="AE637">
        <v>5.25</v>
      </c>
    </row>
    <row r="638" spans="12:31" ht="15" x14ac:dyDescent="0.2">
      <c r="L638" s="154" t="e">
        <f t="shared" si="87"/>
        <v>#VALUE!</v>
      </c>
      <c r="M638">
        <v>5.26</v>
      </c>
      <c r="N638" s="154" t="e">
        <f t="shared" si="88"/>
        <v>#VALUE!</v>
      </c>
      <c r="O638">
        <v>5.26</v>
      </c>
      <c r="P638" s="154" t="e">
        <f t="shared" si="89"/>
        <v>#VALUE!</v>
      </c>
      <c r="Q638">
        <v>5.26</v>
      </c>
      <c r="R638" s="154" t="e">
        <f t="shared" si="90"/>
        <v>#VALUE!</v>
      </c>
      <c r="S638">
        <v>5.26</v>
      </c>
      <c r="T638" s="154" t="e">
        <f t="shared" si="91"/>
        <v>#VALUE!</v>
      </c>
      <c r="U638">
        <v>5.26</v>
      </c>
      <c r="V638" s="154" t="e">
        <f t="shared" si="92"/>
        <v>#VALUE!</v>
      </c>
      <c r="W638">
        <v>5.26</v>
      </c>
      <c r="X638" s="157" t="e">
        <f t="shared" si="93"/>
        <v>#VALUE!</v>
      </c>
      <c r="Y638">
        <v>5.26</v>
      </c>
      <c r="Z638" s="154" t="e">
        <f t="shared" si="94"/>
        <v>#VALUE!</v>
      </c>
      <c r="AA638">
        <v>5.26</v>
      </c>
      <c r="AB638" s="154" t="e">
        <f t="shared" si="95"/>
        <v>#VALUE!</v>
      </c>
      <c r="AC638">
        <v>5.26</v>
      </c>
      <c r="AD638" s="154" t="e">
        <f t="shared" si="96"/>
        <v>#VALUE!</v>
      </c>
      <c r="AE638">
        <v>5.26</v>
      </c>
    </row>
    <row r="639" spans="12:31" ht="15" x14ac:dyDescent="0.2">
      <c r="L639" s="154" t="e">
        <f t="shared" si="87"/>
        <v>#VALUE!</v>
      </c>
      <c r="M639">
        <v>5.27</v>
      </c>
      <c r="N639" s="154" t="e">
        <f t="shared" si="88"/>
        <v>#VALUE!</v>
      </c>
      <c r="O639">
        <v>5.27</v>
      </c>
      <c r="P639" s="154" t="e">
        <f t="shared" si="89"/>
        <v>#VALUE!</v>
      </c>
      <c r="Q639">
        <v>5.27</v>
      </c>
      <c r="R639" s="154" t="e">
        <f t="shared" si="90"/>
        <v>#VALUE!</v>
      </c>
      <c r="S639">
        <v>5.27</v>
      </c>
      <c r="T639" s="154" t="e">
        <f t="shared" si="91"/>
        <v>#VALUE!</v>
      </c>
      <c r="U639">
        <v>5.27</v>
      </c>
      <c r="V639" s="154" t="e">
        <f t="shared" si="92"/>
        <v>#VALUE!</v>
      </c>
      <c r="W639">
        <v>5.27</v>
      </c>
      <c r="X639" s="157" t="e">
        <f t="shared" si="93"/>
        <v>#VALUE!</v>
      </c>
      <c r="Y639">
        <v>5.27</v>
      </c>
      <c r="Z639" s="154" t="e">
        <f t="shared" si="94"/>
        <v>#VALUE!</v>
      </c>
      <c r="AA639">
        <v>5.27</v>
      </c>
      <c r="AB639" s="154" t="e">
        <f t="shared" si="95"/>
        <v>#VALUE!</v>
      </c>
      <c r="AC639">
        <v>5.27</v>
      </c>
      <c r="AD639" s="154" t="e">
        <f t="shared" si="96"/>
        <v>#VALUE!</v>
      </c>
      <c r="AE639">
        <v>5.27</v>
      </c>
    </row>
    <row r="640" spans="12:31" ht="15" x14ac:dyDescent="0.2">
      <c r="L640" s="154" t="e">
        <f t="shared" si="87"/>
        <v>#VALUE!</v>
      </c>
      <c r="M640">
        <v>5.28</v>
      </c>
      <c r="N640" s="154" t="e">
        <f t="shared" si="88"/>
        <v>#VALUE!</v>
      </c>
      <c r="O640">
        <v>5.28</v>
      </c>
      <c r="P640" s="154" t="e">
        <f t="shared" si="89"/>
        <v>#VALUE!</v>
      </c>
      <c r="Q640">
        <v>5.28</v>
      </c>
      <c r="R640" s="154" t="e">
        <f t="shared" si="90"/>
        <v>#VALUE!</v>
      </c>
      <c r="S640">
        <v>5.28</v>
      </c>
      <c r="T640" s="154" t="e">
        <f t="shared" si="91"/>
        <v>#VALUE!</v>
      </c>
      <c r="U640">
        <v>5.28</v>
      </c>
      <c r="V640" s="154" t="e">
        <f t="shared" si="92"/>
        <v>#VALUE!</v>
      </c>
      <c r="W640">
        <v>5.28</v>
      </c>
      <c r="X640" s="157" t="e">
        <f t="shared" si="93"/>
        <v>#VALUE!</v>
      </c>
      <c r="Y640">
        <v>5.28</v>
      </c>
      <c r="Z640" s="154" t="e">
        <f t="shared" si="94"/>
        <v>#VALUE!</v>
      </c>
      <c r="AA640">
        <v>5.28</v>
      </c>
      <c r="AB640" s="154" t="e">
        <f t="shared" si="95"/>
        <v>#VALUE!</v>
      </c>
      <c r="AC640">
        <v>5.28</v>
      </c>
      <c r="AD640" s="154" t="e">
        <f t="shared" si="96"/>
        <v>#VALUE!</v>
      </c>
      <c r="AE640">
        <v>5.28</v>
      </c>
    </row>
    <row r="641" spans="12:31" ht="15" x14ac:dyDescent="0.2">
      <c r="L641" s="154" t="e">
        <f t="shared" si="87"/>
        <v>#VALUE!</v>
      </c>
      <c r="M641">
        <v>5.29</v>
      </c>
      <c r="N641" s="154" t="e">
        <f t="shared" si="88"/>
        <v>#VALUE!</v>
      </c>
      <c r="O641">
        <v>5.29</v>
      </c>
      <c r="P641" s="154" t="e">
        <f t="shared" si="89"/>
        <v>#VALUE!</v>
      </c>
      <c r="Q641">
        <v>5.29</v>
      </c>
      <c r="R641" s="154" t="e">
        <f t="shared" si="90"/>
        <v>#VALUE!</v>
      </c>
      <c r="S641">
        <v>5.29</v>
      </c>
      <c r="T641" s="154" t="e">
        <f t="shared" si="91"/>
        <v>#VALUE!</v>
      </c>
      <c r="U641">
        <v>5.29</v>
      </c>
      <c r="V641" s="154" t="e">
        <f t="shared" si="92"/>
        <v>#VALUE!</v>
      </c>
      <c r="W641">
        <v>5.29</v>
      </c>
      <c r="X641" s="157" t="e">
        <f t="shared" si="93"/>
        <v>#VALUE!</v>
      </c>
      <c r="Y641">
        <v>5.29</v>
      </c>
      <c r="Z641" s="154" t="e">
        <f t="shared" si="94"/>
        <v>#VALUE!</v>
      </c>
      <c r="AA641">
        <v>5.29</v>
      </c>
      <c r="AB641" s="154" t="e">
        <f t="shared" si="95"/>
        <v>#VALUE!</v>
      </c>
      <c r="AC641">
        <v>5.29</v>
      </c>
      <c r="AD641" s="154" t="e">
        <f t="shared" si="96"/>
        <v>#VALUE!</v>
      </c>
      <c r="AE641">
        <v>5.29</v>
      </c>
    </row>
    <row r="642" spans="12:31" ht="15" x14ac:dyDescent="0.2">
      <c r="L642" s="154" t="e">
        <f t="shared" si="87"/>
        <v>#VALUE!</v>
      </c>
      <c r="M642">
        <v>5.3</v>
      </c>
      <c r="N642" s="154" t="e">
        <f t="shared" si="88"/>
        <v>#VALUE!</v>
      </c>
      <c r="O642">
        <v>5.3</v>
      </c>
      <c r="P642" s="154" t="e">
        <f t="shared" si="89"/>
        <v>#VALUE!</v>
      </c>
      <c r="Q642">
        <v>5.3</v>
      </c>
      <c r="R642" s="154" t="e">
        <f t="shared" si="90"/>
        <v>#VALUE!</v>
      </c>
      <c r="S642">
        <v>5.3</v>
      </c>
      <c r="T642" s="154" t="e">
        <f t="shared" si="91"/>
        <v>#VALUE!</v>
      </c>
      <c r="U642">
        <v>5.3</v>
      </c>
      <c r="V642" s="154" t="e">
        <f t="shared" si="92"/>
        <v>#VALUE!</v>
      </c>
      <c r="W642">
        <v>5.3</v>
      </c>
      <c r="X642" s="157" t="e">
        <f t="shared" si="93"/>
        <v>#VALUE!</v>
      </c>
      <c r="Y642">
        <v>5.3</v>
      </c>
      <c r="Z642" s="154" t="e">
        <f t="shared" si="94"/>
        <v>#VALUE!</v>
      </c>
      <c r="AA642">
        <v>5.3</v>
      </c>
      <c r="AB642" s="154" t="e">
        <f t="shared" si="95"/>
        <v>#VALUE!</v>
      </c>
      <c r="AC642">
        <v>5.3</v>
      </c>
      <c r="AD642" s="154" t="e">
        <f t="shared" si="96"/>
        <v>#VALUE!</v>
      </c>
      <c r="AE642">
        <v>5.3</v>
      </c>
    </row>
    <row r="643" spans="12:31" ht="15" x14ac:dyDescent="0.2">
      <c r="L643" s="154" t="e">
        <f t="shared" si="87"/>
        <v>#VALUE!</v>
      </c>
      <c r="M643">
        <v>5.31</v>
      </c>
      <c r="N643" s="154" t="e">
        <f t="shared" si="88"/>
        <v>#VALUE!</v>
      </c>
      <c r="O643">
        <v>5.31</v>
      </c>
      <c r="P643" s="154" t="e">
        <f t="shared" si="89"/>
        <v>#VALUE!</v>
      </c>
      <c r="Q643">
        <v>5.31</v>
      </c>
      <c r="R643" s="154" t="e">
        <f t="shared" si="90"/>
        <v>#VALUE!</v>
      </c>
      <c r="S643">
        <v>5.31</v>
      </c>
      <c r="T643" s="154" t="e">
        <f t="shared" si="91"/>
        <v>#VALUE!</v>
      </c>
      <c r="U643">
        <v>5.31</v>
      </c>
      <c r="V643" s="154" t="e">
        <f t="shared" si="92"/>
        <v>#VALUE!</v>
      </c>
      <c r="W643">
        <v>5.31</v>
      </c>
      <c r="X643" s="157" t="e">
        <f t="shared" si="93"/>
        <v>#VALUE!</v>
      </c>
      <c r="Y643">
        <v>5.31</v>
      </c>
      <c r="Z643" s="154" t="e">
        <f t="shared" si="94"/>
        <v>#VALUE!</v>
      </c>
      <c r="AA643">
        <v>5.31</v>
      </c>
      <c r="AB643" s="154" t="e">
        <f t="shared" si="95"/>
        <v>#VALUE!</v>
      </c>
      <c r="AC643">
        <v>5.31</v>
      </c>
      <c r="AD643" s="154" t="e">
        <f t="shared" si="96"/>
        <v>#VALUE!</v>
      </c>
      <c r="AE643">
        <v>5.31</v>
      </c>
    </row>
    <row r="644" spans="12:31" ht="15" x14ac:dyDescent="0.2">
      <c r="L644" s="154" t="e">
        <f t="shared" si="87"/>
        <v>#VALUE!</v>
      </c>
      <c r="M644">
        <v>5.32</v>
      </c>
      <c r="N644" s="154" t="e">
        <f t="shared" si="88"/>
        <v>#VALUE!</v>
      </c>
      <c r="O644">
        <v>5.32</v>
      </c>
      <c r="P644" s="154" t="e">
        <f t="shared" si="89"/>
        <v>#VALUE!</v>
      </c>
      <c r="Q644">
        <v>5.32</v>
      </c>
      <c r="R644" s="154" t="e">
        <f t="shared" si="90"/>
        <v>#VALUE!</v>
      </c>
      <c r="S644">
        <v>5.32</v>
      </c>
      <c r="T644" s="154" t="e">
        <f t="shared" si="91"/>
        <v>#VALUE!</v>
      </c>
      <c r="U644">
        <v>5.32</v>
      </c>
      <c r="V644" s="154" t="e">
        <f t="shared" si="92"/>
        <v>#VALUE!</v>
      </c>
      <c r="W644">
        <v>5.32</v>
      </c>
      <c r="X644" s="157" t="e">
        <f t="shared" si="93"/>
        <v>#VALUE!</v>
      </c>
      <c r="Y644">
        <v>5.32</v>
      </c>
      <c r="Z644" s="154" t="e">
        <f t="shared" si="94"/>
        <v>#VALUE!</v>
      </c>
      <c r="AA644">
        <v>5.32</v>
      </c>
      <c r="AB644" s="154" t="e">
        <f t="shared" si="95"/>
        <v>#VALUE!</v>
      </c>
      <c r="AC644">
        <v>5.32</v>
      </c>
      <c r="AD644" s="154" t="e">
        <f t="shared" si="96"/>
        <v>#VALUE!</v>
      </c>
      <c r="AE644">
        <v>5.32</v>
      </c>
    </row>
    <row r="645" spans="12:31" ht="15" x14ac:dyDescent="0.2">
      <c r="L645" s="154" t="e">
        <f t="shared" si="87"/>
        <v>#VALUE!</v>
      </c>
      <c r="M645">
        <v>5.33</v>
      </c>
      <c r="N645" s="154" t="e">
        <f t="shared" si="88"/>
        <v>#VALUE!</v>
      </c>
      <c r="O645">
        <v>5.33</v>
      </c>
      <c r="P645" s="154" t="e">
        <f t="shared" si="89"/>
        <v>#VALUE!</v>
      </c>
      <c r="Q645">
        <v>5.33</v>
      </c>
      <c r="R645" s="154" t="e">
        <f t="shared" si="90"/>
        <v>#VALUE!</v>
      </c>
      <c r="S645">
        <v>5.33</v>
      </c>
      <c r="T645" s="154" t="e">
        <f t="shared" si="91"/>
        <v>#VALUE!</v>
      </c>
      <c r="U645">
        <v>5.33</v>
      </c>
      <c r="V645" s="154" t="e">
        <f t="shared" si="92"/>
        <v>#VALUE!</v>
      </c>
      <c r="W645">
        <v>5.33</v>
      </c>
      <c r="X645" s="157" t="e">
        <f t="shared" si="93"/>
        <v>#VALUE!</v>
      </c>
      <c r="Y645">
        <v>5.33</v>
      </c>
      <c r="Z645" s="154" t="e">
        <f t="shared" si="94"/>
        <v>#VALUE!</v>
      </c>
      <c r="AA645">
        <v>5.33</v>
      </c>
      <c r="AB645" s="154" t="e">
        <f t="shared" si="95"/>
        <v>#VALUE!</v>
      </c>
      <c r="AC645">
        <v>5.33</v>
      </c>
      <c r="AD645" s="154" t="e">
        <f t="shared" si="96"/>
        <v>#VALUE!</v>
      </c>
      <c r="AE645">
        <v>5.33</v>
      </c>
    </row>
    <row r="646" spans="12:31" ht="15" x14ac:dyDescent="0.2">
      <c r="L646" s="154" t="e">
        <f t="shared" si="87"/>
        <v>#VALUE!</v>
      </c>
      <c r="M646">
        <v>5.34</v>
      </c>
      <c r="N646" s="154" t="e">
        <f t="shared" si="88"/>
        <v>#VALUE!</v>
      </c>
      <c r="O646">
        <v>5.34</v>
      </c>
      <c r="P646" s="154" t="e">
        <f t="shared" si="89"/>
        <v>#VALUE!</v>
      </c>
      <c r="Q646">
        <v>5.34</v>
      </c>
      <c r="R646" s="154" t="e">
        <f t="shared" si="90"/>
        <v>#VALUE!</v>
      </c>
      <c r="S646">
        <v>5.34</v>
      </c>
      <c r="T646" s="154" t="e">
        <f t="shared" si="91"/>
        <v>#VALUE!</v>
      </c>
      <c r="U646">
        <v>5.34</v>
      </c>
      <c r="V646" s="154" t="e">
        <f t="shared" si="92"/>
        <v>#VALUE!</v>
      </c>
      <c r="W646">
        <v>5.34</v>
      </c>
      <c r="X646" s="157" t="e">
        <f t="shared" si="93"/>
        <v>#VALUE!</v>
      </c>
      <c r="Y646">
        <v>5.34</v>
      </c>
      <c r="Z646" s="154" t="e">
        <f t="shared" si="94"/>
        <v>#VALUE!</v>
      </c>
      <c r="AA646">
        <v>5.34</v>
      </c>
      <c r="AB646" s="154" t="e">
        <f t="shared" si="95"/>
        <v>#VALUE!</v>
      </c>
      <c r="AC646">
        <v>5.34</v>
      </c>
      <c r="AD646" s="154" t="e">
        <f t="shared" si="96"/>
        <v>#VALUE!</v>
      </c>
      <c r="AE646">
        <v>5.34</v>
      </c>
    </row>
    <row r="647" spans="12:31" ht="15" x14ac:dyDescent="0.2">
      <c r="L647" s="154" t="e">
        <f t="shared" si="87"/>
        <v>#VALUE!</v>
      </c>
      <c r="M647">
        <v>5.35</v>
      </c>
      <c r="N647" s="154" t="e">
        <f t="shared" si="88"/>
        <v>#VALUE!</v>
      </c>
      <c r="O647">
        <v>5.35</v>
      </c>
      <c r="P647" s="154" t="e">
        <f t="shared" si="89"/>
        <v>#VALUE!</v>
      </c>
      <c r="Q647">
        <v>5.35</v>
      </c>
      <c r="R647" s="154" t="e">
        <f t="shared" si="90"/>
        <v>#VALUE!</v>
      </c>
      <c r="S647">
        <v>5.35</v>
      </c>
      <c r="T647" s="154" t="e">
        <f t="shared" si="91"/>
        <v>#VALUE!</v>
      </c>
      <c r="U647">
        <v>5.35</v>
      </c>
      <c r="V647" s="154" t="e">
        <f t="shared" si="92"/>
        <v>#VALUE!</v>
      </c>
      <c r="W647">
        <v>5.35</v>
      </c>
      <c r="X647" s="157" t="e">
        <f t="shared" si="93"/>
        <v>#VALUE!</v>
      </c>
      <c r="Y647">
        <v>5.35</v>
      </c>
      <c r="Z647" s="154" t="e">
        <f t="shared" si="94"/>
        <v>#VALUE!</v>
      </c>
      <c r="AA647">
        <v>5.35</v>
      </c>
      <c r="AB647" s="154" t="e">
        <f t="shared" si="95"/>
        <v>#VALUE!</v>
      </c>
      <c r="AC647">
        <v>5.35</v>
      </c>
      <c r="AD647" s="154" t="e">
        <f t="shared" si="96"/>
        <v>#VALUE!</v>
      </c>
      <c r="AE647">
        <v>5.35</v>
      </c>
    </row>
    <row r="648" spans="12:31" ht="15" x14ac:dyDescent="0.2">
      <c r="L648" s="154" t="e">
        <f t="shared" si="87"/>
        <v>#VALUE!</v>
      </c>
      <c r="M648">
        <v>5.36</v>
      </c>
      <c r="N648" s="154" t="e">
        <f t="shared" si="88"/>
        <v>#VALUE!</v>
      </c>
      <c r="O648">
        <v>5.36</v>
      </c>
      <c r="P648" s="154" t="e">
        <f t="shared" si="89"/>
        <v>#VALUE!</v>
      </c>
      <c r="Q648">
        <v>5.36</v>
      </c>
      <c r="R648" s="154" t="e">
        <f t="shared" si="90"/>
        <v>#VALUE!</v>
      </c>
      <c r="S648">
        <v>5.36</v>
      </c>
      <c r="T648" s="154" t="e">
        <f t="shared" si="91"/>
        <v>#VALUE!</v>
      </c>
      <c r="U648">
        <v>5.36</v>
      </c>
      <c r="V648" s="154" t="e">
        <f t="shared" si="92"/>
        <v>#VALUE!</v>
      </c>
      <c r="W648">
        <v>5.36</v>
      </c>
      <c r="X648" s="157" t="e">
        <f t="shared" si="93"/>
        <v>#VALUE!</v>
      </c>
      <c r="Y648">
        <v>5.36</v>
      </c>
      <c r="Z648" s="154" t="e">
        <f t="shared" si="94"/>
        <v>#VALUE!</v>
      </c>
      <c r="AA648">
        <v>5.36</v>
      </c>
      <c r="AB648" s="154" t="e">
        <f t="shared" si="95"/>
        <v>#VALUE!</v>
      </c>
      <c r="AC648">
        <v>5.36</v>
      </c>
      <c r="AD648" s="154" t="e">
        <f t="shared" si="96"/>
        <v>#VALUE!</v>
      </c>
      <c r="AE648">
        <v>5.36</v>
      </c>
    </row>
    <row r="649" spans="12:31" ht="15" x14ac:dyDescent="0.2">
      <c r="L649" s="154" t="e">
        <f t="shared" si="87"/>
        <v>#VALUE!</v>
      </c>
      <c r="M649">
        <v>5.37</v>
      </c>
      <c r="N649" s="154" t="e">
        <f t="shared" si="88"/>
        <v>#VALUE!</v>
      </c>
      <c r="O649">
        <v>5.37</v>
      </c>
      <c r="P649" s="154" t="e">
        <f t="shared" si="89"/>
        <v>#VALUE!</v>
      </c>
      <c r="Q649">
        <v>5.37</v>
      </c>
      <c r="R649" s="154" t="e">
        <f t="shared" si="90"/>
        <v>#VALUE!</v>
      </c>
      <c r="S649">
        <v>5.37</v>
      </c>
      <c r="T649" s="154" t="e">
        <f t="shared" si="91"/>
        <v>#VALUE!</v>
      </c>
      <c r="U649">
        <v>5.37</v>
      </c>
      <c r="V649" s="154" t="e">
        <f t="shared" si="92"/>
        <v>#VALUE!</v>
      </c>
      <c r="W649">
        <v>5.37</v>
      </c>
      <c r="X649" s="157" t="e">
        <f t="shared" si="93"/>
        <v>#VALUE!</v>
      </c>
      <c r="Y649">
        <v>5.37</v>
      </c>
      <c r="Z649" s="154" t="e">
        <f t="shared" si="94"/>
        <v>#VALUE!</v>
      </c>
      <c r="AA649">
        <v>5.37</v>
      </c>
      <c r="AB649" s="154" t="e">
        <f t="shared" si="95"/>
        <v>#VALUE!</v>
      </c>
      <c r="AC649">
        <v>5.37</v>
      </c>
      <c r="AD649" s="154" t="e">
        <f t="shared" si="96"/>
        <v>#VALUE!</v>
      </c>
      <c r="AE649">
        <v>5.37</v>
      </c>
    </row>
    <row r="650" spans="12:31" ht="15" x14ac:dyDescent="0.2">
      <c r="L650" s="154" t="e">
        <f t="shared" si="87"/>
        <v>#VALUE!</v>
      </c>
      <c r="M650">
        <v>5.38</v>
      </c>
      <c r="N650" s="154" t="e">
        <f t="shared" si="88"/>
        <v>#VALUE!</v>
      </c>
      <c r="O650">
        <v>5.38</v>
      </c>
      <c r="P650" s="154" t="e">
        <f t="shared" si="89"/>
        <v>#VALUE!</v>
      </c>
      <c r="Q650">
        <v>5.38</v>
      </c>
      <c r="R650" s="154" t="e">
        <f t="shared" si="90"/>
        <v>#VALUE!</v>
      </c>
      <c r="S650">
        <v>5.38</v>
      </c>
      <c r="T650" s="154" t="e">
        <f t="shared" si="91"/>
        <v>#VALUE!</v>
      </c>
      <c r="U650">
        <v>5.38</v>
      </c>
      <c r="V650" s="154" t="e">
        <f t="shared" si="92"/>
        <v>#VALUE!</v>
      </c>
      <c r="W650">
        <v>5.38</v>
      </c>
      <c r="X650" s="157" t="e">
        <f t="shared" si="93"/>
        <v>#VALUE!</v>
      </c>
      <c r="Y650">
        <v>5.38</v>
      </c>
      <c r="Z650" s="154" t="e">
        <f t="shared" si="94"/>
        <v>#VALUE!</v>
      </c>
      <c r="AA650">
        <v>5.38</v>
      </c>
      <c r="AB650" s="154" t="e">
        <f t="shared" si="95"/>
        <v>#VALUE!</v>
      </c>
      <c r="AC650">
        <v>5.38</v>
      </c>
      <c r="AD650" s="154" t="e">
        <f t="shared" si="96"/>
        <v>#VALUE!</v>
      </c>
      <c r="AE650">
        <v>5.38</v>
      </c>
    </row>
    <row r="651" spans="12:31" ht="15" x14ac:dyDescent="0.2">
      <c r="L651" s="154" t="e">
        <f t="shared" si="87"/>
        <v>#VALUE!</v>
      </c>
      <c r="M651">
        <v>5.39</v>
      </c>
      <c r="N651" s="154" t="e">
        <f t="shared" si="88"/>
        <v>#VALUE!</v>
      </c>
      <c r="O651">
        <v>5.39</v>
      </c>
      <c r="P651" s="154" t="e">
        <f t="shared" si="89"/>
        <v>#VALUE!</v>
      </c>
      <c r="Q651">
        <v>5.39</v>
      </c>
      <c r="R651" s="154" t="e">
        <f t="shared" si="90"/>
        <v>#VALUE!</v>
      </c>
      <c r="S651">
        <v>5.39</v>
      </c>
      <c r="T651" s="154" t="e">
        <f t="shared" si="91"/>
        <v>#VALUE!</v>
      </c>
      <c r="U651">
        <v>5.39</v>
      </c>
      <c r="V651" s="154" t="e">
        <f t="shared" si="92"/>
        <v>#VALUE!</v>
      </c>
      <c r="W651">
        <v>5.39</v>
      </c>
      <c r="X651" s="157" t="e">
        <f t="shared" si="93"/>
        <v>#VALUE!</v>
      </c>
      <c r="Y651">
        <v>5.39</v>
      </c>
      <c r="Z651" s="154" t="e">
        <f t="shared" si="94"/>
        <v>#VALUE!</v>
      </c>
      <c r="AA651">
        <v>5.39</v>
      </c>
      <c r="AB651" s="154" t="e">
        <f t="shared" si="95"/>
        <v>#VALUE!</v>
      </c>
      <c r="AC651">
        <v>5.39</v>
      </c>
      <c r="AD651" s="154" t="e">
        <f t="shared" si="96"/>
        <v>#VALUE!</v>
      </c>
      <c r="AE651">
        <v>5.39</v>
      </c>
    </row>
    <row r="652" spans="12:31" ht="15" x14ac:dyDescent="0.2">
      <c r="L652" s="154" t="e">
        <f t="shared" si="87"/>
        <v>#VALUE!</v>
      </c>
      <c r="M652">
        <v>5.4</v>
      </c>
      <c r="N652" s="154" t="e">
        <f t="shared" si="88"/>
        <v>#VALUE!</v>
      </c>
      <c r="O652">
        <v>5.4</v>
      </c>
      <c r="P652" s="154" t="e">
        <f t="shared" si="89"/>
        <v>#VALUE!</v>
      </c>
      <c r="Q652">
        <v>5.4</v>
      </c>
      <c r="R652" s="154" t="e">
        <f t="shared" si="90"/>
        <v>#VALUE!</v>
      </c>
      <c r="S652">
        <v>5.4</v>
      </c>
      <c r="T652" s="154" t="e">
        <f t="shared" si="91"/>
        <v>#VALUE!</v>
      </c>
      <c r="U652">
        <v>5.4</v>
      </c>
      <c r="V652" s="154" t="e">
        <f t="shared" si="92"/>
        <v>#VALUE!</v>
      </c>
      <c r="W652">
        <v>5.4</v>
      </c>
      <c r="X652" s="157" t="e">
        <f t="shared" si="93"/>
        <v>#VALUE!</v>
      </c>
      <c r="Y652">
        <v>5.4</v>
      </c>
      <c r="Z652" s="154" t="e">
        <f t="shared" si="94"/>
        <v>#VALUE!</v>
      </c>
      <c r="AA652">
        <v>5.4</v>
      </c>
      <c r="AB652" s="154" t="e">
        <f t="shared" si="95"/>
        <v>#VALUE!</v>
      </c>
      <c r="AC652">
        <v>5.4</v>
      </c>
      <c r="AD652" s="154" t="e">
        <f t="shared" si="96"/>
        <v>#VALUE!</v>
      </c>
      <c r="AE652">
        <v>5.4</v>
      </c>
    </row>
    <row r="653" spans="12:31" ht="15" x14ac:dyDescent="0.2">
      <c r="L653" s="154" t="e">
        <f t="shared" si="87"/>
        <v>#VALUE!</v>
      </c>
      <c r="M653">
        <v>5.41</v>
      </c>
      <c r="N653" s="154" t="e">
        <f t="shared" si="88"/>
        <v>#VALUE!</v>
      </c>
      <c r="O653">
        <v>5.41</v>
      </c>
      <c r="P653" s="154" t="e">
        <f t="shared" si="89"/>
        <v>#VALUE!</v>
      </c>
      <c r="Q653">
        <v>5.41</v>
      </c>
      <c r="R653" s="154" t="e">
        <f t="shared" si="90"/>
        <v>#VALUE!</v>
      </c>
      <c r="S653">
        <v>5.41</v>
      </c>
      <c r="T653" s="154" t="e">
        <f t="shared" si="91"/>
        <v>#VALUE!</v>
      </c>
      <c r="U653">
        <v>5.41</v>
      </c>
      <c r="V653" s="154" t="e">
        <f t="shared" si="92"/>
        <v>#VALUE!</v>
      </c>
      <c r="W653">
        <v>5.41</v>
      </c>
      <c r="X653" s="157" t="e">
        <f t="shared" si="93"/>
        <v>#VALUE!</v>
      </c>
      <c r="Y653">
        <v>5.41</v>
      </c>
      <c r="Z653" s="154" t="e">
        <f t="shared" si="94"/>
        <v>#VALUE!</v>
      </c>
      <c r="AA653">
        <v>5.41</v>
      </c>
      <c r="AB653" s="154" t="e">
        <f t="shared" si="95"/>
        <v>#VALUE!</v>
      </c>
      <c r="AC653">
        <v>5.41</v>
      </c>
      <c r="AD653" s="154" t="e">
        <f t="shared" si="96"/>
        <v>#VALUE!</v>
      </c>
      <c r="AE653">
        <v>5.41</v>
      </c>
    </row>
    <row r="654" spans="12:31" ht="15" x14ac:dyDescent="0.2">
      <c r="L654" s="154" t="e">
        <f t="shared" si="87"/>
        <v>#VALUE!</v>
      </c>
      <c r="M654">
        <v>5.42</v>
      </c>
      <c r="N654" s="154" t="e">
        <f t="shared" si="88"/>
        <v>#VALUE!</v>
      </c>
      <c r="O654">
        <v>5.42</v>
      </c>
      <c r="P654" s="154" t="e">
        <f t="shared" si="89"/>
        <v>#VALUE!</v>
      </c>
      <c r="Q654">
        <v>5.42</v>
      </c>
      <c r="R654" s="154" t="e">
        <f t="shared" si="90"/>
        <v>#VALUE!</v>
      </c>
      <c r="S654">
        <v>5.42</v>
      </c>
      <c r="T654" s="154" t="e">
        <f t="shared" si="91"/>
        <v>#VALUE!</v>
      </c>
      <c r="U654">
        <v>5.42</v>
      </c>
      <c r="V654" s="154" t="e">
        <f t="shared" si="92"/>
        <v>#VALUE!</v>
      </c>
      <c r="W654">
        <v>5.42</v>
      </c>
      <c r="X654" s="157" t="e">
        <f t="shared" si="93"/>
        <v>#VALUE!</v>
      </c>
      <c r="Y654">
        <v>5.42</v>
      </c>
      <c r="Z654" s="154" t="e">
        <f t="shared" si="94"/>
        <v>#VALUE!</v>
      </c>
      <c r="AA654">
        <v>5.42</v>
      </c>
      <c r="AB654" s="154" t="e">
        <f t="shared" si="95"/>
        <v>#VALUE!</v>
      </c>
      <c r="AC654">
        <v>5.42</v>
      </c>
      <c r="AD654" s="154" t="e">
        <f t="shared" si="96"/>
        <v>#VALUE!</v>
      </c>
      <c r="AE654">
        <v>5.42</v>
      </c>
    </row>
    <row r="655" spans="12:31" ht="15" x14ac:dyDescent="0.2">
      <c r="L655" s="154" t="e">
        <f t="shared" si="87"/>
        <v>#VALUE!</v>
      </c>
      <c r="M655">
        <v>5.43</v>
      </c>
      <c r="N655" s="154" t="e">
        <f t="shared" si="88"/>
        <v>#VALUE!</v>
      </c>
      <c r="O655">
        <v>5.43</v>
      </c>
      <c r="P655" s="154" t="e">
        <f t="shared" si="89"/>
        <v>#VALUE!</v>
      </c>
      <c r="Q655">
        <v>5.43</v>
      </c>
      <c r="R655" s="154" t="e">
        <f t="shared" si="90"/>
        <v>#VALUE!</v>
      </c>
      <c r="S655">
        <v>5.43</v>
      </c>
      <c r="T655" s="154" t="e">
        <f t="shared" si="91"/>
        <v>#VALUE!</v>
      </c>
      <c r="U655">
        <v>5.43</v>
      </c>
      <c r="V655" s="154" t="e">
        <f t="shared" si="92"/>
        <v>#VALUE!</v>
      </c>
      <c r="W655">
        <v>5.43</v>
      </c>
      <c r="X655" s="157" t="e">
        <f t="shared" si="93"/>
        <v>#VALUE!</v>
      </c>
      <c r="Y655">
        <v>5.43</v>
      </c>
      <c r="Z655" s="154" t="e">
        <f t="shared" si="94"/>
        <v>#VALUE!</v>
      </c>
      <c r="AA655">
        <v>5.43</v>
      </c>
      <c r="AB655" s="154" t="e">
        <f t="shared" si="95"/>
        <v>#VALUE!</v>
      </c>
      <c r="AC655">
        <v>5.43</v>
      </c>
      <c r="AD655" s="154" t="e">
        <f t="shared" si="96"/>
        <v>#VALUE!</v>
      </c>
      <c r="AE655">
        <v>5.43</v>
      </c>
    </row>
    <row r="656" spans="12:31" ht="15" x14ac:dyDescent="0.2">
      <c r="L656" s="154" t="e">
        <f t="shared" si="87"/>
        <v>#VALUE!</v>
      </c>
      <c r="M656">
        <v>5.44</v>
      </c>
      <c r="N656" s="154" t="e">
        <f t="shared" si="88"/>
        <v>#VALUE!</v>
      </c>
      <c r="O656">
        <v>5.44</v>
      </c>
      <c r="P656" s="154" t="e">
        <f t="shared" si="89"/>
        <v>#VALUE!</v>
      </c>
      <c r="Q656">
        <v>5.44</v>
      </c>
      <c r="R656" s="154" t="e">
        <f t="shared" si="90"/>
        <v>#VALUE!</v>
      </c>
      <c r="S656">
        <v>5.44</v>
      </c>
      <c r="T656" s="154" t="e">
        <f t="shared" si="91"/>
        <v>#VALUE!</v>
      </c>
      <c r="U656">
        <v>5.44</v>
      </c>
      <c r="V656" s="154" t="e">
        <f t="shared" si="92"/>
        <v>#VALUE!</v>
      </c>
      <c r="W656">
        <v>5.44</v>
      </c>
      <c r="X656" s="157" t="e">
        <f t="shared" si="93"/>
        <v>#VALUE!</v>
      </c>
      <c r="Y656">
        <v>5.44</v>
      </c>
      <c r="Z656" s="154" t="e">
        <f t="shared" si="94"/>
        <v>#VALUE!</v>
      </c>
      <c r="AA656">
        <v>5.44</v>
      </c>
      <c r="AB656" s="154" t="e">
        <f t="shared" si="95"/>
        <v>#VALUE!</v>
      </c>
      <c r="AC656">
        <v>5.44</v>
      </c>
      <c r="AD656" s="154" t="e">
        <f t="shared" si="96"/>
        <v>#VALUE!</v>
      </c>
      <c r="AE656">
        <v>5.44</v>
      </c>
    </row>
    <row r="657" spans="12:31" ht="15" x14ac:dyDescent="0.2">
      <c r="L657" s="154" t="e">
        <f t="shared" si="87"/>
        <v>#VALUE!</v>
      </c>
      <c r="M657">
        <v>5.45</v>
      </c>
      <c r="N657" s="154" t="e">
        <f t="shared" si="88"/>
        <v>#VALUE!</v>
      </c>
      <c r="O657">
        <v>5.45</v>
      </c>
      <c r="P657" s="154" t="e">
        <f t="shared" si="89"/>
        <v>#VALUE!</v>
      </c>
      <c r="Q657">
        <v>5.45</v>
      </c>
      <c r="R657" s="154" t="e">
        <f t="shared" si="90"/>
        <v>#VALUE!</v>
      </c>
      <c r="S657">
        <v>5.45</v>
      </c>
      <c r="T657" s="154" t="e">
        <f t="shared" si="91"/>
        <v>#VALUE!</v>
      </c>
      <c r="U657">
        <v>5.45</v>
      </c>
      <c r="V657" s="154" t="e">
        <f t="shared" si="92"/>
        <v>#VALUE!</v>
      </c>
      <c r="W657">
        <v>5.45</v>
      </c>
      <c r="X657" s="157" t="e">
        <f t="shared" si="93"/>
        <v>#VALUE!</v>
      </c>
      <c r="Y657">
        <v>5.45</v>
      </c>
      <c r="Z657" s="154" t="e">
        <f t="shared" si="94"/>
        <v>#VALUE!</v>
      </c>
      <c r="AA657">
        <v>5.45</v>
      </c>
      <c r="AB657" s="154" t="e">
        <f t="shared" si="95"/>
        <v>#VALUE!</v>
      </c>
      <c r="AC657">
        <v>5.45</v>
      </c>
      <c r="AD657" s="154" t="e">
        <f t="shared" si="96"/>
        <v>#VALUE!</v>
      </c>
      <c r="AE657">
        <v>5.45</v>
      </c>
    </row>
    <row r="658" spans="12:31" ht="15" x14ac:dyDescent="0.2">
      <c r="L658" s="154" t="e">
        <f t="shared" si="87"/>
        <v>#VALUE!</v>
      </c>
      <c r="M658">
        <v>5.46</v>
      </c>
      <c r="N658" s="154" t="e">
        <f t="shared" si="88"/>
        <v>#VALUE!</v>
      </c>
      <c r="O658">
        <v>5.46</v>
      </c>
      <c r="P658" s="154" t="e">
        <f t="shared" si="89"/>
        <v>#VALUE!</v>
      </c>
      <c r="Q658">
        <v>5.46</v>
      </c>
      <c r="R658" s="154" t="e">
        <f t="shared" si="90"/>
        <v>#VALUE!</v>
      </c>
      <c r="S658">
        <v>5.46</v>
      </c>
      <c r="T658" s="154" t="e">
        <f t="shared" si="91"/>
        <v>#VALUE!</v>
      </c>
      <c r="U658">
        <v>5.46</v>
      </c>
      <c r="V658" s="154" t="e">
        <f t="shared" si="92"/>
        <v>#VALUE!</v>
      </c>
      <c r="W658">
        <v>5.46</v>
      </c>
      <c r="X658" s="157" t="e">
        <f t="shared" si="93"/>
        <v>#VALUE!</v>
      </c>
      <c r="Y658">
        <v>5.46</v>
      </c>
      <c r="Z658" s="154" t="e">
        <f t="shared" si="94"/>
        <v>#VALUE!</v>
      </c>
      <c r="AA658">
        <v>5.46</v>
      </c>
      <c r="AB658" s="154" t="e">
        <f t="shared" si="95"/>
        <v>#VALUE!</v>
      </c>
      <c r="AC658">
        <v>5.46</v>
      </c>
      <c r="AD658" s="154" t="e">
        <f t="shared" si="96"/>
        <v>#VALUE!</v>
      </c>
      <c r="AE658">
        <v>5.46</v>
      </c>
    </row>
    <row r="659" spans="12:31" ht="15" x14ac:dyDescent="0.2">
      <c r="L659" s="154" t="e">
        <f t="shared" si="87"/>
        <v>#VALUE!</v>
      </c>
      <c r="M659">
        <v>5.47</v>
      </c>
      <c r="N659" s="154" t="e">
        <f t="shared" si="88"/>
        <v>#VALUE!</v>
      </c>
      <c r="O659">
        <v>5.47</v>
      </c>
      <c r="P659" s="154" t="e">
        <f t="shared" si="89"/>
        <v>#VALUE!</v>
      </c>
      <c r="Q659">
        <v>5.47</v>
      </c>
      <c r="R659" s="154" t="e">
        <f t="shared" si="90"/>
        <v>#VALUE!</v>
      </c>
      <c r="S659">
        <v>5.47</v>
      </c>
      <c r="T659" s="154" t="e">
        <f t="shared" si="91"/>
        <v>#VALUE!</v>
      </c>
      <c r="U659">
        <v>5.47</v>
      </c>
      <c r="V659" s="154" t="e">
        <f t="shared" si="92"/>
        <v>#VALUE!</v>
      </c>
      <c r="W659">
        <v>5.47</v>
      </c>
      <c r="X659" s="157" t="e">
        <f t="shared" si="93"/>
        <v>#VALUE!</v>
      </c>
      <c r="Y659">
        <v>5.47</v>
      </c>
      <c r="Z659" s="154" t="e">
        <f t="shared" si="94"/>
        <v>#VALUE!</v>
      </c>
      <c r="AA659">
        <v>5.47</v>
      </c>
      <c r="AB659" s="154" t="e">
        <f t="shared" si="95"/>
        <v>#VALUE!</v>
      </c>
      <c r="AC659">
        <v>5.47</v>
      </c>
      <c r="AD659" s="154" t="e">
        <f t="shared" si="96"/>
        <v>#VALUE!</v>
      </c>
      <c r="AE659">
        <v>5.47</v>
      </c>
    </row>
    <row r="660" spans="12:31" ht="15" x14ac:dyDescent="0.2">
      <c r="L660" s="154" t="e">
        <f t="shared" si="87"/>
        <v>#VALUE!</v>
      </c>
      <c r="M660">
        <v>5.48</v>
      </c>
      <c r="N660" s="154" t="e">
        <f t="shared" si="88"/>
        <v>#VALUE!</v>
      </c>
      <c r="O660">
        <v>5.48</v>
      </c>
      <c r="P660" s="154" t="e">
        <f t="shared" si="89"/>
        <v>#VALUE!</v>
      </c>
      <c r="Q660">
        <v>5.48</v>
      </c>
      <c r="R660" s="154" t="e">
        <f t="shared" si="90"/>
        <v>#VALUE!</v>
      </c>
      <c r="S660">
        <v>5.48</v>
      </c>
      <c r="T660" s="154" t="e">
        <f t="shared" si="91"/>
        <v>#VALUE!</v>
      </c>
      <c r="U660">
        <v>5.48</v>
      </c>
      <c r="V660" s="154" t="e">
        <f t="shared" si="92"/>
        <v>#VALUE!</v>
      </c>
      <c r="W660">
        <v>5.48</v>
      </c>
      <c r="X660" s="157" t="e">
        <f t="shared" si="93"/>
        <v>#VALUE!</v>
      </c>
      <c r="Y660">
        <v>5.48</v>
      </c>
      <c r="Z660" s="154" t="e">
        <f t="shared" si="94"/>
        <v>#VALUE!</v>
      </c>
      <c r="AA660">
        <v>5.48</v>
      </c>
      <c r="AB660" s="154" t="e">
        <f t="shared" si="95"/>
        <v>#VALUE!</v>
      </c>
      <c r="AC660">
        <v>5.48</v>
      </c>
      <c r="AD660" s="154" t="e">
        <f t="shared" si="96"/>
        <v>#VALUE!</v>
      </c>
      <c r="AE660">
        <v>5.48</v>
      </c>
    </row>
    <row r="661" spans="12:31" ht="15" x14ac:dyDescent="0.2">
      <c r="L661" s="154" t="e">
        <f t="shared" si="87"/>
        <v>#VALUE!</v>
      </c>
      <c r="M661">
        <v>5.49</v>
      </c>
      <c r="N661" s="154" t="e">
        <f t="shared" si="88"/>
        <v>#VALUE!</v>
      </c>
      <c r="O661">
        <v>5.49</v>
      </c>
      <c r="P661" s="154" t="e">
        <f t="shared" si="89"/>
        <v>#VALUE!</v>
      </c>
      <c r="Q661">
        <v>5.49</v>
      </c>
      <c r="R661" s="154" t="e">
        <f t="shared" si="90"/>
        <v>#VALUE!</v>
      </c>
      <c r="S661">
        <v>5.49</v>
      </c>
      <c r="T661" s="154" t="e">
        <f t="shared" si="91"/>
        <v>#VALUE!</v>
      </c>
      <c r="U661">
        <v>5.49</v>
      </c>
      <c r="V661" s="154" t="e">
        <f t="shared" si="92"/>
        <v>#VALUE!</v>
      </c>
      <c r="W661">
        <v>5.49</v>
      </c>
      <c r="X661" s="157" t="e">
        <f t="shared" si="93"/>
        <v>#VALUE!</v>
      </c>
      <c r="Y661">
        <v>5.49</v>
      </c>
      <c r="Z661" s="154" t="e">
        <f t="shared" si="94"/>
        <v>#VALUE!</v>
      </c>
      <c r="AA661">
        <v>5.49</v>
      </c>
      <c r="AB661" s="154" t="e">
        <f t="shared" si="95"/>
        <v>#VALUE!</v>
      </c>
      <c r="AC661">
        <v>5.49</v>
      </c>
      <c r="AD661" s="154" t="e">
        <f t="shared" si="96"/>
        <v>#VALUE!</v>
      </c>
      <c r="AE661">
        <v>5.49</v>
      </c>
    </row>
    <row r="662" spans="12:31" ht="15" x14ac:dyDescent="0.2">
      <c r="L662" s="154" t="e">
        <f t="shared" si="87"/>
        <v>#VALUE!</v>
      </c>
      <c r="M662">
        <v>5.5</v>
      </c>
      <c r="N662" s="154" t="e">
        <f t="shared" si="88"/>
        <v>#VALUE!</v>
      </c>
      <c r="O662">
        <v>5.5</v>
      </c>
      <c r="P662" s="154" t="e">
        <f t="shared" si="89"/>
        <v>#VALUE!</v>
      </c>
      <c r="Q662">
        <v>5.5</v>
      </c>
      <c r="R662" s="154" t="e">
        <f t="shared" si="90"/>
        <v>#VALUE!</v>
      </c>
      <c r="S662">
        <v>5.5</v>
      </c>
      <c r="T662" s="154" t="e">
        <f t="shared" si="91"/>
        <v>#VALUE!</v>
      </c>
      <c r="U662">
        <v>5.5</v>
      </c>
      <c r="V662" s="154" t="e">
        <f t="shared" si="92"/>
        <v>#VALUE!</v>
      </c>
      <c r="W662">
        <v>5.5</v>
      </c>
      <c r="X662" s="157" t="e">
        <f t="shared" si="93"/>
        <v>#VALUE!</v>
      </c>
      <c r="Y662">
        <v>5.5</v>
      </c>
      <c r="Z662" s="154" t="e">
        <f t="shared" si="94"/>
        <v>#VALUE!</v>
      </c>
      <c r="AA662">
        <v>5.5</v>
      </c>
      <c r="AB662" s="154" t="e">
        <f t="shared" si="95"/>
        <v>#VALUE!</v>
      </c>
      <c r="AC662">
        <v>5.5</v>
      </c>
      <c r="AD662" s="154" t="e">
        <f t="shared" si="96"/>
        <v>#VALUE!</v>
      </c>
      <c r="AE662">
        <v>5.5</v>
      </c>
    </row>
    <row r="663" spans="12:31" ht="15" x14ac:dyDescent="0.2">
      <c r="L663" s="154" t="e">
        <f t="shared" si="87"/>
        <v>#VALUE!</v>
      </c>
      <c r="M663">
        <v>5.51</v>
      </c>
      <c r="N663" s="154" t="e">
        <f t="shared" si="88"/>
        <v>#VALUE!</v>
      </c>
      <c r="O663">
        <v>5.51</v>
      </c>
      <c r="P663" s="154" t="e">
        <f t="shared" si="89"/>
        <v>#VALUE!</v>
      </c>
      <c r="Q663">
        <v>5.51</v>
      </c>
      <c r="R663" s="154" t="e">
        <f t="shared" si="90"/>
        <v>#VALUE!</v>
      </c>
      <c r="S663">
        <v>5.51</v>
      </c>
      <c r="T663" s="154" t="e">
        <f t="shared" si="91"/>
        <v>#VALUE!</v>
      </c>
      <c r="U663">
        <v>5.51</v>
      </c>
      <c r="V663" s="154" t="e">
        <f t="shared" si="92"/>
        <v>#VALUE!</v>
      </c>
      <c r="W663">
        <v>5.51</v>
      </c>
      <c r="X663" s="157" t="e">
        <f t="shared" si="93"/>
        <v>#VALUE!</v>
      </c>
      <c r="Y663">
        <v>5.51</v>
      </c>
      <c r="Z663" s="154" t="e">
        <f t="shared" si="94"/>
        <v>#VALUE!</v>
      </c>
      <c r="AA663">
        <v>5.51</v>
      </c>
      <c r="AB663" s="154" t="e">
        <f t="shared" si="95"/>
        <v>#VALUE!</v>
      </c>
      <c r="AC663">
        <v>5.51</v>
      </c>
      <c r="AD663" s="154" t="e">
        <f t="shared" si="96"/>
        <v>#VALUE!</v>
      </c>
      <c r="AE663">
        <v>5.51</v>
      </c>
    </row>
    <row r="664" spans="12:31" ht="15" x14ac:dyDescent="0.2">
      <c r="L664" s="154" t="e">
        <f t="shared" si="87"/>
        <v>#VALUE!</v>
      </c>
      <c r="M664">
        <v>5.52</v>
      </c>
      <c r="N664" s="154" t="e">
        <f t="shared" si="88"/>
        <v>#VALUE!</v>
      </c>
      <c r="O664">
        <v>5.52</v>
      </c>
      <c r="P664" s="154" t="e">
        <f t="shared" si="89"/>
        <v>#VALUE!</v>
      </c>
      <c r="Q664">
        <v>5.52</v>
      </c>
      <c r="R664" s="154" t="e">
        <f t="shared" si="90"/>
        <v>#VALUE!</v>
      </c>
      <c r="S664">
        <v>5.52</v>
      </c>
      <c r="T664" s="154" t="e">
        <f t="shared" si="91"/>
        <v>#VALUE!</v>
      </c>
      <c r="U664">
        <v>5.52</v>
      </c>
      <c r="V664" s="154" t="e">
        <f t="shared" si="92"/>
        <v>#VALUE!</v>
      </c>
      <c r="W664">
        <v>5.52</v>
      </c>
      <c r="X664" s="157" t="e">
        <f t="shared" si="93"/>
        <v>#VALUE!</v>
      </c>
      <c r="Y664">
        <v>5.52</v>
      </c>
      <c r="Z664" s="154" t="e">
        <f t="shared" si="94"/>
        <v>#VALUE!</v>
      </c>
      <c r="AA664">
        <v>5.52</v>
      </c>
      <c r="AB664" s="154" t="e">
        <f t="shared" si="95"/>
        <v>#VALUE!</v>
      </c>
      <c r="AC664">
        <v>5.52</v>
      </c>
      <c r="AD664" s="154" t="e">
        <f t="shared" si="96"/>
        <v>#VALUE!</v>
      </c>
      <c r="AE664">
        <v>5.52</v>
      </c>
    </row>
    <row r="665" spans="12:31" ht="15" x14ac:dyDescent="0.2">
      <c r="L665" s="154" t="e">
        <f t="shared" si="87"/>
        <v>#VALUE!</v>
      </c>
      <c r="M665">
        <v>5.53</v>
      </c>
      <c r="N665" s="154" t="e">
        <f t="shared" si="88"/>
        <v>#VALUE!</v>
      </c>
      <c r="O665">
        <v>5.53</v>
      </c>
      <c r="P665" s="154" t="e">
        <f t="shared" si="89"/>
        <v>#VALUE!</v>
      </c>
      <c r="Q665">
        <v>5.53</v>
      </c>
      <c r="R665" s="154" t="e">
        <f t="shared" si="90"/>
        <v>#VALUE!</v>
      </c>
      <c r="S665">
        <v>5.53</v>
      </c>
      <c r="T665" s="154" t="e">
        <f t="shared" si="91"/>
        <v>#VALUE!</v>
      </c>
      <c r="U665">
        <v>5.53</v>
      </c>
      <c r="V665" s="154" t="e">
        <f t="shared" si="92"/>
        <v>#VALUE!</v>
      </c>
      <c r="W665">
        <v>5.53</v>
      </c>
      <c r="X665" s="157" t="e">
        <f t="shared" si="93"/>
        <v>#VALUE!</v>
      </c>
      <c r="Y665">
        <v>5.53</v>
      </c>
      <c r="Z665" s="154" t="e">
        <f t="shared" si="94"/>
        <v>#VALUE!</v>
      </c>
      <c r="AA665">
        <v>5.53</v>
      </c>
      <c r="AB665" s="154" t="e">
        <f t="shared" si="95"/>
        <v>#VALUE!</v>
      </c>
      <c r="AC665">
        <v>5.53</v>
      </c>
      <c r="AD665" s="154" t="e">
        <f t="shared" si="96"/>
        <v>#VALUE!</v>
      </c>
      <c r="AE665">
        <v>5.53</v>
      </c>
    </row>
    <row r="666" spans="12:31" ht="15" x14ac:dyDescent="0.2">
      <c r="L666" s="154" t="e">
        <f t="shared" si="87"/>
        <v>#VALUE!</v>
      </c>
      <c r="M666">
        <v>5.54</v>
      </c>
      <c r="N666" s="154" t="e">
        <f t="shared" si="88"/>
        <v>#VALUE!</v>
      </c>
      <c r="O666">
        <v>5.54</v>
      </c>
      <c r="P666" s="154" t="e">
        <f t="shared" si="89"/>
        <v>#VALUE!</v>
      </c>
      <c r="Q666">
        <v>5.54</v>
      </c>
      <c r="R666" s="154" t="e">
        <f t="shared" si="90"/>
        <v>#VALUE!</v>
      </c>
      <c r="S666">
        <v>5.54</v>
      </c>
      <c r="T666" s="154" t="e">
        <f t="shared" si="91"/>
        <v>#VALUE!</v>
      </c>
      <c r="U666">
        <v>5.54</v>
      </c>
      <c r="V666" s="154" t="e">
        <f t="shared" si="92"/>
        <v>#VALUE!</v>
      </c>
      <c r="W666">
        <v>5.54</v>
      </c>
      <c r="X666" s="157" t="e">
        <f t="shared" si="93"/>
        <v>#VALUE!</v>
      </c>
      <c r="Y666">
        <v>5.54</v>
      </c>
      <c r="Z666" s="154" t="e">
        <f t="shared" si="94"/>
        <v>#VALUE!</v>
      </c>
      <c r="AA666">
        <v>5.54</v>
      </c>
      <c r="AB666" s="154" t="e">
        <f t="shared" si="95"/>
        <v>#VALUE!</v>
      </c>
      <c r="AC666">
        <v>5.54</v>
      </c>
      <c r="AD666" s="154" t="e">
        <f t="shared" si="96"/>
        <v>#VALUE!</v>
      </c>
      <c r="AE666">
        <v>5.54</v>
      </c>
    </row>
    <row r="667" spans="12:31" ht="15" x14ac:dyDescent="0.2">
      <c r="L667" s="154" t="e">
        <f t="shared" si="87"/>
        <v>#VALUE!</v>
      </c>
      <c r="M667">
        <v>5.55</v>
      </c>
      <c r="N667" s="154" t="e">
        <f t="shared" si="88"/>
        <v>#VALUE!</v>
      </c>
      <c r="O667">
        <v>5.55</v>
      </c>
      <c r="P667" s="154" t="e">
        <f t="shared" si="89"/>
        <v>#VALUE!</v>
      </c>
      <c r="Q667">
        <v>5.55</v>
      </c>
      <c r="R667" s="154" t="e">
        <f t="shared" si="90"/>
        <v>#VALUE!</v>
      </c>
      <c r="S667">
        <v>5.55</v>
      </c>
      <c r="T667" s="154" t="e">
        <f t="shared" si="91"/>
        <v>#VALUE!</v>
      </c>
      <c r="U667">
        <v>5.55</v>
      </c>
      <c r="V667" s="154" t="e">
        <f t="shared" si="92"/>
        <v>#VALUE!</v>
      </c>
      <c r="W667">
        <v>5.55</v>
      </c>
      <c r="X667" s="157" t="e">
        <f t="shared" si="93"/>
        <v>#VALUE!</v>
      </c>
      <c r="Y667">
        <v>5.55</v>
      </c>
      <c r="Z667" s="154" t="e">
        <f t="shared" si="94"/>
        <v>#VALUE!</v>
      </c>
      <c r="AA667">
        <v>5.55</v>
      </c>
      <c r="AB667" s="154" t="e">
        <f t="shared" si="95"/>
        <v>#VALUE!</v>
      </c>
      <c r="AC667">
        <v>5.55</v>
      </c>
      <c r="AD667" s="154" t="e">
        <f t="shared" si="96"/>
        <v>#VALUE!</v>
      </c>
      <c r="AE667">
        <v>5.55</v>
      </c>
    </row>
    <row r="668" spans="12:31" ht="15" x14ac:dyDescent="0.2">
      <c r="L668" s="154" t="e">
        <f t="shared" si="87"/>
        <v>#VALUE!</v>
      </c>
      <c r="M668">
        <v>5.56</v>
      </c>
      <c r="N668" s="154" t="e">
        <f t="shared" si="88"/>
        <v>#VALUE!</v>
      </c>
      <c r="O668">
        <v>5.56</v>
      </c>
      <c r="P668" s="154" t="e">
        <f t="shared" si="89"/>
        <v>#VALUE!</v>
      </c>
      <c r="Q668">
        <v>5.56</v>
      </c>
      <c r="R668" s="154" t="e">
        <f t="shared" si="90"/>
        <v>#VALUE!</v>
      </c>
      <c r="S668">
        <v>5.56</v>
      </c>
      <c r="T668" s="154" t="e">
        <f t="shared" si="91"/>
        <v>#VALUE!</v>
      </c>
      <c r="U668">
        <v>5.56</v>
      </c>
      <c r="V668" s="154" t="e">
        <f t="shared" si="92"/>
        <v>#VALUE!</v>
      </c>
      <c r="W668">
        <v>5.56</v>
      </c>
      <c r="X668" s="157" t="e">
        <f t="shared" si="93"/>
        <v>#VALUE!</v>
      </c>
      <c r="Y668">
        <v>5.56</v>
      </c>
      <c r="Z668" s="154" t="e">
        <f t="shared" si="94"/>
        <v>#VALUE!</v>
      </c>
      <c r="AA668">
        <v>5.56</v>
      </c>
      <c r="AB668" s="154" t="e">
        <f t="shared" si="95"/>
        <v>#VALUE!</v>
      </c>
      <c r="AC668">
        <v>5.56</v>
      </c>
      <c r="AD668" s="154" t="e">
        <f t="shared" si="96"/>
        <v>#VALUE!</v>
      </c>
      <c r="AE668">
        <v>5.56</v>
      </c>
    </row>
    <row r="669" spans="12:31" ht="15" x14ac:dyDescent="0.2">
      <c r="L669" s="154" t="e">
        <f t="shared" si="87"/>
        <v>#VALUE!</v>
      </c>
      <c r="M669">
        <v>5.57</v>
      </c>
      <c r="N669" s="154" t="e">
        <f t="shared" si="88"/>
        <v>#VALUE!</v>
      </c>
      <c r="O669">
        <v>5.57</v>
      </c>
      <c r="P669" s="154" t="e">
        <f t="shared" si="89"/>
        <v>#VALUE!</v>
      </c>
      <c r="Q669">
        <v>5.57</v>
      </c>
      <c r="R669" s="154" t="e">
        <f t="shared" si="90"/>
        <v>#VALUE!</v>
      </c>
      <c r="S669">
        <v>5.57</v>
      </c>
      <c r="T669" s="154" t="e">
        <f t="shared" si="91"/>
        <v>#VALUE!</v>
      </c>
      <c r="U669">
        <v>5.57</v>
      </c>
      <c r="V669" s="154" t="e">
        <f t="shared" si="92"/>
        <v>#VALUE!</v>
      </c>
      <c r="W669">
        <v>5.57</v>
      </c>
      <c r="X669" s="157" t="e">
        <f t="shared" si="93"/>
        <v>#VALUE!</v>
      </c>
      <c r="Y669">
        <v>5.57</v>
      </c>
      <c r="Z669" s="154" t="e">
        <f t="shared" si="94"/>
        <v>#VALUE!</v>
      </c>
      <c r="AA669">
        <v>5.57</v>
      </c>
      <c r="AB669" s="154" t="e">
        <f t="shared" si="95"/>
        <v>#VALUE!</v>
      </c>
      <c r="AC669">
        <v>5.57</v>
      </c>
      <c r="AD669" s="154" t="e">
        <f t="shared" si="96"/>
        <v>#VALUE!</v>
      </c>
      <c r="AE669">
        <v>5.57</v>
      </c>
    </row>
    <row r="670" spans="12:31" ht="15" x14ac:dyDescent="0.2">
      <c r="L670" s="154" t="e">
        <f t="shared" si="87"/>
        <v>#VALUE!</v>
      </c>
      <c r="M670">
        <v>5.58</v>
      </c>
      <c r="N670" s="154" t="e">
        <f t="shared" si="88"/>
        <v>#VALUE!</v>
      </c>
      <c r="O670">
        <v>5.58</v>
      </c>
      <c r="P670" s="154" t="e">
        <f t="shared" si="89"/>
        <v>#VALUE!</v>
      </c>
      <c r="Q670">
        <v>5.58</v>
      </c>
      <c r="R670" s="154" t="e">
        <f t="shared" si="90"/>
        <v>#VALUE!</v>
      </c>
      <c r="S670">
        <v>5.58</v>
      </c>
      <c r="T670" s="154" t="e">
        <f t="shared" si="91"/>
        <v>#VALUE!</v>
      </c>
      <c r="U670">
        <v>5.58</v>
      </c>
      <c r="V670" s="154" t="e">
        <f t="shared" si="92"/>
        <v>#VALUE!</v>
      </c>
      <c r="W670">
        <v>5.58</v>
      </c>
      <c r="X670" s="157" t="e">
        <f t="shared" si="93"/>
        <v>#VALUE!</v>
      </c>
      <c r="Y670">
        <v>5.58</v>
      </c>
      <c r="Z670" s="154" t="e">
        <f t="shared" si="94"/>
        <v>#VALUE!</v>
      </c>
      <c r="AA670">
        <v>5.58</v>
      </c>
      <c r="AB670" s="154" t="e">
        <f t="shared" si="95"/>
        <v>#VALUE!</v>
      </c>
      <c r="AC670">
        <v>5.58</v>
      </c>
      <c r="AD670" s="154" t="e">
        <f t="shared" si="96"/>
        <v>#VALUE!</v>
      </c>
      <c r="AE670">
        <v>5.58</v>
      </c>
    </row>
    <row r="671" spans="12:31" ht="15" x14ac:dyDescent="0.2">
      <c r="L671" s="154" t="e">
        <f t="shared" si="87"/>
        <v>#VALUE!</v>
      </c>
      <c r="M671">
        <v>5.59</v>
      </c>
      <c r="N671" s="154" t="e">
        <f t="shared" si="88"/>
        <v>#VALUE!</v>
      </c>
      <c r="O671">
        <v>5.59</v>
      </c>
      <c r="P671" s="154" t="e">
        <f t="shared" si="89"/>
        <v>#VALUE!</v>
      </c>
      <c r="Q671">
        <v>5.59</v>
      </c>
      <c r="R671" s="154" t="e">
        <f t="shared" si="90"/>
        <v>#VALUE!</v>
      </c>
      <c r="S671">
        <v>5.59</v>
      </c>
      <c r="T671" s="154" t="e">
        <f t="shared" si="91"/>
        <v>#VALUE!</v>
      </c>
      <c r="U671">
        <v>5.59</v>
      </c>
      <c r="V671" s="154" t="e">
        <f t="shared" si="92"/>
        <v>#VALUE!</v>
      </c>
      <c r="W671">
        <v>5.59</v>
      </c>
      <c r="X671" s="157" t="e">
        <f t="shared" si="93"/>
        <v>#VALUE!</v>
      </c>
      <c r="Y671">
        <v>5.59</v>
      </c>
      <c r="Z671" s="154" t="e">
        <f t="shared" si="94"/>
        <v>#VALUE!</v>
      </c>
      <c r="AA671">
        <v>5.59</v>
      </c>
      <c r="AB671" s="154" t="e">
        <f t="shared" si="95"/>
        <v>#VALUE!</v>
      </c>
      <c r="AC671">
        <v>5.59</v>
      </c>
      <c r="AD671" s="154" t="e">
        <f t="shared" si="96"/>
        <v>#VALUE!</v>
      </c>
      <c r="AE671">
        <v>5.59</v>
      </c>
    </row>
    <row r="672" spans="12:31" ht="15" x14ac:dyDescent="0.2">
      <c r="L672" s="154" t="e">
        <f t="shared" si="87"/>
        <v>#VALUE!</v>
      </c>
      <c r="M672">
        <v>5.6</v>
      </c>
      <c r="N672" s="154" t="e">
        <f t="shared" si="88"/>
        <v>#VALUE!</v>
      </c>
      <c r="O672">
        <v>5.6</v>
      </c>
      <c r="P672" s="154" t="e">
        <f t="shared" si="89"/>
        <v>#VALUE!</v>
      </c>
      <c r="Q672">
        <v>5.6</v>
      </c>
      <c r="R672" s="154" t="e">
        <f t="shared" si="90"/>
        <v>#VALUE!</v>
      </c>
      <c r="S672">
        <v>5.6</v>
      </c>
      <c r="T672" s="154" t="e">
        <f t="shared" si="91"/>
        <v>#VALUE!</v>
      </c>
      <c r="U672">
        <v>5.6</v>
      </c>
      <c r="V672" s="154" t="e">
        <f t="shared" si="92"/>
        <v>#VALUE!</v>
      </c>
      <c r="W672">
        <v>5.6</v>
      </c>
      <c r="X672" s="157" t="e">
        <f t="shared" si="93"/>
        <v>#VALUE!</v>
      </c>
      <c r="Y672">
        <v>5.6</v>
      </c>
      <c r="Z672" s="154" t="e">
        <f t="shared" si="94"/>
        <v>#VALUE!</v>
      </c>
      <c r="AA672">
        <v>5.6</v>
      </c>
      <c r="AB672" s="154" t="e">
        <f t="shared" si="95"/>
        <v>#VALUE!</v>
      </c>
      <c r="AC672">
        <v>5.6</v>
      </c>
      <c r="AD672" s="154" t="e">
        <f t="shared" si="96"/>
        <v>#VALUE!</v>
      </c>
      <c r="AE672">
        <v>5.6</v>
      </c>
    </row>
    <row r="673" spans="12:31" ht="15" x14ac:dyDescent="0.2">
      <c r="L673" s="154" t="e">
        <f t="shared" si="87"/>
        <v>#VALUE!</v>
      </c>
      <c r="M673">
        <v>5.61</v>
      </c>
      <c r="N673" s="154" t="e">
        <f t="shared" si="88"/>
        <v>#VALUE!</v>
      </c>
      <c r="O673">
        <v>5.61</v>
      </c>
      <c r="P673" s="154" t="e">
        <f t="shared" si="89"/>
        <v>#VALUE!</v>
      </c>
      <c r="Q673">
        <v>5.61</v>
      </c>
      <c r="R673" s="154" t="e">
        <f t="shared" si="90"/>
        <v>#VALUE!</v>
      </c>
      <c r="S673">
        <v>5.61</v>
      </c>
      <c r="T673" s="154" t="e">
        <f t="shared" si="91"/>
        <v>#VALUE!</v>
      </c>
      <c r="U673">
        <v>5.61</v>
      </c>
      <c r="V673" s="154" t="e">
        <f t="shared" si="92"/>
        <v>#VALUE!</v>
      </c>
      <c r="W673">
        <v>5.61</v>
      </c>
      <c r="X673" s="157" t="e">
        <f t="shared" si="93"/>
        <v>#VALUE!</v>
      </c>
      <c r="Y673">
        <v>5.61</v>
      </c>
      <c r="Z673" s="154" t="e">
        <f t="shared" si="94"/>
        <v>#VALUE!</v>
      </c>
      <c r="AA673">
        <v>5.61</v>
      </c>
      <c r="AB673" s="154" t="e">
        <f t="shared" si="95"/>
        <v>#VALUE!</v>
      </c>
      <c r="AC673">
        <v>5.61</v>
      </c>
      <c r="AD673" s="154" t="e">
        <f t="shared" si="96"/>
        <v>#VALUE!</v>
      </c>
      <c r="AE673">
        <v>5.61</v>
      </c>
    </row>
    <row r="674" spans="12:31" ht="15" x14ac:dyDescent="0.2">
      <c r="L674" s="154" t="e">
        <f t="shared" si="87"/>
        <v>#VALUE!</v>
      </c>
      <c r="M674">
        <v>5.62</v>
      </c>
      <c r="N674" s="154" t="e">
        <f t="shared" si="88"/>
        <v>#VALUE!</v>
      </c>
      <c r="O674">
        <v>5.62</v>
      </c>
      <c r="P674" s="154" t="e">
        <f t="shared" si="89"/>
        <v>#VALUE!</v>
      </c>
      <c r="Q674">
        <v>5.62</v>
      </c>
      <c r="R674" s="154" t="e">
        <f t="shared" si="90"/>
        <v>#VALUE!</v>
      </c>
      <c r="S674">
        <v>5.62</v>
      </c>
      <c r="T674" s="154" t="e">
        <f t="shared" si="91"/>
        <v>#VALUE!</v>
      </c>
      <c r="U674">
        <v>5.62</v>
      </c>
      <c r="V674" s="154" t="e">
        <f t="shared" si="92"/>
        <v>#VALUE!</v>
      </c>
      <c r="W674">
        <v>5.62</v>
      </c>
      <c r="X674" s="157" t="e">
        <f t="shared" si="93"/>
        <v>#VALUE!</v>
      </c>
      <c r="Y674">
        <v>5.62</v>
      </c>
      <c r="Z674" s="154" t="e">
        <f t="shared" si="94"/>
        <v>#VALUE!</v>
      </c>
      <c r="AA674">
        <v>5.62</v>
      </c>
      <c r="AB674" s="154" t="e">
        <f t="shared" si="95"/>
        <v>#VALUE!</v>
      </c>
      <c r="AC674">
        <v>5.62</v>
      </c>
      <c r="AD674" s="154" t="e">
        <f t="shared" si="96"/>
        <v>#VALUE!</v>
      </c>
      <c r="AE674">
        <v>5.62</v>
      </c>
    </row>
    <row r="675" spans="12:31" ht="15" x14ac:dyDescent="0.2">
      <c r="L675" s="154" t="e">
        <f t="shared" si="87"/>
        <v>#VALUE!</v>
      </c>
      <c r="M675">
        <v>5.63</v>
      </c>
      <c r="N675" s="154" t="e">
        <f t="shared" si="88"/>
        <v>#VALUE!</v>
      </c>
      <c r="O675">
        <v>5.63</v>
      </c>
      <c r="P675" s="154" t="e">
        <f t="shared" si="89"/>
        <v>#VALUE!</v>
      </c>
      <c r="Q675">
        <v>5.63</v>
      </c>
      <c r="R675" s="154" t="e">
        <f t="shared" si="90"/>
        <v>#VALUE!</v>
      </c>
      <c r="S675">
        <v>5.63</v>
      </c>
      <c r="T675" s="154" t="e">
        <f t="shared" si="91"/>
        <v>#VALUE!</v>
      </c>
      <c r="U675">
        <v>5.63</v>
      </c>
      <c r="V675" s="154" t="e">
        <f t="shared" si="92"/>
        <v>#VALUE!</v>
      </c>
      <c r="W675">
        <v>5.63</v>
      </c>
      <c r="X675" s="157" t="e">
        <f t="shared" si="93"/>
        <v>#VALUE!</v>
      </c>
      <c r="Y675">
        <v>5.63</v>
      </c>
      <c r="Z675" s="154" t="e">
        <f t="shared" si="94"/>
        <v>#VALUE!</v>
      </c>
      <c r="AA675">
        <v>5.63</v>
      </c>
      <c r="AB675" s="154" t="e">
        <f t="shared" si="95"/>
        <v>#VALUE!</v>
      </c>
      <c r="AC675">
        <v>5.63</v>
      </c>
      <c r="AD675" s="154" t="e">
        <f t="shared" si="96"/>
        <v>#VALUE!</v>
      </c>
      <c r="AE675">
        <v>5.63</v>
      </c>
    </row>
    <row r="676" spans="12:31" ht="15" x14ac:dyDescent="0.2">
      <c r="L676" s="154" t="e">
        <f t="shared" si="87"/>
        <v>#VALUE!</v>
      </c>
      <c r="M676">
        <v>5.64</v>
      </c>
      <c r="N676" s="154" t="e">
        <f t="shared" si="88"/>
        <v>#VALUE!</v>
      </c>
      <c r="O676">
        <v>5.64</v>
      </c>
      <c r="P676" s="154" t="e">
        <f t="shared" si="89"/>
        <v>#VALUE!</v>
      </c>
      <c r="Q676">
        <v>5.64</v>
      </c>
      <c r="R676" s="154" t="e">
        <f t="shared" si="90"/>
        <v>#VALUE!</v>
      </c>
      <c r="S676">
        <v>5.64</v>
      </c>
      <c r="T676" s="154" t="e">
        <f t="shared" si="91"/>
        <v>#VALUE!</v>
      </c>
      <c r="U676">
        <v>5.64</v>
      </c>
      <c r="V676" s="154" t="e">
        <f t="shared" si="92"/>
        <v>#VALUE!</v>
      </c>
      <c r="W676">
        <v>5.64</v>
      </c>
      <c r="X676" s="157" t="e">
        <f t="shared" si="93"/>
        <v>#VALUE!</v>
      </c>
      <c r="Y676">
        <v>5.64</v>
      </c>
      <c r="Z676" s="154" t="e">
        <f t="shared" si="94"/>
        <v>#VALUE!</v>
      </c>
      <c r="AA676">
        <v>5.64</v>
      </c>
      <c r="AB676" s="154" t="e">
        <f t="shared" si="95"/>
        <v>#VALUE!</v>
      </c>
      <c r="AC676">
        <v>5.64</v>
      </c>
      <c r="AD676" s="154" t="e">
        <f t="shared" si="96"/>
        <v>#VALUE!</v>
      </c>
      <c r="AE676">
        <v>5.64</v>
      </c>
    </row>
    <row r="677" spans="12:31" ht="15" x14ac:dyDescent="0.2">
      <c r="L677" s="154" t="e">
        <f t="shared" si="87"/>
        <v>#VALUE!</v>
      </c>
      <c r="M677">
        <v>5.65</v>
      </c>
      <c r="N677" s="154" t="e">
        <f t="shared" si="88"/>
        <v>#VALUE!</v>
      </c>
      <c r="O677">
        <v>5.65</v>
      </c>
      <c r="P677" s="154" t="e">
        <f t="shared" si="89"/>
        <v>#VALUE!</v>
      </c>
      <c r="Q677">
        <v>5.65</v>
      </c>
      <c r="R677" s="154" t="e">
        <f t="shared" si="90"/>
        <v>#VALUE!</v>
      </c>
      <c r="S677">
        <v>5.65</v>
      </c>
      <c r="T677" s="154" t="e">
        <f t="shared" si="91"/>
        <v>#VALUE!</v>
      </c>
      <c r="U677">
        <v>5.65</v>
      </c>
      <c r="V677" s="154" t="e">
        <f t="shared" si="92"/>
        <v>#VALUE!</v>
      </c>
      <c r="W677">
        <v>5.65</v>
      </c>
      <c r="X677" s="157" t="e">
        <f t="shared" si="93"/>
        <v>#VALUE!</v>
      </c>
      <c r="Y677">
        <v>5.65</v>
      </c>
      <c r="Z677" s="154" t="e">
        <f t="shared" si="94"/>
        <v>#VALUE!</v>
      </c>
      <c r="AA677">
        <v>5.65</v>
      </c>
      <c r="AB677" s="154" t="e">
        <f t="shared" si="95"/>
        <v>#VALUE!</v>
      </c>
      <c r="AC677">
        <v>5.65</v>
      </c>
      <c r="AD677" s="154" t="e">
        <f t="shared" si="96"/>
        <v>#VALUE!</v>
      </c>
      <c r="AE677">
        <v>5.65</v>
      </c>
    </row>
    <row r="678" spans="12:31" ht="15" x14ac:dyDescent="0.2">
      <c r="L678" s="154" t="e">
        <f t="shared" si="87"/>
        <v>#VALUE!</v>
      </c>
      <c r="M678">
        <v>5.66</v>
      </c>
      <c r="N678" s="154" t="e">
        <f t="shared" si="88"/>
        <v>#VALUE!</v>
      </c>
      <c r="O678">
        <v>5.66</v>
      </c>
      <c r="P678" s="154" t="e">
        <f t="shared" si="89"/>
        <v>#VALUE!</v>
      </c>
      <c r="Q678">
        <v>5.66</v>
      </c>
      <c r="R678" s="154" t="e">
        <f t="shared" si="90"/>
        <v>#VALUE!</v>
      </c>
      <c r="S678">
        <v>5.66</v>
      </c>
      <c r="T678" s="154" t="e">
        <f t="shared" si="91"/>
        <v>#VALUE!</v>
      </c>
      <c r="U678">
        <v>5.66</v>
      </c>
      <c r="V678" s="154" t="e">
        <f t="shared" si="92"/>
        <v>#VALUE!</v>
      </c>
      <c r="W678">
        <v>5.66</v>
      </c>
      <c r="X678" s="157" t="e">
        <f t="shared" si="93"/>
        <v>#VALUE!</v>
      </c>
      <c r="Y678">
        <v>5.66</v>
      </c>
      <c r="Z678" s="154" t="e">
        <f t="shared" si="94"/>
        <v>#VALUE!</v>
      </c>
      <c r="AA678">
        <v>5.66</v>
      </c>
      <c r="AB678" s="154" t="e">
        <f t="shared" si="95"/>
        <v>#VALUE!</v>
      </c>
      <c r="AC678">
        <v>5.66</v>
      </c>
      <c r="AD678" s="154" t="e">
        <f t="shared" si="96"/>
        <v>#VALUE!</v>
      </c>
      <c r="AE678">
        <v>5.66</v>
      </c>
    </row>
    <row r="679" spans="12:31" ht="15" x14ac:dyDescent="0.2">
      <c r="L679" s="154" t="e">
        <f t="shared" si="87"/>
        <v>#VALUE!</v>
      </c>
      <c r="M679">
        <v>5.67</v>
      </c>
      <c r="N679" s="154" t="e">
        <f t="shared" si="88"/>
        <v>#VALUE!</v>
      </c>
      <c r="O679">
        <v>5.67</v>
      </c>
      <c r="P679" s="154" t="e">
        <f t="shared" si="89"/>
        <v>#VALUE!</v>
      </c>
      <c r="Q679">
        <v>5.67</v>
      </c>
      <c r="R679" s="154" t="e">
        <f t="shared" si="90"/>
        <v>#VALUE!</v>
      </c>
      <c r="S679">
        <v>5.67</v>
      </c>
      <c r="T679" s="154" t="e">
        <f t="shared" si="91"/>
        <v>#VALUE!</v>
      </c>
      <c r="U679">
        <v>5.67</v>
      </c>
      <c r="V679" s="154" t="e">
        <f t="shared" si="92"/>
        <v>#VALUE!</v>
      </c>
      <c r="W679">
        <v>5.67</v>
      </c>
      <c r="X679" s="157" t="e">
        <f t="shared" si="93"/>
        <v>#VALUE!</v>
      </c>
      <c r="Y679">
        <v>5.67</v>
      </c>
      <c r="Z679" s="154" t="e">
        <f t="shared" si="94"/>
        <v>#VALUE!</v>
      </c>
      <c r="AA679">
        <v>5.67</v>
      </c>
      <c r="AB679" s="154" t="e">
        <f t="shared" si="95"/>
        <v>#VALUE!</v>
      </c>
      <c r="AC679">
        <v>5.67</v>
      </c>
      <c r="AD679" s="154" t="e">
        <f t="shared" si="96"/>
        <v>#VALUE!</v>
      </c>
      <c r="AE679">
        <v>5.67</v>
      </c>
    </row>
    <row r="680" spans="12:31" ht="15" x14ac:dyDescent="0.2">
      <c r="L680" s="154" t="e">
        <f t="shared" si="87"/>
        <v>#VALUE!</v>
      </c>
      <c r="M680">
        <v>5.68</v>
      </c>
      <c r="N680" s="154" t="e">
        <f t="shared" si="88"/>
        <v>#VALUE!</v>
      </c>
      <c r="O680">
        <v>5.68</v>
      </c>
      <c r="P680" s="154" t="e">
        <f t="shared" si="89"/>
        <v>#VALUE!</v>
      </c>
      <c r="Q680">
        <v>5.68</v>
      </c>
      <c r="R680" s="154" t="e">
        <f t="shared" si="90"/>
        <v>#VALUE!</v>
      </c>
      <c r="S680">
        <v>5.68</v>
      </c>
      <c r="T680" s="154" t="e">
        <f t="shared" si="91"/>
        <v>#VALUE!</v>
      </c>
      <c r="U680">
        <v>5.68</v>
      </c>
      <c r="V680" s="154" t="e">
        <f t="shared" si="92"/>
        <v>#VALUE!</v>
      </c>
      <c r="W680">
        <v>5.68</v>
      </c>
      <c r="X680" s="157" t="e">
        <f t="shared" si="93"/>
        <v>#VALUE!</v>
      </c>
      <c r="Y680">
        <v>5.68</v>
      </c>
      <c r="Z680" s="154" t="e">
        <f t="shared" si="94"/>
        <v>#VALUE!</v>
      </c>
      <c r="AA680">
        <v>5.68</v>
      </c>
      <c r="AB680" s="154" t="e">
        <f t="shared" si="95"/>
        <v>#VALUE!</v>
      </c>
      <c r="AC680">
        <v>5.68</v>
      </c>
      <c r="AD680" s="154" t="e">
        <f t="shared" si="96"/>
        <v>#VALUE!</v>
      </c>
      <c r="AE680">
        <v>5.68</v>
      </c>
    </row>
    <row r="681" spans="12:31" ht="15" x14ac:dyDescent="0.2">
      <c r="L681" s="154" t="e">
        <f t="shared" si="87"/>
        <v>#VALUE!</v>
      </c>
      <c r="M681">
        <v>5.69</v>
      </c>
      <c r="N681" s="154" t="e">
        <f t="shared" si="88"/>
        <v>#VALUE!</v>
      </c>
      <c r="O681">
        <v>5.69</v>
      </c>
      <c r="P681" s="154" t="e">
        <f t="shared" si="89"/>
        <v>#VALUE!</v>
      </c>
      <c r="Q681">
        <v>5.69</v>
      </c>
      <c r="R681" s="154" t="e">
        <f t="shared" si="90"/>
        <v>#VALUE!</v>
      </c>
      <c r="S681">
        <v>5.69</v>
      </c>
      <c r="T681" s="154" t="e">
        <f t="shared" si="91"/>
        <v>#VALUE!</v>
      </c>
      <c r="U681">
        <v>5.69</v>
      </c>
      <c r="V681" s="154" t="e">
        <f t="shared" si="92"/>
        <v>#VALUE!</v>
      </c>
      <c r="W681">
        <v>5.69</v>
      </c>
      <c r="X681" s="157" t="e">
        <f t="shared" si="93"/>
        <v>#VALUE!</v>
      </c>
      <c r="Y681">
        <v>5.69</v>
      </c>
      <c r="Z681" s="154" t="e">
        <f t="shared" si="94"/>
        <v>#VALUE!</v>
      </c>
      <c r="AA681">
        <v>5.69</v>
      </c>
      <c r="AB681" s="154" t="e">
        <f t="shared" si="95"/>
        <v>#VALUE!</v>
      </c>
      <c r="AC681">
        <v>5.69</v>
      </c>
      <c r="AD681" s="154" t="e">
        <f t="shared" si="96"/>
        <v>#VALUE!</v>
      </c>
      <c r="AE681">
        <v>5.69</v>
      </c>
    </row>
    <row r="682" spans="12:31" ht="15" x14ac:dyDescent="0.2">
      <c r="L682" s="154" t="e">
        <f t="shared" si="87"/>
        <v>#VALUE!</v>
      </c>
      <c r="M682">
        <v>5.7</v>
      </c>
      <c r="N682" s="154" t="e">
        <f t="shared" si="88"/>
        <v>#VALUE!</v>
      </c>
      <c r="O682">
        <v>5.7</v>
      </c>
      <c r="P682" s="154" t="e">
        <f t="shared" si="89"/>
        <v>#VALUE!</v>
      </c>
      <c r="Q682">
        <v>5.7</v>
      </c>
      <c r="R682" s="154" t="e">
        <f t="shared" si="90"/>
        <v>#VALUE!</v>
      </c>
      <c r="S682">
        <v>5.7</v>
      </c>
      <c r="T682" s="154" t="e">
        <f t="shared" si="91"/>
        <v>#VALUE!</v>
      </c>
      <c r="U682">
        <v>5.7</v>
      </c>
      <c r="V682" s="154" t="e">
        <f t="shared" si="92"/>
        <v>#VALUE!</v>
      </c>
      <c r="W682">
        <v>5.7</v>
      </c>
      <c r="X682" s="157" t="e">
        <f t="shared" si="93"/>
        <v>#VALUE!</v>
      </c>
      <c r="Y682">
        <v>5.7</v>
      </c>
      <c r="Z682" s="154" t="e">
        <f t="shared" si="94"/>
        <v>#VALUE!</v>
      </c>
      <c r="AA682">
        <v>5.7</v>
      </c>
      <c r="AB682" s="154" t="e">
        <f t="shared" si="95"/>
        <v>#VALUE!</v>
      </c>
      <c r="AC682">
        <v>5.7</v>
      </c>
      <c r="AD682" s="154" t="e">
        <f t="shared" si="96"/>
        <v>#VALUE!</v>
      </c>
      <c r="AE682">
        <v>5.7</v>
      </c>
    </row>
    <row r="683" spans="12:31" ht="15" x14ac:dyDescent="0.2">
      <c r="L683" s="154" t="e">
        <f t="shared" si="87"/>
        <v>#VALUE!</v>
      </c>
      <c r="M683">
        <v>5.71</v>
      </c>
      <c r="N683" s="154" t="e">
        <f t="shared" si="88"/>
        <v>#VALUE!</v>
      </c>
      <c r="O683">
        <v>5.71</v>
      </c>
      <c r="P683" s="154" t="e">
        <f t="shared" si="89"/>
        <v>#VALUE!</v>
      </c>
      <c r="Q683">
        <v>5.71</v>
      </c>
      <c r="R683" s="154" t="e">
        <f t="shared" si="90"/>
        <v>#VALUE!</v>
      </c>
      <c r="S683">
        <v>5.71</v>
      </c>
      <c r="T683" s="154" t="e">
        <f t="shared" si="91"/>
        <v>#VALUE!</v>
      </c>
      <c r="U683">
        <v>5.71</v>
      </c>
      <c r="V683" s="154" t="e">
        <f t="shared" si="92"/>
        <v>#VALUE!</v>
      </c>
      <c r="W683">
        <v>5.71</v>
      </c>
      <c r="X683" s="157" t="e">
        <f t="shared" si="93"/>
        <v>#VALUE!</v>
      </c>
      <c r="Y683">
        <v>5.71</v>
      </c>
      <c r="Z683" s="154" t="e">
        <f t="shared" si="94"/>
        <v>#VALUE!</v>
      </c>
      <c r="AA683">
        <v>5.71</v>
      </c>
      <c r="AB683" s="154" t="e">
        <f t="shared" si="95"/>
        <v>#VALUE!</v>
      </c>
      <c r="AC683">
        <v>5.71</v>
      </c>
      <c r="AD683" s="154" t="e">
        <f t="shared" si="96"/>
        <v>#VALUE!</v>
      </c>
      <c r="AE683">
        <v>5.71</v>
      </c>
    </row>
    <row r="684" spans="12:31" ht="15" x14ac:dyDescent="0.2">
      <c r="L684" s="154" t="e">
        <f t="shared" si="87"/>
        <v>#VALUE!</v>
      </c>
      <c r="M684">
        <v>5.72</v>
      </c>
      <c r="N684" s="154" t="e">
        <f t="shared" si="88"/>
        <v>#VALUE!</v>
      </c>
      <c r="O684">
        <v>5.72</v>
      </c>
      <c r="P684" s="154" t="e">
        <f t="shared" si="89"/>
        <v>#VALUE!</v>
      </c>
      <c r="Q684">
        <v>5.72</v>
      </c>
      <c r="R684" s="154" t="e">
        <f t="shared" si="90"/>
        <v>#VALUE!</v>
      </c>
      <c r="S684">
        <v>5.72</v>
      </c>
      <c r="T684" s="154" t="e">
        <f t="shared" si="91"/>
        <v>#VALUE!</v>
      </c>
      <c r="U684">
        <v>5.72</v>
      </c>
      <c r="V684" s="154" t="e">
        <f t="shared" si="92"/>
        <v>#VALUE!</v>
      </c>
      <c r="W684">
        <v>5.72</v>
      </c>
      <c r="X684" s="157" t="e">
        <f t="shared" si="93"/>
        <v>#VALUE!</v>
      </c>
      <c r="Y684">
        <v>5.72</v>
      </c>
      <c r="Z684" s="154" t="e">
        <f t="shared" si="94"/>
        <v>#VALUE!</v>
      </c>
      <c r="AA684">
        <v>5.72</v>
      </c>
      <c r="AB684" s="154" t="e">
        <f t="shared" si="95"/>
        <v>#VALUE!</v>
      </c>
      <c r="AC684">
        <v>5.72</v>
      </c>
      <c r="AD684" s="154" t="e">
        <f t="shared" si="96"/>
        <v>#VALUE!</v>
      </c>
      <c r="AE684">
        <v>5.72</v>
      </c>
    </row>
    <row r="685" spans="12:31" ht="15" x14ac:dyDescent="0.2">
      <c r="L685" s="154" t="e">
        <f t="shared" si="87"/>
        <v>#VALUE!</v>
      </c>
      <c r="M685">
        <v>5.73</v>
      </c>
      <c r="N685" s="154" t="e">
        <f t="shared" si="88"/>
        <v>#VALUE!</v>
      </c>
      <c r="O685">
        <v>5.73</v>
      </c>
      <c r="P685" s="154" t="e">
        <f t="shared" si="89"/>
        <v>#VALUE!</v>
      </c>
      <c r="Q685">
        <v>5.73</v>
      </c>
      <c r="R685" s="154" t="e">
        <f t="shared" si="90"/>
        <v>#VALUE!</v>
      </c>
      <c r="S685">
        <v>5.73</v>
      </c>
      <c r="T685" s="154" t="e">
        <f t="shared" si="91"/>
        <v>#VALUE!</v>
      </c>
      <c r="U685">
        <v>5.73</v>
      </c>
      <c r="V685" s="154" t="e">
        <f t="shared" si="92"/>
        <v>#VALUE!</v>
      </c>
      <c r="W685">
        <v>5.73</v>
      </c>
      <c r="X685" s="157" t="e">
        <f t="shared" si="93"/>
        <v>#VALUE!</v>
      </c>
      <c r="Y685">
        <v>5.73</v>
      </c>
      <c r="Z685" s="154" t="e">
        <f t="shared" si="94"/>
        <v>#VALUE!</v>
      </c>
      <c r="AA685">
        <v>5.73</v>
      </c>
      <c r="AB685" s="154" t="e">
        <f t="shared" si="95"/>
        <v>#VALUE!</v>
      </c>
      <c r="AC685">
        <v>5.73</v>
      </c>
      <c r="AD685" s="154" t="e">
        <f t="shared" si="96"/>
        <v>#VALUE!</v>
      </c>
      <c r="AE685">
        <v>5.73</v>
      </c>
    </row>
    <row r="686" spans="12:31" ht="15" x14ac:dyDescent="0.2">
      <c r="L686" s="154" t="e">
        <f t="shared" si="87"/>
        <v>#VALUE!</v>
      </c>
      <c r="M686">
        <v>5.74</v>
      </c>
      <c r="N686" s="154" t="e">
        <f t="shared" si="88"/>
        <v>#VALUE!</v>
      </c>
      <c r="O686">
        <v>5.74</v>
      </c>
      <c r="P686" s="154" t="e">
        <f t="shared" si="89"/>
        <v>#VALUE!</v>
      </c>
      <c r="Q686">
        <v>5.74</v>
      </c>
      <c r="R686" s="154" t="e">
        <f t="shared" si="90"/>
        <v>#VALUE!</v>
      </c>
      <c r="S686">
        <v>5.74</v>
      </c>
      <c r="T686" s="154" t="e">
        <f t="shared" si="91"/>
        <v>#VALUE!</v>
      </c>
      <c r="U686">
        <v>5.74</v>
      </c>
      <c r="V686" s="154" t="e">
        <f t="shared" si="92"/>
        <v>#VALUE!</v>
      </c>
      <c r="W686">
        <v>5.74</v>
      </c>
      <c r="X686" s="157" t="e">
        <f t="shared" si="93"/>
        <v>#VALUE!</v>
      </c>
      <c r="Y686">
        <v>5.74</v>
      </c>
      <c r="Z686" s="154" t="e">
        <f t="shared" si="94"/>
        <v>#VALUE!</v>
      </c>
      <c r="AA686">
        <v>5.74</v>
      </c>
      <c r="AB686" s="154" t="e">
        <f t="shared" si="95"/>
        <v>#VALUE!</v>
      </c>
      <c r="AC686">
        <v>5.74</v>
      </c>
      <c r="AD686" s="154" t="e">
        <f t="shared" si="96"/>
        <v>#VALUE!</v>
      </c>
      <c r="AE686">
        <v>5.74</v>
      </c>
    </row>
    <row r="687" spans="12:31" ht="15" x14ac:dyDescent="0.2">
      <c r="L687" s="154" t="e">
        <f t="shared" si="87"/>
        <v>#VALUE!</v>
      </c>
      <c r="M687">
        <v>5.75</v>
      </c>
      <c r="N687" s="154" t="e">
        <f t="shared" si="88"/>
        <v>#VALUE!</v>
      </c>
      <c r="O687">
        <v>5.75</v>
      </c>
      <c r="P687" s="154" t="e">
        <f t="shared" si="89"/>
        <v>#VALUE!</v>
      </c>
      <c r="Q687">
        <v>5.75</v>
      </c>
      <c r="R687" s="154" t="e">
        <f t="shared" si="90"/>
        <v>#VALUE!</v>
      </c>
      <c r="S687">
        <v>5.75</v>
      </c>
      <c r="T687" s="154" t="e">
        <f t="shared" si="91"/>
        <v>#VALUE!</v>
      </c>
      <c r="U687">
        <v>5.75</v>
      </c>
      <c r="V687" s="154" t="e">
        <f t="shared" si="92"/>
        <v>#VALUE!</v>
      </c>
      <c r="W687">
        <v>5.75</v>
      </c>
      <c r="X687" s="157" t="e">
        <f t="shared" si="93"/>
        <v>#VALUE!</v>
      </c>
      <c r="Y687">
        <v>5.75</v>
      </c>
      <c r="Z687" s="154" t="e">
        <f t="shared" si="94"/>
        <v>#VALUE!</v>
      </c>
      <c r="AA687">
        <v>5.75</v>
      </c>
      <c r="AB687" s="154" t="e">
        <f t="shared" si="95"/>
        <v>#VALUE!</v>
      </c>
      <c r="AC687">
        <v>5.75</v>
      </c>
      <c r="AD687" s="154" t="e">
        <f t="shared" si="96"/>
        <v>#VALUE!</v>
      </c>
      <c r="AE687">
        <v>5.75</v>
      </c>
    </row>
    <row r="688" spans="12:31" ht="15" x14ac:dyDescent="0.2">
      <c r="L688" s="154" t="e">
        <f t="shared" si="87"/>
        <v>#VALUE!</v>
      </c>
      <c r="M688">
        <v>5.76</v>
      </c>
      <c r="N688" s="154" t="e">
        <f t="shared" si="88"/>
        <v>#VALUE!</v>
      </c>
      <c r="O688">
        <v>5.76</v>
      </c>
      <c r="P688" s="154" t="e">
        <f t="shared" si="89"/>
        <v>#VALUE!</v>
      </c>
      <c r="Q688">
        <v>5.76</v>
      </c>
      <c r="R688" s="154" t="e">
        <f t="shared" si="90"/>
        <v>#VALUE!</v>
      </c>
      <c r="S688">
        <v>5.76</v>
      </c>
      <c r="T688" s="154" t="e">
        <f t="shared" si="91"/>
        <v>#VALUE!</v>
      </c>
      <c r="U688">
        <v>5.76</v>
      </c>
      <c r="V688" s="154" t="e">
        <f t="shared" si="92"/>
        <v>#VALUE!</v>
      </c>
      <c r="W688">
        <v>5.76</v>
      </c>
      <c r="X688" s="157" t="e">
        <f t="shared" si="93"/>
        <v>#VALUE!</v>
      </c>
      <c r="Y688">
        <v>5.76</v>
      </c>
      <c r="Z688" s="154" t="e">
        <f t="shared" si="94"/>
        <v>#VALUE!</v>
      </c>
      <c r="AA688">
        <v>5.76</v>
      </c>
      <c r="AB688" s="154" t="e">
        <f t="shared" si="95"/>
        <v>#VALUE!</v>
      </c>
      <c r="AC688">
        <v>5.76</v>
      </c>
      <c r="AD688" s="154" t="e">
        <f t="shared" si="96"/>
        <v>#VALUE!</v>
      </c>
      <c r="AE688">
        <v>5.76</v>
      </c>
    </row>
    <row r="689" spans="12:31" ht="15" x14ac:dyDescent="0.2">
      <c r="L689" s="154" t="e">
        <f t="shared" ref="L689:L752" si="97">((1.486/$D$33)*((((PI()*($D$46/12)^2)/4)-((($D$46/12)/2)^2*((2*ACOS(((($D$46/12)/2)-(($D$46/12)-(M689/12)))/(($D$46/12)/2)))-SIN(2*ACOS(((($D$46/12)/2)-(($D$46/12)-(M689/12)))/(($D$46/12)/2))))/2))/((PI()*($D$46/12))-((2*ACOS(((($D$46/12)/2)-(($D$46/12)-(M689/12)))/(($D$46/12)/2)))*(($D$46/12)/2))))^(2/3)*$H$17^0.5)*(((PI()*($D$46/12)^2)/4)-((($D$46/12)/2)^2*((2*ACOS(((($D$46/12)/2)-(($D$46/12)-(M689/12)))/(($D$46/12)/2)))-SIN(2*ACOS(((($D$46/12)/2)-(($D$46/12)-(M689/12)))/(($D$46/12)/2))))/2))</f>
        <v>#VALUE!</v>
      </c>
      <c r="M689">
        <v>5.77</v>
      </c>
      <c r="N689" s="154" t="e">
        <f t="shared" ref="N689:N752" si="98">((1.486/$D$34)*((((PI()*($D$47/12)^2)/4)-((($D$47/12)/2)^2*((2*ACOS(((($D$47/12)/2)-(($D$47/12)-(O689/12)))/(($D$47/12)/2)))-SIN(2*ACOS(((($D$47/12)/2)-(($D$47/12)-(O689/12)))/(($D$47/12)/2))))/2))/((PI()*($D$47/12))-((2*ACOS(((($D$47/12)/2)-(($D$47/12)-(O689/12)))/(($D$47/12)/2)))*(($D$47/12)/2))))^(2/3)*$H$18^0.5)*(((PI()*($D$47/12)^2)/4)-((($D$47/12)/2)^2*((2*ACOS(((($D$47/12)/2)-(($D$47/12)-(O689/12)))/(($D$47/12)/2)))-SIN(2*ACOS(((($D$47/12)/2)-(($D$47/12)-(O689/12)))/(($D$47/12)/2))))/2))</f>
        <v>#VALUE!</v>
      </c>
      <c r="O689">
        <v>5.77</v>
      </c>
      <c r="P689" s="154" t="e">
        <f t="shared" ref="P689:P752" si="99">((1.486/$D$35)*((((PI()*($D$48/12)^2)/4)-((($D$48/12)/2)^2*((2*ACOS(((($D$48/12)/2)-(($D$48/12)-(Q689/12)))/(($D$48/12)/2)))-SIN(2*ACOS(((($D$48/12)/2)-(($D$48/12)-(Q689/12)))/(($D$48/12)/2))))/2))/((PI()*($D$48/12))-((2*ACOS(((($D$48/12)/2)-(($D$48/12)-(Q689/12)))/(($D$48/12)/2)))*(($D$48/12)/2))))^(2/3)*$H$19^0.5)*(((PI()*($D$48/12)^2)/4)-((($D$48/12)/2)^2*((2*ACOS(((($D$48/12)/2)-(($D$48/12)-(Q689/12)))/(($D$48/12)/2)))-SIN(2*ACOS(((($D$48/12)/2)-(($D$48/12)-(Q689/12)))/(($D$48/12)/2))))/2))</f>
        <v>#VALUE!</v>
      </c>
      <c r="Q689">
        <v>5.77</v>
      </c>
      <c r="R689" s="154" t="e">
        <f t="shared" ref="R689:R752" si="100">((1.486/$D$36)*((((PI()*($D$49/12)^2)/4)-((($D$49/12)/2)^2*((2*ACOS(((($D$49/12)/2)-(($D$49/12)-(S689/12)))/(($D$49/12)/2)))-SIN(2*ACOS(((($D$49/12)/2)-(($D$49/12)-(S689/12)))/(($D$49/12)/2))))/2))/((PI()*($D$49/12))-((2*ACOS(((($D$49/12)/2)-(($D$49/12)-(S689/12)))/(($D$49/12)/2)))*(($D$49/12)/2))))^(2/3)*$H$20^0.5)*(((PI()*($D$49/12)^2)/4)-((($D$49/12)/2)^2*((2*ACOS(((($D$49/12)/2)-(($D$49/12)-(S689/12)))/(($D$49/12)/2)))-SIN(2*ACOS(((($D$49/12)/2)-(($D$49/12)-(S689/12)))/(($D$49/12)/2))))/2))</f>
        <v>#VALUE!</v>
      </c>
      <c r="S689">
        <v>5.77</v>
      </c>
      <c r="T689" s="154" t="e">
        <f t="shared" ref="T689:T752" si="101">((1.486/$D$37)*((((PI()*($D$50/12)^2)/4)-((($D$50/12)/2)^2*((2*ACOS(((($D$50/12)/2)-(($D$50/12)-(U689/12)))/(($D$50/12)/2)))-SIN(2*ACOS(((($D$50/12)/2)-(($D$50/12)-(U689/12)))/(($D$50/12)/2))))/2))/((PI()*($D$50/12))-((2*ACOS(((($D$50/12)/2)-(($D$50/12)-(U689/12)))/(($D$50/12)/2)))*(($D$50/12)/2))))^(2/3)*$H$21^0.5)*(((PI()*($D$50/12)^2)/4)-((($D$50/12)/2)^2*((2*ACOS(((($D$50/12)/2)-(($D$50/12)-(U689/12)))/(($D$50/12)/2)))-SIN(2*ACOS(((($D$50/12)/2)-(($D$50/12)-(U689/12)))/(($D$50/12)/2))))/2))</f>
        <v>#VALUE!</v>
      </c>
      <c r="U689">
        <v>5.77</v>
      </c>
      <c r="V689" s="154" t="e">
        <f t="shared" ref="V689:V752" si="102">((1.486/$D$38)*((((PI()*($D$51/12)^2)/4)-((($D$51/12)/2)^2*((2*ACOS(((($D$51/12)/2)-(($D$51/12)-(W689/12)))/(($D$51/12)/2)))-SIN(2*ACOS(((($D$51/12)/2)-(($D$51/12)-(W689/12)))/(($D$51/12)/2))))/2))/((PI()*($D$51/12))-((2*ACOS(((($D$51/12)/2)-(($D$51/12)-(W689/12)))/(($D$51/12)/2)))*(($D$51/12)/2))))^(2/3)*$H$22^0.5)*(((PI()*($D$51/12)^2)/4)-((($D$51/12)/2)^2*((2*ACOS(((($D$51/12)/2)-(($D$51/12)-(W689/12)))/(($D$51/12)/2)))-SIN(2*ACOS(((($D$51/12)/2)-(($D$51/12)-(W689/12)))/(($D$51/12)/2))))/2))</f>
        <v>#VALUE!</v>
      </c>
      <c r="W689">
        <v>5.77</v>
      </c>
      <c r="X689" s="157" t="e">
        <f t="shared" ref="X689:X752" si="103">((1.486/$D$39)*((((PI()*($D$52/12)^2)/4)-((($D$52/12)/2)^2*((2*ACOS(((($D$52/12)/2)-(($D$52/12)-(Y689/12)))/(($D$52/12)/2)))-SIN(2*ACOS(((($D$52/12)/2)-(($D$52/12)-(Y689/12)))/(($D$52/12)/2))))/2))/((PI()*($D$52/12))-((2*ACOS(((($D$52/12)/2)-(($D$52/12)-(Y689/12)))/(($D$52/12)/2)))*(($D$52/12)/2))))^(2/3)*$H$23^0.5)*(((PI()*($D$52/12)^2)/4)-((($D$52/12)/2)^2*((2*ACOS(((($D$52/12)/2)-(($D$52/12)-(Y689/12)))/(($D$52/12)/2)))-SIN(2*ACOS(((($D$52/12)/2)-(($D$52/12)-(Y689/12)))/(($D$52/12)/2))))/2))</f>
        <v>#VALUE!</v>
      </c>
      <c r="Y689">
        <v>5.77</v>
      </c>
      <c r="Z689" s="154" t="e">
        <f t="shared" ref="Z689:Z752" si="104">((1.486/$D$40)*((((PI()*($D$53/12)^2)/4)-((($D$53/12)/2)^2*((2*ACOS(((($D$53/12)/2)-(($D$53/12)-(AA689/12)))/(($D$53/12)/2)))-SIN(2*ACOS(((($D$53/12)/2)-(($D$53/12)-(AA689/12)))/(($D$53/12)/2))))/2))/((PI()*($D$53/12))-((2*ACOS(((($D$53/12)/2)-(($D$53/12)-(AA689/12)))/(($D$53/12)/2)))*(($D$53/12)/2))))^(2/3)*$H$24^0.5)*(((PI()*($D$53/12)^2)/4)-((($D$53/12)/2)^2*((2*ACOS(((($D$53/12)/2)-(($D$53/12)-(AA689/12)))/(($D$53/12)/2)))-SIN(2*ACOS(((($D$53/12)/2)-(($D$53/12)-(AA689/12)))/(($D$53/12)/2))))/2))</f>
        <v>#VALUE!</v>
      </c>
      <c r="AA689">
        <v>5.77</v>
      </c>
      <c r="AB689" s="154" t="e">
        <f t="shared" ref="AB689:AB752" si="105">((1.486/$D$41)*((((PI()*($D$54/12)^2)/4)-((($D$54/12)/2)^2*((2*ACOS(((($D$54/12)/2)-(($D$54/12)-(AC689/12)))/(($D$54/12)/2)))-SIN(2*ACOS(((($D$54/12)/2)-(($D$54/12)-(AC689/12)))/(($D$54/12)/2))))/2))/((PI()*($D$54/12))-((2*ACOS(((($D$54/12)/2)-(($D$54/12)-(AC689/12)))/(($D$54/12)/2)))*(($D$54/12)/2))))^(2/3)*$H$25^0.5)*(((PI()*($D$54/12)^2)/4)-((($D$54/12)/2)^2*((2*ACOS(((($D$54/12)/2)-(($D$54/12)-(AC689/12)))/(($D$54/12)/2)))-SIN(2*ACOS(((($D$54/12)/2)-(($D$54/12)-(AC689/12)))/(($D$54/12)/2))))/2))</f>
        <v>#VALUE!</v>
      </c>
      <c r="AC689">
        <v>5.77</v>
      </c>
      <c r="AD689" s="154" t="e">
        <f t="shared" ref="AD689:AD752" si="106">((1.486/$D$42)*((((PI()*($D$55/12)^2)/4)-((($D$55/12)/2)^2*((2*ACOS(((($D$55/12)/2)-(($D$55/12)-(AE689/12)))/(($D$55/12)/2)))-SIN(2*ACOS(((($D$55/12)/2)-(($D$55/12)-(AE689/12)))/(($D$55/12)/2))))/2))/((PI()*($D$55/12))-((2*ACOS(((($D$55/12)/2)-(($D$55/12)-(AE689/12)))/(($D$55/12)/2)))*(($D$55/12)/2))))^(2/3)*$H$26^0.5)*(((PI()*($D$55/12)^2)/4)-((($D$55/12)/2)^2*((2*ACOS(((($D$55/12)/2)-(($D$55/12)-(AE689/12)))/(($D$55/12)/2)))-SIN(2*ACOS(((($D$55/12)/2)-(($D$55/12)-(AE689/12)))/(($D$55/12)/2))))/2))</f>
        <v>#VALUE!</v>
      </c>
      <c r="AE689">
        <v>5.77</v>
      </c>
    </row>
    <row r="690" spans="12:31" ht="15" x14ac:dyDescent="0.2">
      <c r="L690" s="154" t="e">
        <f t="shared" si="97"/>
        <v>#VALUE!</v>
      </c>
      <c r="M690">
        <v>5.78</v>
      </c>
      <c r="N690" s="154" t="e">
        <f t="shared" si="98"/>
        <v>#VALUE!</v>
      </c>
      <c r="O690">
        <v>5.78</v>
      </c>
      <c r="P690" s="154" t="e">
        <f t="shared" si="99"/>
        <v>#VALUE!</v>
      </c>
      <c r="Q690">
        <v>5.78</v>
      </c>
      <c r="R690" s="154" t="e">
        <f t="shared" si="100"/>
        <v>#VALUE!</v>
      </c>
      <c r="S690">
        <v>5.78</v>
      </c>
      <c r="T690" s="154" t="e">
        <f t="shared" si="101"/>
        <v>#VALUE!</v>
      </c>
      <c r="U690">
        <v>5.78</v>
      </c>
      <c r="V690" s="154" t="e">
        <f t="shared" si="102"/>
        <v>#VALUE!</v>
      </c>
      <c r="W690">
        <v>5.78</v>
      </c>
      <c r="X690" s="157" t="e">
        <f t="shared" si="103"/>
        <v>#VALUE!</v>
      </c>
      <c r="Y690">
        <v>5.78</v>
      </c>
      <c r="Z690" s="154" t="e">
        <f t="shared" si="104"/>
        <v>#VALUE!</v>
      </c>
      <c r="AA690">
        <v>5.78</v>
      </c>
      <c r="AB690" s="154" t="e">
        <f t="shared" si="105"/>
        <v>#VALUE!</v>
      </c>
      <c r="AC690">
        <v>5.78</v>
      </c>
      <c r="AD690" s="154" t="e">
        <f t="shared" si="106"/>
        <v>#VALUE!</v>
      </c>
      <c r="AE690">
        <v>5.78</v>
      </c>
    </row>
    <row r="691" spans="12:31" ht="15" x14ac:dyDescent="0.2">
      <c r="L691" s="154" t="e">
        <f t="shared" si="97"/>
        <v>#VALUE!</v>
      </c>
      <c r="M691">
        <v>5.79</v>
      </c>
      <c r="N691" s="154" t="e">
        <f t="shared" si="98"/>
        <v>#VALUE!</v>
      </c>
      <c r="O691">
        <v>5.79</v>
      </c>
      <c r="P691" s="154" t="e">
        <f t="shared" si="99"/>
        <v>#VALUE!</v>
      </c>
      <c r="Q691">
        <v>5.79</v>
      </c>
      <c r="R691" s="154" t="e">
        <f t="shared" si="100"/>
        <v>#VALUE!</v>
      </c>
      <c r="S691">
        <v>5.79</v>
      </c>
      <c r="T691" s="154" t="e">
        <f t="shared" si="101"/>
        <v>#VALUE!</v>
      </c>
      <c r="U691">
        <v>5.79</v>
      </c>
      <c r="V691" s="154" t="e">
        <f t="shared" si="102"/>
        <v>#VALUE!</v>
      </c>
      <c r="W691">
        <v>5.79</v>
      </c>
      <c r="X691" s="157" t="e">
        <f t="shared" si="103"/>
        <v>#VALUE!</v>
      </c>
      <c r="Y691">
        <v>5.79</v>
      </c>
      <c r="Z691" s="154" t="e">
        <f t="shared" si="104"/>
        <v>#VALUE!</v>
      </c>
      <c r="AA691">
        <v>5.79</v>
      </c>
      <c r="AB691" s="154" t="e">
        <f t="shared" si="105"/>
        <v>#VALUE!</v>
      </c>
      <c r="AC691">
        <v>5.79</v>
      </c>
      <c r="AD691" s="154" t="e">
        <f t="shared" si="106"/>
        <v>#VALUE!</v>
      </c>
      <c r="AE691">
        <v>5.79</v>
      </c>
    </row>
    <row r="692" spans="12:31" ht="15" x14ac:dyDescent="0.2">
      <c r="L692" s="154" t="e">
        <f t="shared" si="97"/>
        <v>#VALUE!</v>
      </c>
      <c r="M692">
        <v>5.8</v>
      </c>
      <c r="N692" s="154" t="e">
        <f t="shared" si="98"/>
        <v>#VALUE!</v>
      </c>
      <c r="O692">
        <v>5.8</v>
      </c>
      <c r="P692" s="154" t="e">
        <f t="shared" si="99"/>
        <v>#VALUE!</v>
      </c>
      <c r="Q692">
        <v>5.8</v>
      </c>
      <c r="R692" s="154" t="e">
        <f t="shared" si="100"/>
        <v>#VALUE!</v>
      </c>
      <c r="S692">
        <v>5.8</v>
      </c>
      <c r="T692" s="154" t="e">
        <f t="shared" si="101"/>
        <v>#VALUE!</v>
      </c>
      <c r="U692">
        <v>5.8</v>
      </c>
      <c r="V692" s="154" t="e">
        <f t="shared" si="102"/>
        <v>#VALUE!</v>
      </c>
      <c r="W692">
        <v>5.8</v>
      </c>
      <c r="X692" s="157" t="e">
        <f t="shared" si="103"/>
        <v>#VALUE!</v>
      </c>
      <c r="Y692">
        <v>5.8</v>
      </c>
      <c r="Z692" s="154" t="e">
        <f t="shared" si="104"/>
        <v>#VALUE!</v>
      </c>
      <c r="AA692">
        <v>5.8</v>
      </c>
      <c r="AB692" s="154" t="e">
        <f t="shared" si="105"/>
        <v>#VALUE!</v>
      </c>
      <c r="AC692">
        <v>5.8</v>
      </c>
      <c r="AD692" s="154" t="e">
        <f t="shared" si="106"/>
        <v>#VALUE!</v>
      </c>
      <c r="AE692">
        <v>5.8</v>
      </c>
    </row>
    <row r="693" spans="12:31" ht="15" x14ac:dyDescent="0.2">
      <c r="L693" s="154" t="e">
        <f t="shared" si="97"/>
        <v>#VALUE!</v>
      </c>
      <c r="M693">
        <v>5.81</v>
      </c>
      <c r="N693" s="154" t="e">
        <f t="shared" si="98"/>
        <v>#VALUE!</v>
      </c>
      <c r="O693">
        <v>5.81</v>
      </c>
      <c r="P693" s="154" t="e">
        <f t="shared" si="99"/>
        <v>#VALUE!</v>
      </c>
      <c r="Q693">
        <v>5.81</v>
      </c>
      <c r="R693" s="154" t="e">
        <f t="shared" si="100"/>
        <v>#VALUE!</v>
      </c>
      <c r="S693">
        <v>5.81</v>
      </c>
      <c r="T693" s="154" t="e">
        <f t="shared" si="101"/>
        <v>#VALUE!</v>
      </c>
      <c r="U693">
        <v>5.81</v>
      </c>
      <c r="V693" s="154" t="e">
        <f t="shared" si="102"/>
        <v>#VALUE!</v>
      </c>
      <c r="W693">
        <v>5.81</v>
      </c>
      <c r="X693" s="157" t="e">
        <f t="shared" si="103"/>
        <v>#VALUE!</v>
      </c>
      <c r="Y693">
        <v>5.81</v>
      </c>
      <c r="Z693" s="154" t="e">
        <f t="shared" si="104"/>
        <v>#VALUE!</v>
      </c>
      <c r="AA693">
        <v>5.81</v>
      </c>
      <c r="AB693" s="154" t="e">
        <f t="shared" si="105"/>
        <v>#VALUE!</v>
      </c>
      <c r="AC693">
        <v>5.81</v>
      </c>
      <c r="AD693" s="154" t="e">
        <f t="shared" si="106"/>
        <v>#VALUE!</v>
      </c>
      <c r="AE693">
        <v>5.81</v>
      </c>
    </row>
    <row r="694" spans="12:31" ht="15" x14ac:dyDescent="0.2">
      <c r="L694" s="154" t="e">
        <f t="shared" si="97"/>
        <v>#VALUE!</v>
      </c>
      <c r="M694">
        <v>5.82</v>
      </c>
      <c r="N694" s="154" t="e">
        <f t="shared" si="98"/>
        <v>#VALUE!</v>
      </c>
      <c r="O694">
        <v>5.82</v>
      </c>
      <c r="P694" s="154" t="e">
        <f t="shared" si="99"/>
        <v>#VALUE!</v>
      </c>
      <c r="Q694">
        <v>5.82</v>
      </c>
      <c r="R694" s="154" t="e">
        <f t="shared" si="100"/>
        <v>#VALUE!</v>
      </c>
      <c r="S694">
        <v>5.82</v>
      </c>
      <c r="T694" s="154" t="e">
        <f t="shared" si="101"/>
        <v>#VALUE!</v>
      </c>
      <c r="U694">
        <v>5.82</v>
      </c>
      <c r="V694" s="154" t="e">
        <f t="shared" si="102"/>
        <v>#VALUE!</v>
      </c>
      <c r="W694">
        <v>5.82</v>
      </c>
      <c r="X694" s="157" t="e">
        <f t="shared" si="103"/>
        <v>#VALUE!</v>
      </c>
      <c r="Y694">
        <v>5.82</v>
      </c>
      <c r="Z694" s="154" t="e">
        <f t="shared" si="104"/>
        <v>#VALUE!</v>
      </c>
      <c r="AA694">
        <v>5.82</v>
      </c>
      <c r="AB694" s="154" t="e">
        <f t="shared" si="105"/>
        <v>#VALUE!</v>
      </c>
      <c r="AC694">
        <v>5.82</v>
      </c>
      <c r="AD694" s="154" t="e">
        <f t="shared" si="106"/>
        <v>#VALUE!</v>
      </c>
      <c r="AE694">
        <v>5.82</v>
      </c>
    </row>
    <row r="695" spans="12:31" ht="15" x14ac:dyDescent="0.2">
      <c r="L695" s="154" t="e">
        <f t="shared" si="97"/>
        <v>#VALUE!</v>
      </c>
      <c r="M695">
        <v>5.83</v>
      </c>
      <c r="N695" s="154" t="e">
        <f t="shared" si="98"/>
        <v>#VALUE!</v>
      </c>
      <c r="O695">
        <v>5.83</v>
      </c>
      <c r="P695" s="154" t="e">
        <f t="shared" si="99"/>
        <v>#VALUE!</v>
      </c>
      <c r="Q695">
        <v>5.83</v>
      </c>
      <c r="R695" s="154" t="e">
        <f t="shared" si="100"/>
        <v>#VALUE!</v>
      </c>
      <c r="S695">
        <v>5.83</v>
      </c>
      <c r="T695" s="154" t="e">
        <f t="shared" si="101"/>
        <v>#VALUE!</v>
      </c>
      <c r="U695">
        <v>5.83</v>
      </c>
      <c r="V695" s="154" t="e">
        <f t="shared" si="102"/>
        <v>#VALUE!</v>
      </c>
      <c r="W695">
        <v>5.83</v>
      </c>
      <c r="X695" s="157" t="e">
        <f t="shared" si="103"/>
        <v>#VALUE!</v>
      </c>
      <c r="Y695">
        <v>5.83</v>
      </c>
      <c r="Z695" s="154" t="e">
        <f t="shared" si="104"/>
        <v>#VALUE!</v>
      </c>
      <c r="AA695">
        <v>5.83</v>
      </c>
      <c r="AB695" s="154" t="e">
        <f t="shared" si="105"/>
        <v>#VALUE!</v>
      </c>
      <c r="AC695">
        <v>5.83</v>
      </c>
      <c r="AD695" s="154" t="e">
        <f t="shared" si="106"/>
        <v>#VALUE!</v>
      </c>
      <c r="AE695">
        <v>5.83</v>
      </c>
    </row>
    <row r="696" spans="12:31" ht="15" x14ac:dyDescent="0.2">
      <c r="L696" s="154" t="e">
        <f t="shared" si="97"/>
        <v>#VALUE!</v>
      </c>
      <c r="M696">
        <v>5.84</v>
      </c>
      <c r="N696" s="154" t="e">
        <f t="shared" si="98"/>
        <v>#VALUE!</v>
      </c>
      <c r="O696">
        <v>5.84</v>
      </c>
      <c r="P696" s="154" t="e">
        <f t="shared" si="99"/>
        <v>#VALUE!</v>
      </c>
      <c r="Q696">
        <v>5.84</v>
      </c>
      <c r="R696" s="154" t="e">
        <f t="shared" si="100"/>
        <v>#VALUE!</v>
      </c>
      <c r="S696">
        <v>5.84</v>
      </c>
      <c r="T696" s="154" t="e">
        <f t="shared" si="101"/>
        <v>#VALUE!</v>
      </c>
      <c r="U696">
        <v>5.84</v>
      </c>
      <c r="V696" s="154" t="e">
        <f t="shared" si="102"/>
        <v>#VALUE!</v>
      </c>
      <c r="W696">
        <v>5.84</v>
      </c>
      <c r="X696" s="157" t="e">
        <f t="shared" si="103"/>
        <v>#VALUE!</v>
      </c>
      <c r="Y696">
        <v>5.84</v>
      </c>
      <c r="Z696" s="154" t="e">
        <f t="shared" si="104"/>
        <v>#VALUE!</v>
      </c>
      <c r="AA696">
        <v>5.84</v>
      </c>
      <c r="AB696" s="154" t="e">
        <f t="shared" si="105"/>
        <v>#VALUE!</v>
      </c>
      <c r="AC696">
        <v>5.84</v>
      </c>
      <c r="AD696" s="154" t="e">
        <f t="shared" si="106"/>
        <v>#VALUE!</v>
      </c>
      <c r="AE696">
        <v>5.84</v>
      </c>
    </row>
    <row r="697" spans="12:31" ht="15" x14ac:dyDescent="0.2">
      <c r="L697" s="154" t="e">
        <f t="shared" si="97"/>
        <v>#VALUE!</v>
      </c>
      <c r="M697">
        <v>5.85</v>
      </c>
      <c r="N697" s="154" t="e">
        <f t="shared" si="98"/>
        <v>#VALUE!</v>
      </c>
      <c r="O697">
        <v>5.85</v>
      </c>
      <c r="P697" s="154" t="e">
        <f t="shared" si="99"/>
        <v>#VALUE!</v>
      </c>
      <c r="Q697">
        <v>5.85</v>
      </c>
      <c r="R697" s="154" t="e">
        <f t="shared" si="100"/>
        <v>#VALUE!</v>
      </c>
      <c r="S697">
        <v>5.85</v>
      </c>
      <c r="T697" s="154" t="e">
        <f t="shared" si="101"/>
        <v>#VALUE!</v>
      </c>
      <c r="U697">
        <v>5.85</v>
      </c>
      <c r="V697" s="154" t="e">
        <f t="shared" si="102"/>
        <v>#VALUE!</v>
      </c>
      <c r="W697">
        <v>5.85</v>
      </c>
      <c r="X697" s="157" t="e">
        <f t="shared" si="103"/>
        <v>#VALUE!</v>
      </c>
      <c r="Y697">
        <v>5.85</v>
      </c>
      <c r="Z697" s="154" t="e">
        <f t="shared" si="104"/>
        <v>#VALUE!</v>
      </c>
      <c r="AA697">
        <v>5.85</v>
      </c>
      <c r="AB697" s="154" t="e">
        <f t="shared" si="105"/>
        <v>#VALUE!</v>
      </c>
      <c r="AC697">
        <v>5.85</v>
      </c>
      <c r="AD697" s="154" t="e">
        <f t="shared" si="106"/>
        <v>#VALUE!</v>
      </c>
      <c r="AE697">
        <v>5.85</v>
      </c>
    </row>
    <row r="698" spans="12:31" ht="15" x14ac:dyDescent="0.2">
      <c r="L698" s="154" t="e">
        <f t="shared" si="97"/>
        <v>#VALUE!</v>
      </c>
      <c r="M698">
        <v>5.86</v>
      </c>
      <c r="N698" s="154" t="e">
        <f t="shared" si="98"/>
        <v>#VALUE!</v>
      </c>
      <c r="O698">
        <v>5.86</v>
      </c>
      <c r="P698" s="154" t="e">
        <f t="shared" si="99"/>
        <v>#VALUE!</v>
      </c>
      <c r="Q698">
        <v>5.86</v>
      </c>
      <c r="R698" s="154" t="e">
        <f t="shared" si="100"/>
        <v>#VALUE!</v>
      </c>
      <c r="S698">
        <v>5.86</v>
      </c>
      <c r="T698" s="154" t="e">
        <f t="shared" si="101"/>
        <v>#VALUE!</v>
      </c>
      <c r="U698">
        <v>5.86</v>
      </c>
      <c r="V698" s="154" t="e">
        <f t="shared" si="102"/>
        <v>#VALUE!</v>
      </c>
      <c r="W698">
        <v>5.86</v>
      </c>
      <c r="X698" s="157" t="e">
        <f t="shared" si="103"/>
        <v>#VALUE!</v>
      </c>
      <c r="Y698">
        <v>5.86</v>
      </c>
      <c r="Z698" s="154" t="e">
        <f t="shared" si="104"/>
        <v>#VALUE!</v>
      </c>
      <c r="AA698">
        <v>5.86</v>
      </c>
      <c r="AB698" s="154" t="e">
        <f t="shared" si="105"/>
        <v>#VALUE!</v>
      </c>
      <c r="AC698">
        <v>5.86</v>
      </c>
      <c r="AD698" s="154" t="e">
        <f t="shared" si="106"/>
        <v>#VALUE!</v>
      </c>
      <c r="AE698">
        <v>5.86</v>
      </c>
    </row>
    <row r="699" spans="12:31" ht="15" x14ac:dyDescent="0.2">
      <c r="L699" s="154" t="e">
        <f t="shared" si="97"/>
        <v>#VALUE!</v>
      </c>
      <c r="M699">
        <v>5.87</v>
      </c>
      <c r="N699" s="154" t="e">
        <f t="shared" si="98"/>
        <v>#VALUE!</v>
      </c>
      <c r="O699">
        <v>5.87</v>
      </c>
      <c r="P699" s="154" t="e">
        <f t="shared" si="99"/>
        <v>#VALUE!</v>
      </c>
      <c r="Q699">
        <v>5.87</v>
      </c>
      <c r="R699" s="154" t="e">
        <f t="shared" si="100"/>
        <v>#VALUE!</v>
      </c>
      <c r="S699">
        <v>5.87</v>
      </c>
      <c r="T699" s="154" t="e">
        <f t="shared" si="101"/>
        <v>#VALUE!</v>
      </c>
      <c r="U699">
        <v>5.87</v>
      </c>
      <c r="V699" s="154" t="e">
        <f t="shared" si="102"/>
        <v>#VALUE!</v>
      </c>
      <c r="W699">
        <v>5.87</v>
      </c>
      <c r="X699" s="157" t="e">
        <f t="shared" si="103"/>
        <v>#VALUE!</v>
      </c>
      <c r="Y699">
        <v>5.87</v>
      </c>
      <c r="Z699" s="154" t="e">
        <f t="shared" si="104"/>
        <v>#VALUE!</v>
      </c>
      <c r="AA699">
        <v>5.87</v>
      </c>
      <c r="AB699" s="154" t="e">
        <f t="shared" si="105"/>
        <v>#VALUE!</v>
      </c>
      <c r="AC699">
        <v>5.87</v>
      </c>
      <c r="AD699" s="154" t="e">
        <f t="shared" si="106"/>
        <v>#VALUE!</v>
      </c>
      <c r="AE699">
        <v>5.87</v>
      </c>
    </row>
    <row r="700" spans="12:31" ht="15" x14ac:dyDescent="0.2">
      <c r="L700" s="154" t="e">
        <f t="shared" si="97"/>
        <v>#VALUE!</v>
      </c>
      <c r="M700">
        <v>5.88</v>
      </c>
      <c r="N700" s="154" t="e">
        <f t="shared" si="98"/>
        <v>#VALUE!</v>
      </c>
      <c r="O700">
        <v>5.88</v>
      </c>
      <c r="P700" s="154" t="e">
        <f t="shared" si="99"/>
        <v>#VALUE!</v>
      </c>
      <c r="Q700">
        <v>5.88</v>
      </c>
      <c r="R700" s="154" t="e">
        <f t="shared" si="100"/>
        <v>#VALUE!</v>
      </c>
      <c r="S700">
        <v>5.88</v>
      </c>
      <c r="T700" s="154" t="e">
        <f t="shared" si="101"/>
        <v>#VALUE!</v>
      </c>
      <c r="U700">
        <v>5.88</v>
      </c>
      <c r="V700" s="154" t="e">
        <f t="shared" si="102"/>
        <v>#VALUE!</v>
      </c>
      <c r="W700">
        <v>5.88</v>
      </c>
      <c r="X700" s="157" t="e">
        <f t="shared" si="103"/>
        <v>#VALUE!</v>
      </c>
      <c r="Y700">
        <v>5.88</v>
      </c>
      <c r="Z700" s="154" t="e">
        <f t="shared" si="104"/>
        <v>#VALUE!</v>
      </c>
      <c r="AA700">
        <v>5.88</v>
      </c>
      <c r="AB700" s="154" t="e">
        <f t="shared" si="105"/>
        <v>#VALUE!</v>
      </c>
      <c r="AC700">
        <v>5.88</v>
      </c>
      <c r="AD700" s="154" t="e">
        <f t="shared" si="106"/>
        <v>#VALUE!</v>
      </c>
      <c r="AE700">
        <v>5.88</v>
      </c>
    </row>
    <row r="701" spans="12:31" ht="15" x14ac:dyDescent="0.2">
      <c r="L701" s="154" t="e">
        <f t="shared" si="97"/>
        <v>#VALUE!</v>
      </c>
      <c r="M701">
        <v>5.89</v>
      </c>
      <c r="N701" s="154" t="e">
        <f t="shared" si="98"/>
        <v>#VALUE!</v>
      </c>
      <c r="O701">
        <v>5.89</v>
      </c>
      <c r="P701" s="154" t="e">
        <f t="shared" si="99"/>
        <v>#VALUE!</v>
      </c>
      <c r="Q701">
        <v>5.89</v>
      </c>
      <c r="R701" s="154" t="e">
        <f t="shared" si="100"/>
        <v>#VALUE!</v>
      </c>
      <c r="S701">
        <v>5.89</v>
      </c>
      <c r="T701" s="154" t="e">
        <f t="shared" si="101"/>
        <v>#VALUE!</v>
      </c>
      <c r="U701">
        <v>5.89</v>
      </c>
      <c r="V701" s="154" t="e">
        <f t="shared" si="102"/>
        <v>#VALUE!</v>
      </c>
      <c r="W701">
        <v>5.89</v>
      </c>
      <c r="X701" s="157" t="e">
        <f t="shared" si="103"/>
        <v>#VALUE!</v>
      </c>
      <c r="Y701">
        <v>5.89</v>
      </c>
      <c r="Z701" s="154" t="e">
        <f t="shared" si="104"/>
        <v>#VALUE!</v>
      </c>
      <c r="AA701">
        <v>5.89</v>
      </c>
      <c r="AB701" s="154" t="e">
        <f t="shared" si="105"/>
        <v>#VALUE!</v>
      </c>
      <c r="AC701">
        <v>5.89</v>
      </c>
      <c r="AD701" s="154" t="e">
        <f t="shared" si="106"/>
        <v>#VALUE!</v>
      </c>
      <c r="AE701">
        <v>5.89</v>
      </c>
    </row>
    <row r="702" spans="12:31" ht="15" x14ac:dyDescent="0.2">
      <c r="L702" s="154" t="e">
        <f t="shared" si="97"/>
        <v>#VALUE!</v>
      </c>
      <c r="M702">
        <v>5.9</v>
      </c>
      <c r="N702" s="154" t="e">
        <f t="shared" si="98"/>
        <v>#VALUE!</v>
      </c>
      <c r="O702">
        <v>5.9</v>
      </c>
      <c r="P702" s="154" t="e">
        <f t="shared" si="99"/>
        <v>#VALUE!</v>
      </c>
      <c r="Q702">
        <v>5.9</v>
      </c>
      <c r="R702" s="154" t="e">
        <f t="shared" si="100"/>
        <v>#VALUE!</v>
      </c>
      <c r="S702">
        <v>5.9</v>
      </c>
      <c r="T702" s="154" t="e">
        <f t="shared" si="101"/>
        <v>#VALUE!</v>
      </c>
      <c r="U702">
        <v>5.9</v>
      </c>
      <c r="V702" s="154" t="e">
        <f t="shared" si="102"/>
        <v>#VALUE!</v>
      </c>
      <c r="W702">
        <v>5.9</v>
      </c>
      <c r="X702" s="157" t="e">
        <f t="shared" si="103"/>
        <v>#VALUE!</v>
      </c>
      <c r="Y702">
        <v>5.9</v>
      </c>
      <c r="Z702" s="154" t="e">
        <f t="shared" si="104"/>
        <v>#VALUE!</v>
      </c>
      <c r="AA702">
        <v>5.9</v>
      </c>
      <c r="AB702" s="154" t="e">
        <f t="shared" si="105"/>
        <v>#VALUE!</v>
      </c>
      <c r="AC702">
        <v>5.9</v>
      </c>
      <c r="AD702" s="154" t="e">
        <f t="shared" si="106"/>
        <v>#VALUE!</v>
      </c>
      <c r="AE702">
        <v>5.9</v>
      </c>
    </row>
    <row r="703" spans="12:31" ht="15" x14ac:dyDescent="0.2">
      <c r="L703" s="154" t="e">
        <f t="shared" si="97"/>
        <v>#VALUE!</v>
      </c>
      <c r="M703">
        <v>5.91</v>
      </c>
      <c r="N703" s="154" t="e">
        <f t="shared" si="98"/>
        <v>#VALUE!</v>
      </c>
      <c r="O703">
        <v>5.91</v>
      </c>
      <c r="P703" s="154" t="e">
        <f t="shared" si="99"/>
        <v>#VALUE!</v>
      </c>
      <c r="Q703">
        <v>5.91</v>
      </c>
      <c r="R703" s="154" t="e">
        <f t="shared" si="100"/>
        <v>#VALUE!</v>
      </c>
      <c r="S703">
        <v>5.91</v>
      </c>
      <c r="T703" s="154" t="e">
        <f t="shared" si="101"/>
        <v>#VALUE!</v>
      </c>
      <c r="U703">
        <v>5.91</v>
      </c>
      <c r="V703" s="154" t="e">
        <f t="shared" si="102"/>
        <v>#VALUE!</v>
      </c>
      <c r="W703">
        <v>5.91</v>
      </c>
      <c r="X703" s="157" t="e">
        <f t="shared" si="103"/>
        <v>#VALUE!</v>
      </c>
      <c r="Y703">
        <v>5.91</v>
      </c>
      <c r="Z703" s="154" t="e">
        <f t="shared" si="104"/>
        <v>#VALUE!</v>
      </c>
      <c r="AA703">
        <v>5.91</v>
      </c>
      <c r="AB703" s="154" t="e">
        <f t="shared" si="105"/>
        <v>#VALUE!</v>
      </c>
      <c r="AC703">
        <v>5.91</v>
      </c>
      <c r="AD703" s="154" t="e">
        <f t="shared" si="106"/>
        <v>#VALUE!</v>
      </c>
      <c r="AE703">
        <v>5.91</v>
      </c>
    </row>
    <row r="704" spans="12:31" ht="15" x14ac:dyDescent="0.2">
      <c r="L704" s="154" t="e">
        <f t="shared" si="97"/>
        <v>#VALUE!</v>
      </c>
      <c r="M704">
        <v>5.92</v>
      </c>
      <c r="N704" s="154" t="e">
        <f t="shared" si="98"/>
        <v>#VALUE!</v>
      </c>
      <c r="O704">
        <v>5.92</v>
      </c>
      <c r="P704" s="154" t="e">
        <f t="shared" si="99"/>
        <v>#VALUE!</v>
      </c>
      <c r="Q704">
        <v>5.92</v>
      </c>
      <c r="R704" s="154" t="e">
        <f t="shared" si="100"/>
        <v>#VALUE!</v>
      </c>
      <c r="S704">
        <v>5.92</v>
      </c>
      <c r="T704" s="154" t="e">
        <f t="shared" si="101"/>
        <v>#VALUE!</v>
      </c>
      <c r="U704">
        <v>5.92</v>
      </c>
      <c r="V704" s="154" t="e">
        <f t="shared" si="102"/>
        <v>#VALUE!</v>
      </c>
      <c r="W704">
        <v>5.92</v>
      </c>
      <c r="X704" s="157" t="e">
        <f t="shared" si="103"/>
        <v>#VALUE!</v>
      </c>
      <c r="Y704">
        <v>5.92</v>
      </c>
      <c r="Z704" s="154" t="e">
        <f t="shared" si="104"/>
        <v>#VALUE!</v>
      </c>
      <c r="AA704">
        <v>5.92</v>
      </c>
      <c r="AB704" s="154" t="e">
        <f t="shared" si="105"/>
        <v>#VALUE!</v>
      </c>
      <c r="AC704">
        <v>5.92</v>
      </c>
      <c r="AD704" s="154" t="e">
        <f t="shared" si="106"/>
        <v>#VALUE!</v>
      </c>
      <c r="AE704">
        <v>5.92</v>
      </c>
    </row>
    <row r="705" spans="12:31" ht="15" x14ac:dyDescent="0.2">
      <c r="L705" s="154" t="e">
        <f t="shared" si="97"/>
        <v>#VALUE!</v>
      </c>
      <c r="M705">
        <v>5.93</v>
      </c>
      <c r="N705" s="154" t="e">
        <f t="shared" si="98"/>
        <v>#VALUE!</v>
      </c>
      <c r="O705">
        <v>5.93</v>
      </c>
      <c r="P705" s="154" t="e">
        <f t="shared" si="99"/>
        <v>#VALUE!</v>
      </c>
      <c r="Q705">
        <v>5.93</v>
      </c>
      <c r="R705" s="154" t="e">
        <f t="shared" si="100"/>
        <v>#VALUE!</v>
      </c>
      <c r="S705">
        <v>5.93</v>
      </c>
      <c r="T705" s="154" t="e">
        <f t="shared" si="101"/>
        <v>#VALUE!</v>
      </c>
      <c r="U705">
        <v>5.93</v>
      </c>
      <c r="V705" s="154" t="e">
        <f t="shared" si="102"/>
        <v>#VALUE!</v>
      </c>
      <c r="W705">
        <v>5.93</v>
      </c>
      <c r="X705" s="157" t="e">
        <f t="shared" si="103"/>
        <v>#VALUE!</v>
      </c>
      <c r="Y705">
        <v>5.93</v>
      </c>
      <c r="Z705" s="154" t="e">
        <f t="shared" si="104"/>
        <v>#VALUE!</v>
      </c>
      <c r="AA705">
        <v>5.93</v>
      </c>
      <c r="AB705" s="154" t="e">
        <f t="shared" si="105"/>
        <v>#VALUE!</v>
      </c>
      <c r="AC705">
        <v>5.93</v>
      </c>
      <c r="AD705" s="154" t="e">
        <f t="shared" si="106"/>
        <v>#VALUE!</v>
      </c>
      <c r="AE705">
        <v>5.93</v>
      </c>
    </row>
    <row r="706" spans="12:31" ht="15" x14ac:dyDescent="0.2">
      <c r="L706" s="154" t="e">
        <f t="shared" si="97"/>
        <v>#VALUE!</v>
      </c>
      <c r="M706">
        <v>5.94</v>
      </c>
      <c r="N706" s="154" t="e">
        <f t="shared" si="98"/>
        <v>#VALUE!</v>
      </c>
      <c r="O706">
        <v>5.94</v>
      </c>
      <c r="P706" s="154" t="e">
        <f t="shared" si="99"/>
        <v>#VALUE!</v>
      </c>
      <c r="Q706">
        <v>5.94</v>
      </c>
      <c r="R706" s="154" t="e">
        <f t="shared" si="100"/>
        <v>#VALUE!</v>
      </c>
      <c r="S706">
        <v>5.94</v>
      </c>
      <c r="T706" s="154" t="e">
        <f t="shared" si="101"/>
        <v>#VALUE!</v>
      </c>
      <c r="U706">
        <v>5.94</v>
      </c>
      <c r="V706" s="154" t="e">
        <f t="shared" si="102"/>
        <v>#VALUE!</v>
      </c>
      <c r="W706">
        <v>5.94</v>
      </c>
      <c r="X706" s="157" t="e">
        <f t="shared" si="103"/>
        <v>#VALUE!</v>
      </c>
      <c r="Y706">
        <v>5.94</v>
      </c>
      <c r="Z706" s="154" t="e">
        <f t="shared" si="104"/>
        <v>#VALUE!</v>
      </c>
      <c r="AA706">
        <v>5.94</v>
      </c>
      <c r="AB706" s="154" t="e">
        <f t="shared" si="105"/>
        <v>#VALUE!</v>
      </c>
      <c r="AC706">
        <v>5.94</v>
      </c>
      <c r="AD706" s="154" t="e">
        <f t="shared" si="106"/>
        <v>#VALUE!</v>
      </c>
      <c r="AE706">
        <v>5.94</v>
      </c>
    </row>
    <row r="707" spans="12:31" ht="15" x14ac:dyDescent="0.2">
      <c r="L707" s="154" t="e">
        <f t="shared" si="97"/>
        <v>#VALUE!</v>
      </c>
      <c r="M707">
        <v>5.95</v>
      </c>
      <c r="N707" s="154" t="e">
        <f t="shared" si="98"/>
        <v>#VALUE!</v>
      </c>
      <c r="O707">
        <v>5.95</v>
      </c>
      <c r="P707" s="154" t="e">
        <f t="shared" si="99"/>
        <v>#VALUE!</v>
      </c>
      <c r="Q707">
        <v>5.95</v>
      </c>
      <c r="R707" s="154" t="e">
        <f t="shared" si="100"/>
        <v>#VALUE!</v>
      </c>
      <c r="S707">
        <v>5.95</v>
      </c>
      <c r="T707" s="154" t="e">
        <f t="shared" si="101"/>
        <v>#VALUE!</v>
      </c>
      <c r="U707">
        <v>5.95</v>
      </c>
      <c r="V707" s="154" t="e">
        <f t="shared" si="102"/>
        <v>#VALUE!</v>
      </c>
      <c r="W707">
        <v>5.95</v>
      </c>
      <c r="X707" s="157" t="e">
        <f t="shared" si="103"/>
        <v>#VALUE!</v>
      </c>
      <c r="Y707">
        <v>5.95</v>
      </c>
      <c r="Z707" s="154" t="e">
        <f t="shared" si="104"/>
        <v>#VALUE!</v>
      </c>
      <c r="AA707">
        <v>5.95</v>
      </c>
      <c r="AB707" s="154" t="e">
        <f t="shared" si="105"/>
        <v>#VALUE!</v>
      </c>
      <c r="AC707">
        <v>5.95</v>
      </c>
      <c r="AD707" s="154" t="e">
        <f t="shared" si="106"/>
        <v>#VALUE!</v>
      </c>
      <c r="AE707">
        <v>5.95</v>
      </c>
    </row>
    <row r="708" spans="12:31" ht="15" x14ac:dyDescent="0.2">
      <c r="L708" s="154" t="e">
        <f t="shared" si="97"/>
        <v>#VALUE!</v>
      </c>
      <c r="M708">
        <v>5.96</v>
      </c>
      <c r="N708" s="154" t="e">
        <f t="shared" si="98"/>
        <v>#VALUE!</v>
      </c>
      <c r="O708">
        <v>5.96</v>
      </c>
      <c r="P708" s="154" t="e">
        <f t="shared" si="99"/>
        <v>#VALUE!</v>
      </c>
      <c r="Q708">
        <v>5.96</v>
      </c>
      <c r="R708" s="154" t="e">
        <f t="shared" si="100"/>
        <v>#VALUE!</v>
      </c>
      <c r="S708">
        <v>5.96</v>
      </c>
      <c r="T708" s="154" t="e">
        <f t="shared" si="101"/>
        <v>#VALUE!</v>
      </c>
      <c r="U708">
        <v>5.96</v>
      </c>
      <c r="V708" s="154" t="e">
        <f t="shared" si="102"/>
        <v>#VALUE!</v>
      </c>
      <c r="W708">
        <v>5.96</v>
      </c>
      <c r="X708" s="157" t="e">
        <f t="shared" si="103"/>
        <v>#VALUE!</v>
      </c>
      <c r="Y708">
        <v>5.96</v>
      </c>
      <c r="Z708" s="154" t="e">
        <f t="shared" si="104"/>
        <v>#VALUE!</v>
      </c>
      <c r="AA708">
        <v>5.96</v>
      </c>
      <c r="AB708" s="154" t="e">
        <f t="shared" si="105"/>
        <v>#VALUE!</v>
      </c>
      <c r="AC708">
        <v>5.96</v>
      </c>
      <c r="AD708" s="154" t="e">
        <f t="shared" si="106"/>
        <v>#VALUE!</v>
      </c>
      <c r="AE708">
        <v>5.96</v>
      </c>
    </row>
    <row r="709" spans="12:31" ht="15" x14ac:dyDescent="0.2">
      <c r="L709" s="154" t="e">
        <f t="shared" si="97"/>
        <v>#VALUE!</v>
      </c>
      <c r="M709">
        <v>5.97</v>
      </c>
      <c r="N709" s="154" t="e">
        <f t="shared" si="98"/>
        <v>#VALUE!</v>
      </c>
      <c r="O709">
        <v>5.97</v>
      </c>
      <c r="P709" s="154" t="e">
        <f t="shared" si="99"/>
        <v>#VALUE!</v>
      </c>
      <c r="Q709">
        <v>5.97</v>
      </c>
      <c r="R709" s="154" t="e">
        <f t="shared" si="100"/>
        <v>#VALUE!</v>
      </c>
      <c r="S709">
        <v>5.97</v>
      </c>
      <c r="T709" s="154" t="e">
        <f t="shared" si="101"/>
        <v>#VALUE!</v>
      </c>
      <c r="U709">
        <v>5.97</v>
      </c>
      <c r="V709" s="154" t="e">
        <f t="shared" si="102"/>
        <v>#VALUE!</v>
      </c>
      <c r="W709">
        <v>5.97</v>
      </c>
      <c r="X709" s="157" t="e">
        <f t="shared" si="103"/>
        <v>#VALUE!</v>
      </c>
      <c r="Y709">
        <v>5.97</v>
      </c>
      <c r="Z709" s="154" t="e">
        <f t="shared" si="104"/>
        <v>#VALUE!</v>
      </c>
      <c r="AA709">
        <v>5.97</v>
      </c>
      <c r="AB709" s="154" t="e">
        <f t="shared" si="105"/>
        <v>#VALUE!</v>
      </c>
      <c r="AC709">
        <v>5.97</v>
      </c>
      <c r="AD709" s="154" t="e">
        <f t="shared" si="106"/>
        <v>#VALUE!</v>
      </c>
      <c r="AE709">
        <v>5.97</v>
      </c>
    </row>
    <row r="710" spans="12:31" ht="15" x14ac:dyDescent="0.2">
      <c r="L710" s="154" t="e">
        <f t="shared" si="97"/>
        <v>#VALUE!</v>
      </c>
      <c r="M710">
        <v>5.98</v>
      </c>
      <c r="N710" s="154" t="e">
        <f t="shared" si="98"/>
        <v>#VALUE!</v>
      </c>
      <c r="O710">
        <v>5.98</v>
      </c>
      <c r="P710" s="154" t="e">
        <f t="shared" si="99"/>
        <v>#VALUE!</v>
      </c>
      <c r="Q710">
        <v>5.98</v>
      </c>
      <c r="R710" s="154" t="e">
        <f t="shared" si="100"/>
        <v>#VALUE!</v>
      </c>
      <c r="S710">
        <v>5.98</v>
      </c>
      <c r="T710" s="154" t="e">
        <f t="shared" si="101"/>
        <v>#VALUE!</v>
      </c>
      <c r="U710">
        <v>5.98</v>
      </c>
      <c r="V710" s="154" t="e">
        <f t="shared" si="102"/>
        <v>#VALUE!</v>
      </c>
      <c r="W710">
        <v>5.98</v>
      </c>
      <c r="X710" s="157" t="e">
        <f t="shared" si="103"/>
        <v>#VALUE!</v>
      </c>
      <c r="Y710">
        <v>5.98</v>
      </c>
      <c r="Z710" s="154" t="e">
        <f t="shared" si="104"/>
        <v>#VALUE!</v>
      </c>
      <c r="AA710">
        <v>5.98</v>
      </c>
      <c r="AB710" s="154" t="e">
        <f t="shared" si="105"/>
        <v>#VALUE!</v>
      </c>
      <c r="AC710">
        <v>5.98</v>
      </c>
      <c r="AD710" s="154" t="e">
        <f t="shared" si="106"/>
        <v>#VALUE!</v>
      </c>
      <c r="AE710">
        <v>5.98</v>
      </c>
    </row>
    <row r="711" spans="12:31" ht="15" x14ac:dyDescent="0.2">
      <c r="L711" s="154" t="e">
        <f t="shared" si="97"/>
        <v>#VALUE!</v>
      </c>
      <c r="M711">
        <v>5.99</v>
      </c>
      <c r="N711" s="154" t="e">
        <f t="shared" si="98"/>
        <v>#VALUE!</v>
      </c>
      <c r="O711">
        <v>5.99</v>
      </c>
      <c r="P711" s="154" t="e">
        <f t="shared" si="99"/>
        <v>#VALUE!</v>
      </c>
      <c r="Q711">
        <v>5.99</v>
      </c>
      <c r="R711" s="154" t="e">
        <f t="shared" si="100"/>
        <v>#VALUE!</v>
      </c>
      <c r="S711">
        <v>5.99</v>
      </c>
      <c r="T711" s="154" t="e">
        <f t="shared" si="101"/>
        <v>#VALUE!</v>
      </c>
      <c r="U711">
        <v>5.99</v>
      </c>
      <c r="V711" s="154" t="e">
        <f t="shared" si="102"/>
        <v>#VALUE!</v>
      </c>
      <c r="W711">
        <v>5.99</v>
      </c>
      <c r="X711" s="157" t="e">
        <f t="shared" si="103"/>
        <v>#VALUE!</v>
      </c>
      <c r="Y711">
        <v>5.99</v>
      </c>
      <c r="Z711" s="154" t="e">
        <f t="shared" si="104"/>
        <v>#VALUE!</v>
      </c>
      <c r="AA711">
        <v>5.99</v>
      </c>
      <c r="AB711" s="154" t="e">
        <f t="shared" si="105"/>
        <v>#VALUE!</v>
      </c>
      <c r="AC711">
        <v>5.99</v>
      </c>
      <c r="AD711" s="154" t="e">
        <f t="shared" si="106"/>
        <v>#VALUE!</v>
      </c>
      <c r="AE711">
        <v>5.99</v>
      </c>
    </row>
    <row r="712" spans="12:31" ht="15" x14ac:dyDescent="0.2">
      <c r="L712" s="154" t="e">
        <f t="shared" si="97"/>
        <v>#VALUE!</v>
      </c>
      <c r="M712">
        <v>6</v>
      </c>
      <c r="N712" s="154" t="e">
        <f t="shared" si="98"/>
        <v>#VALUE!</v>
      </c>
      <c r="O712">
        <v>6</v>
      </c>
      <c r="P712" s="154" t="e">
        <f t="shared" si="99"/>
        <v>#VALUE!</v>
      </c>
      <c r="Q712">
        <v>6</v>
      </c>
      <c r="R712" s="154" t="e">
        <f t="shared" si="100"/>
        <v>#VALUE!</v>
      </c>
      <c r="S712">
        <v>6</v>
      </c>
      <c r="T712" s="154" t="e">
        <f t="shared" si="101"/>
        <v>#VALUE!</v>
      </c>
      <c r="U712">
        <v>6</v>
      </c>
      <c r="V712" s="154" t="e">
        <f t="shared" si="102"/>
        <v>#VALUE!</v>
      </c>
      <c r="W712">
        <v>6</v>
      </c>
      <c r="X712" s="157" t="e">
        <f t="shared" si="103"/>
        <v>#VALUE!</v>
      </c>
      <c r="Y712">
        <v>6</v>
      </c>
      <c r="Z712" s="154" t="e">
        <f t="shared" si="104"/>
        <v>#VALUE!</v>
      </c>
      <c r="AA712">
        <v>6</v>
      </c>
      <c r="AB712" s="154" t="e">
        <f t="shared" si="105"/>
        <v>#VALUE!</v>
      </c>
      <c r="AC712">
        <v>6</v>
      </c>
      <c r="AD712" s="154" t="e">
        <f t="shared" si="106"/>
        <v>#VALUE!</v>
      </c>
      <c r="AE712">
        <v>6</v>
      </c>
    </row>
    <row r="713" spans="12:31" ht="15" x14ac:dyDescent="0.2">
      <c r="L713" s="154" t="e">
        <f t="shared" si="97"/>
        <v>#VALUE!</v>
      </c>
      <c r="M713">
        <v>6.01</v>
      </c>
      <c r="N713" s="154" t="e">
        <f t="shared" si="98"/>
        <v>#VALUE!</v>
      </c>
      <c r="O713">
        <v>6.01</v>
      </c>
      <c r="P713" s="154" t="e">
        <f t="shared" si="99"/>
        <v>#VALUE!</v>
      </c>
      <c r="Q713">
        <v>6.01</v>
      </c>
      <c r="R713" s="154" t="e">
        <f t="shared" si="100"/>
        <v>#VALUE!</v>
      </c>
      <c r="S713">
        <v>6.01</v>
      </c>
      <c r="T713" s="154" t="e">
        <f t="shared" si="101"/>
        <v>#VALUE!</v>
      </c>
      <c r="U713">
        <v>6.01</v>
      </c>
      <c r="V713" s="154" t="e">
        <f t="shared" si="102"/>
        <v>#VALUE!</v>
      </c>
      <c r="W713">
        <v>6.01</v>
      </c>
      <c r="X713" s="157" t="e">
        <f t="shared" si="103"/>
        <v>#VALUE!</v>
      </c>
      <c r="Y713">
        <v>6.01</v>
      </c>
      <c r="Z713" s="154" t="e">
        <f t="shared" si="104"/>
        <v>#VALUE!</v>
      </c>
      <c r="AA713">
        <v>6.01</v>
      </c>
      <c r="AB713" s="154" t="e">
        <f t="shared" si="105"/>
        <v>#VALUE!</v>
      </c>
      <c r="AC713">
        <v>6.01</v>
      </c>
      <c r="AD713" s="154" t="e">
        <f t="shared" si="106"/>
        <v>#VALUE!</v>
      </c>
      <c r="AE713">
        <v>6.01</v>
      </c>
    </row>
    <row r="714" spans="12:31" ht="15" x14ac:dyDescent="0.2">
      <c r="L714" s="154" t="e">
        <f t="shared" si="97"/>
        <v>#VALUE!</v>
      </c>
      <c r="M714">
        <v>6.02</v>
      </c>
      <c r="N714" s="154" t="e">
        <f t="shared" si="98"/>
        <v>#VALUE!</v>
      </c>
      <c r="O714">
        <v>6.02</v>
      </c>
      <c r="P714" s="154" t="e">
        <f t="shared" si="99"/>
        <v>#VALUE!</v>
      </c>
      <c r="Q714">
        <v>6.02</v>
      </c>
      <c r="R714" s="154" t="e">
        <f t="shared" si="100"/>
        <v>#VALUE!</v>
      </c>
      <c r="S714">
        <v>6.02</v>
      </c>
      <c r="T714" s="154" t="e">
        <f t="shared" si="101"/>
        <v>#VALUE!</v>
      </c>
      <c r="U714">
        <v>6.02</v>
      </c>
      <c r="V714" s="154" t="e">
        <f t="shared" si="102"/>
        <v>#VALUE!</v>
      </c>
      <c r="W714">
        <v>6.02</v>
      </c>
      <c r="X714" s="157" t="e">
        <f t="shared" si="103"/>
        <v>#VALUE!</v>
      </c>
      <c r="Y714">
        <v>6.02</v>
      </c>
      <c r="Z714" s="154" t="e">
        <f t="shared" si="104"/>
        <v>#VALUE!</v>
      </c>
      <c r="AA714">
        <v>6.02</v>
      </c>
      <c r="AB714" s="154" t="e">
        <f t="shared" si="105"/>
        <v>#VALUE!</v>
      </c>
      <c r="AC714">
        <v>6.02</v>
      </c>
      <c r="AD714" s="154" t="e">
        <f t="shared" si="106"/>
        <v>#VALUE!</v>
      </c>
      <c r="AE714">
        <v>6.02</v>
      </c>
    </row>
    <row r="715" spans="12:31" ht="15" x14ac:dyDescent="0.2">
      <c r="L715" s="154" t="e">
        <f t="shared" si="97"/>
        <v>#VALUE!</v>
      </c>
      <c r="M715">
        <v>6.03</v>
      </c>
      <c r="N715" s="154" t="e">
        <f t="shared" si="98"/>
        <v>#VALUE!</v>
      </c>
      <c r="O715">
        <v>6.03</v>
      </c>
      <c r="P715" s="154" t="e">
        <f t="shared" si="99"/>
        <v>#VALUE!</v>
      </c>
      <c r="Q715">
        <v>6.03</v>
      </c>
      <c r="R715" s="154" t="e">
        <f t="shared" si="100"/>
        <v>#VALUE!</v>
      </c>
      <c r="S715">
        <v>6.03</v>
      </c>
      <c r="T715" s="154" t="e">
        <f t="shared" si="101"/>
        <v>#VALUE!</v>
      </c>
      <c r="U715">
        <v>6.03</v>
      </c>
      <c r="V715" s="154" t="e">
        <f t="shared" si="102"/>
        <v>#VALUE!</v>
      </c>
      <c r="W715">
        <v>6.03</v>
      </c>
      <c r="X715" s="157" t="e">
        <f t="shared" si="103"/>
        <v>#VALUE!</v>
      </c>
      <c r="Y715">
        <v>6.03</v>
      </c>
      <c r="Z715" s="154" t="e">
        <f t="shared" si="104"/>
        <v>#VALUE!</v>
      </c>
      <c r="AA715">
        <v>6.03</v>
      </c>
      <c r="AB715" s="154" t="e">
        <f t="shared" si="105"/>
        <v>#VALUE!</v>
      </c>
      <c r="AC715">
        <v>6.03</v>
      </c>
      <c r="AD715" s="154" t="e">
        <f t="shared" si="106"/>
        <v>#VALUE!</v>
      </c>
      <c r="AE715">
        <v>6.03</v>
      </c>
    </row>
    <row r="716" spans="12:31" ht="15" x14ac:dyDescent="0.2">
      <c r="L716" s="154" t="e">
        <f t="shared" si="97"/>
        <v>#VALUE!</v>
      </c>
      <c r="M716">
        <v>6.04</v>
      </c>
      <c r="N716" s="154" t="e">
        <f t="shared" si="98"/>
        <v>#VALUE!</v>
      </c>
      <c r="O716">
        <v>6.04</v>
      </c>
      <c r="P716" s="154" t="e">
        <f t="shared" si="99"/>
        <v>#VALUE!</v>
      </c>
      <c r="Q716">
        <v>6.04</v>
      </c>
      <c r="R716" s="154" t="e">
        <f t="shared" si="100"/>
        <v>#VALUE!</v>
      </c>
      <c r="S716">
        <v>6.04</v>
      </c>
      <c r="T716" s="154" t="e">
        <f t="shared" si="101"/>
        <v>#VALUE!</v>
      </c>
      <c r="U716">
        <v>6.04</v>
      </c>
      <c r="V716" s="154" t="e">
        <f t="shared" si="102"/>
        <v>#VALUE!</v>
      </c>
      <c r="W716">
        <v>6.04</v>
      </c>
      <c r="X716" s="157" t="e">
        <f t="shared" si="103"/>
        <v>#VALUE!</v>
      </c>
      <c r="Y716">
        <v>6.04</v>
      </c>
      <c r="Z716" s="154" t="e">
        <f t="shared" si="104"/>
        <v>#VALUE!</v>
      </c>
      <c r="AA716">
        <v>6.04</v>
      </c>
      <c r="AB716" s="154" t="e">
        <f t="shared" si="105"/>
        <v>#VALUE!</v>
      </c>
      <c r="AC716">
        <v>6.04</v>
      </c>
      <c r="AD716" s="154" t="e">
        <f t="shared" si="106"/>
        <v>#VALUE!</v>
      </c>
      <c r="AE716">
        <v>6.04</v>
      </c>
    </row>
    <row r="717" spans="12:31" ht="15" x14ac:dyDescent="0.2">
      <c r="L717" s="154" t="e">
        <f t="shared" si="97"/>
        <v>#VALUE!</v>
      </c>
      <c r="M717">
        <v>6.05</v>
      </c>
      <c r="N717" s="154" t="e">
        <f t="shared" si="98"/>
        <v>#VALUE!</v>
      </c>
      <c r="O717">
        <v>6.05</v>
      </c>
      <c r="P717" s="154" t="e">
        <f t="shared" si="99"/>
        <v>#VALUE!</v>
      </c>
      <c r="Q717">
        <v>6.05</v>
      </c>
      <c r="R717" s="154" t="e">
        <f t="shared" si="100"/>
        <v>#VALUE!</v>
      </c>
      <c r="S717">
        <v>6.05</v>
      </c>
      <c r="T717" s="154" t="e">
        <f t="shared" si="101"/>
        <v>#VALUE!</v>
      </c>
      <c r="U717">
        <v>6.05</v>
      </c>
      <c r="V717" s="154" t="e">
        <f t="shared" si="102"/>
        <v>#VALUE!</v>
      </c>
      <c r="W717">
        <v>6.05</v>
      </c>
      <c r="X717" s="157" t="e">
        <f t="shared" si="103"/>
        <v>#VALUE!</v>
      </c>
      <c r="Y717">
        <v>6.05</v>
      </c>
      <c r="Z717" s="154" t="e">
        <f t="shared" si="104"/>
        <v>#VALUE!</v>
      </c>
      <c r="AA717">
        <v>6.05</v>
      </c>
      <c r="AB717" s="154" t="e">
        <f t="shared" si="105"/>
        <v>#VALUE!</v>
      </c>
      <c r="AC717">
        <v>6.05</v>
      </c>
      <c r="AD717" s="154" t="e">
        <f t="shared" si="106"/>
        <v>#VALUE!</v>
      </c>
      <c r="AE717">
        <v>6.05</v>
      </c>
    </row>
    <row r="718" spans="12:31" ht="15" x14ac:dyDescent="0.2">
      <c r="L718" s="154" t="e">
        <f t="shared" si="97"/>
        <v>#VALUE!</v>
      </c>
      <c r="M718">
        <v>6.06</v>
      </c>
      <c r="N718" s="154" t="e">
        <f t="shared" si="98"/>
        <v>#VALUE!</v>
      </c>
      <c r="O718">
        <v>6.06</v>
      </c>
      <c r="P718" s="154" t="e">
        <f t="shared" si="99"/>
        <v>#VALUE!</v>
      </c>
      <c r="Q718">
        <v>6.06</v>
      </c>
      <c r="R718" s="154" t="e">
        <f t="shared" si="100"/>
        <v>#VALUE!</v>
      </c>
      <c r="S718">
        <v>6.06</v>
      </c>
      <c r="T718" s="154" t="e">
        <f t="shared" si="101"/>
        <v>#VALUE!</v>
      </c>
      <c r="U718">
        <v>6.06</v>
      </c>
      <c r="V718" s="154" t="e">
        <f t="shared" si="102"/>
        <v>#VALUE!</v>
      </c>
      <c r="W718">
        <v>6.06</v>
      </c>
      <c r="X718" s="157" t="e">
        <f t="shared" si="103"/>
        <v>#VALUE!</v>
      </c>
      <c r="Y718">
        <v>6.06</v>
      </c>
      <c r="Z718" s="154" t="e">
        <f t="shared" si="104"/>
        <v>#VALUE!</v>
      </c>
      <c r="AA718">
        <v>6.06</v>
      </c>
      <c r="AB718" s="154" t="e">
        <f t="shared" si="105"/>
        <v>#VALUE!</v>
      </c>
      <c r="AC718">
        <v>6.06</v>
      </c>
      <c r="AD718" s="154" t="e">
        <f t="shared" si="106"/>
        <v>#VALUE!</v>
      </c>
      <c r="AE718">
        <v>6.06</v>
      </c>
    </row>
    <row r="719" spans="12:31" ht="15" x14ac:dyDescent="0.2">
      <c r="L719" s="154" t="e">
        <f t="shared" si="97"/>
        <v>#VALUE!</v>
      </c>
      <c r="M719">
        <v>6.07</v>
      </c>
      <c r="N719" s="154" t="e">
        <f t="shared" si="98"/>
        <v>#VALUE!</v>
      </c>
      <c r="O719">
        <v>6.07</v>
      </c>
      <c r="P719" s="154" t="e">
        <f t="shared" si="99"/>
        <v>#VALUE!</v>
      </c>
      <c r="Q719">
        <v>6.07</v>
      </c>
      <c r="R719" s="154" t="e">
        <f t="shared" si="100"/>
        <v>#VALUE!</v>
      </c>
      <c r="S719">
        <v>6.07</v>
      </c>
      <c r="T719" s="154" t="e">
        <f t="shared" si="101"/>
        <v>#VALUE!</v>
      </c>
      <c r="U719">
        <v>6.07</v>
      </c>
      <c r="V719" s="154" t="e">
        <f t="shared" si="102"/>
        <v>#VALUE!</v>
      </c>
      <c r="W719">
        <v>6.07</v>
      </c>
      <c r="X719" s="157" t="e">
        <f t="shared" si="103"/>
        <v>#VALUE!</v>
      </c>
      <c r="Y719">
        <v>6.07</v>
      </c>
      <c r="Z719" s="154" t="e">
        <f t="shared" si="104"/>
        <v>#VALUE!</v>
      </c>
      <c r="AA719">
        <v>6.07</v>
      </c>
      <c r="AB719" s="154" t="e">
        <f t="shared" si="105"/>
        <v>#VALUE!</v>
      </c>
      <c r="AC719">
        <v>6.07</v>
      </c>
      <c r="AD719" s="154" t="e">
        <f t="shared" si="106"/>
        <v>#VALUE!</v>
      </c>
      <c r="AE719">
        <v>6.07</v>
      </c>
    </row>
    <row r="720" spans="12:31" ht="15" x14ac:dyDescent="0.2">
      <c r="L720" s="154" t="e">
        <f t="shared" si="97"/>
        <v>#VALUE!</v>
      </c>
      <c r="M720">
        <v>6.08</v>
      </c>
      <c r="N720" s="154" t="e">
        <f t="shared" si="98"/>
        <v>#VALUE!</v>
      </c>
      <c r="O720">
        <v>6.08</v>
      </c>
      <c r="P720" s="154" t="e">
        <f t="shared" si="99"/>
        <v>#VALUE!</v>
      </c>
      <c r="Q720">
        <v>6.08</v>
      </c>
      <c r="R720" s="154" t="e">
        <f t="shared" si="100"/>
        <v>#VALUE!</v>
      </c>
      <c r="S720">
        <v>6.08</v>
      </c>
      <c r="T720" s="154" t="e">
        <f t="shared" si="101"/>
        <v>#VALUE!</v>
      </c>
      <c r="U720">
        <v>6.08</v>
      </c>
      <c r="V720" s="154" t="e">
        <f t="shared" si="102"/>
        <v>#VALUE!</v>
      </c>
      <c r="W720">
        <v>6.08</v>
      </c>
      <c r="X720" s="157" t="e">
        <f t="shared" si="103"/>
        <v>#VALUE!</v>
      </c>
      <c r="Y720">
        <v>6.08</v>
      </c>
      <c r="Z720" s="154" t="e">
        <f t="shared" si="104"/>
        <v>#VALUE!</v>
      </c>
      <c r="AA720">
        <v>6.08</v>
      </c>
      <c r="AB720" s="154" t="e">
        <f t="shared" si="105"/>
        <v>#VALUE!</v>
      </c>
      <c r="AC720">
        <v>6.08</v>
      </c>
      <c r="AD720" s="154" t="e">
        <f t="shared" si="106"/>
        <v>#VALUE!</v>
      </c>
      <c r="AE720">
        <v>6.08</v>
      </c>
    </row>
    <row r="721" spans="12:31" ht="15" x14ac:dyDescent="0.2">
      <c r="L721" s="154" t="e">
        <f t="shared" si="97"/>
        <v>#VALUE!</v>
      </c>
      <c r="M721">
        <v>6.09</v>
      </c>
      <c r="N721" s="154" t="e">
        <f t="shared" si="98"/>
        <v>#VALUE!</v>
      </c>
      <c r="O721">
        <v>6.09</v>
      </c>
      <c r="P721" s="154" t="e">
        <f t="shared" si="99"/>
        <v>#VALUE!</v>
      </c>
      <c r="Q721">
        <v>6.09</v>
      </c>
      <c r="R721" s="154" t="e">
        <f t="shared" si="100"/>
        <v>#VALUE!</v>
      </c>
      <c r="S721">
        <v>6.09</v>
      </c>
      <c r="T721" s="154" t="e">
        <f t="shared" si="101"/>
        <v>#VALUE!</v>
      </c>
      <c r="U721">
        <v>6.09</v>
      </c>
      <c r="V721" s="154" t="e">
        <f t="shared" si="102"/>
        <v>#VALUE!</v>
      </c>
      <c r="W721">
        <v>6.09</v>
      </c>
      <c r="X721" s="157" t="e">
        <f t="shared" si="103"/>
        <v>#VALUE!</v>
      </c>
      <c r="Y721">
        <v>6.09</v>
      </c>
      <c r="Z721" s="154" t="e">
        <f t="shared" si="104"/>
        <v>#VALUE!</v>
      </c>
      <c r="AA721">
        <v>6.09</v>
      </c>
      <c r="AB721" s="154" t="e">
        <f t="shared" si="105"/>
        <v>#VALUE!</v>
      </c>
      <c r="AC721">
        <v>6.09</v>
      </c>
      <c r="AD721" s="154" t="e">
        <f t="shared" si="106"/>
        <v>#VALUE!</v>
      </c>
      <c r="AE721">
        <v>6.09</v>
      </c>
    </row>
    <row r="722" spans="12:31" ht="15" x14ac:dyDescent="0.2">
      <c r="L722" s="154" t="e">
        <f t="shared" si="97"/>
        <v>#VALUE!</v>
      </c>
      <c r="M722">
        <v>6.1</v>
      </c>
      <c r="N722" s="154" t="e">
        <f t="shared" si="98"/>
        <v>#VALUE!</v>
      </c>
      <c r="O722">
        <v>6.1</v>
      </c>
      <c r="P722" s="154" t="e">
        <f t="shared" si="99"/>
        <v>#VALUE!</v>
      </c>
      <c r="Q722">
        <v>6.1</v>
      </c>
      <c r="R722" s="154" t="e">
        <f t="shared" si="100"/>
        <v>#VALUE!</v>
      </c>
      <c r="S722">
        <v>6.1</v>
      </c>
      <c r="T722" s="154" t="e">
        <f t="shared" si="101"/>
        <v>#VALUE!</v>
      </c>
      <c r="U722">
        <v>6.1</v>
      </c>
      <c r="V722" s="154" t="e">
        <f t="shared" si="102"/>
        <v>#VALUE!</v>
      </c>
      <c r="W722">
        <v>6.1</v>
      </c>
      <c r="X722" s="157" t="e">
        <f t="shared" si="103"/>
        <v>#VALUE!</v>
      </c>
      <c r="Y722">
        <v>6.1</v>
      </c>
      <c r="Z722" s="154" t="e">
        <f t="shared" si="104"/>
        <v>#VALUE!</v>
      </c>
      <c r="AA722">
        <v>6.1</v>
      </c>
      <c r="AB722" s="154" t="e">
        <f t="shared" si="105"/>
        <v>#VALUE!</v>
      </c>
      <c r="AC722">
        <v>6.1</v>
      </c>
      <c r="AD722" s="154" t="e">
        <f t="shared" si="106"/>
        <v>#VALUE!</v>
      </c>
      <c r="AE722">
        <v>6.1</v>
      </c>
    </row>
    <row r="723" spans="12:31" ht="15" x14ac:dyDescent="0.2">
      <c r="L723" s="154" t="e">
        <f t="shared" si="97"/>
        <v>#VALUE!</v>
      </c>
      <c r="M723">
        <v>6.11</v>
      </c>
      <c r="N723" s="154" t="e">
        <f t="shared" si="98"/>
        <v>#VALUE!</v>
      </c>
      <c r="O723">
        <v>6.11</v>
      </c>
      <c r="P723" s="154" t="e">
        <f t="shared" si="99"/>
        <v>#VALUE!</v>
      </c>
      <c r="Q723">
        <v>6.11</v>
      </c>
      <c r="R723" s="154" t="e">
        <f t="shared" si="100"/>
        <v>#VALUE!</v>
      </c>
      <c r="S723">
        <v>6.11</v>
      </c>
      <c r="T723" s="154" t="e">
        <f t="shared" si="101"/>
        <v>#VALUE!</v>
      </c>
      <c r="U723">
        <v>6.11</v>
      </c>
      <c r="V723" s="154" t="e">
        <f t="shared" si="102"/>
        <v>#VALUE!</v>
      </c>
      <c r="W723">
        <v>6.11</v>
      </c>
      <c r="X723" s="157" t="e">
        <f t="shared" si="103"/>
        <v>#VALUE!</v>
      </c>
      <c r="Y723">
        <v>6.11</v>
      </c>
      <c r="Z723" s="154" t="e">
        <f t="shared" si="104"/>
        <v>#VALUE!</v>
      </c>
      <c r="AA723">
        <v>6.11</v>
      </c>
      <c r="AB723" s="154" t="e">
        <f t="shared" si="105"/>
        <v>#VALUE!</v>
      </c>
      <c r="AC723">
        <v>6.11</v>
      </c>
      <c r="AD723" s="154" t="e">
        <f t="shared" si="106"/>
        <v>#VALUE!</v>
      </c>
      <c r="AE723">
        <v>6.11</v>
      </c>
    </row>
    <row r="724" spans="12:31" ht="15" x14ac:dyDescent="0.2">
      <c r="L724" s="154" t="e">
        <f t="shared" si="97"/>
        <v>#VALUE!</v>
      </c>
      <c r="M724">
        <v>6.12</v>
      </c>
      <c r="N724" s="154" t="e">
        <f t="shared" si="98"/>
        <v>#VALUE!</v>
      </c>
      <c r="O724">
        <v>6.12</v>
      </c>
      <c r="P724" s="154" t="e">
        <f t="shared" si="99"/>
        <v>#VALUE!</v>
      </c>
      <c r="Q724">
        <v>6.12</v>
      </c>
      <c r="R724" s="154" t="e">
        <f t="shared" si="100"/>
        <v>#VALUE!</v>
      </c>
      <c r="S724">
        <v>6.12</v>
      </c>
      <c r="T724" s="154" t="e">
        <f t="shared" si="101"/>
        <v>#VALUE!</v>
      </c>
      <c r="U724">
        <v>6.12</v>
      </c>
      <c r="V724" s="154" t="e">
        <f t="shared" si="102"/>
        <v>#VALUE!</v>
      </c>
      <c r="W724">
        <v>6.12</v>
      </c>
      <c r="X724" s="157" t="e">
        <f t="shared" si="103"/>
        <v>#VALUE!</v>
      </c>
      <c r="Y724">
        <v>6.12</v>
      </c>
      <c r="Z724" s="154" t="e">
        <f t="shared" si="104"/>
        <v>#VALUE!</v>
      </c>
      <c r="AA724">
        <v>6.12</v>
      </c>
      <c r="AB724" s="154" t="e">
        <f t="shared" si="105"/>
        <v>#VALUE!</v>
      </c>
      <c r="AC724">
        <v>6.12</v>
      </c>
      <c r="AD724" s="154" t="e">
        <f t="shared" si="106"/>
        <v>#VALUE!</v>
      </c>
      <c r="AE724">
        <v>6.12</v>
      </c>
    </row>
    <row r="725" spans="12:31" ht="15" x14ac:dyDescent="0.2">
      <c r="L725" s="154" t="e">
        <f t="shared" si="97"/>
        <v>#VALUE!</v>
      </c>
      <c r="M725">
        <v>6.13</v>
      </c>
      <c r="N725" s="154" t="e">
        <f t="shared" si="98"/>
        <v>#VALUE!</v>
      </c>
      <c r="O725">
        <v>6.13</v>
      </c>
      <c r="P725" s="154" t="e">
        <f t="shared" si="99"/>
        <v>#VALUE!</v>
      </c>
      <c r="Q725">
        <v>6.13</v>
      </c>
      <c r="R725" s="154" t="e">
        <f t="shared" si="100"/>
        <v>#VALUE!</v>
      </c>
      <c r="S725">
        <v>6.13</v>
      </c>
      <c r="T725" s="154" t="e">
        <f t="shared" si="101"/>
        <v>#VALUE!</v>
      </c>
      <c r="U725">
        <v>6.13</v>
      </c>
      <c r="V725" s="154" t="e">
        <f t="shared" si="102"/>
        <v>#VALUE!</v>
      </c>
      <c r="W725">
        <v>6.13</v>
      </c>
      <c r="X725" s="157" t="e">
        <f t="shared" si="103"/>
        <v>#VALUE!</v>
      </c>
      <c r="Y725">
        <v>6.13</v>
      </c>
      <c r="Z725" s="154" t="e">
        <f t="shared" si="104"/>
        <v>#VALUE!</v>
      </c>
      <c r="AA725">
        <v>6.13</v>
      </c>
      <c r="AB725" s="154" t="e">
        <f t="shared" si="105"/>
        <v>#VALUE!</v>
      </c>
      <c r="AC725">
        <v>6.13</v>
      </c>
      <c r="AD725" s="154" t="e">
        <f t="shared" si="106"/>
        <v>#VALUE!</v>
      </c>
      <c r="AE725">
        <v>6.13</v>
      </c>
    </row>
    <row r="726" spans="12:31" ht="15" x14ac:dyDescent="0.2">
      <c r="L726" s="154" t="e">
        <f t="shared" si="97"/>
        <v>#VALUE!</v>
      </c>
      <c r="M726">
        <v>6.14</v>
      </c>
      <c r="N726" s="154" t="e">
        <f t="shared" si="98"/>
        <v>#VALUE!</v>
      </c>
      <c r="O726">
        <v>6.14</v>
      </c>
      <c r="P726" s="154" t="e">
        <f t="shared" si="99"/>
        <v>#VALUE!</v>
      </c>
      <c r="Q726">
        <v>6.14</v>
      </c>
      <c r="R726" s="154" t="e">
        <f t="shared" si="100"/>
        <v>#VALUE!</v>
      </c>
      <c r="S726">
        <v>6.14</v>
      </c>
      <c r="T726" s="154" t="e">
        <f t="shared" si="101"/>
        <v>#VALUE!</v>
      </c>
      <c r="U726">
        <v>6.14</v>
      </c>
      <c r="V726" s="154" t="e">
        <f t="shared" si="102"/>
        <v>#VALUE!</v>
      </c>
      <c r="W726">
        <v>6.14</v>
      </c>
      <c r="X726" s="157" t="e">
        <f t="shared" si="103"/>
        <v>#VALUE!</v>
      </c>
      <c r="Y726">
        <v>6.14</v>
      </c>
      <c r="Z726" s="154" t="e">
        <f t="shared" si="104"/>
        <v>#VALUE!</v>
      </c>
      <c r="AA726">
        <v>6.14</v>
      </c>
      <c r="AB726" s="154" t="e">
        <f t="shared" si="105"/>
        <v>#VALUE!</v>
      </c>
      <c r="AC726">
        <v>6.14</v>
      </c>
      <c r="AD726" s="154" t="e">
        <f t="shared" si="106"/>
        <v>#VALUE!</v>
      </c>
      <c r="AE726">
        <v>6.14</v>
      </c>
    </row>
    <row r="727" spans="12:31" ht="15" x14ac:dyDescent="0.2">
      <c r="L727" s="154" t="e">
        <f t="shared" si="97"/>
        <v>#VALUE!</v>
      </c>
      <c r="M727">
        <v>6.15</v>
      </c>
      <c r="N727" s="154" t="e">
        <f t="shared" si="98"/>
        <v>#VALUE!</v>
      </c>
      <c r="O727">
        <v>6.15</v>
      </c>
      <c r="P727" s="154" t="e">
        <f t="shared" si="99"/>
        <v>#VALUE!</v>
      </c>
      <c r="Q727">
        <v>6.15</v>
      </c>
      <c r="R727" s="154" t="e">
        <f t="shared" si="100"/>
        <v>#VALUE!</v>
      </c>
      <c r="S727">
        <v>6.15</v>
      </c>
      <c r="T727" s="154" t="e">
        <f t="shared" si="101"/>
        <v>#VALUE!</v>
      </c>
      <c r="U727">
        <v>6.15</v>
      </c>
      <c r="V727" s="154" t="e">
        <f t="shared" si="102"/>
        <v>#VALUE!</v>
      </c>
      <c r="W727">
        <v>6.15</v>
      </c>
      <c r="X727" s="157" t="e">
        <f t="shared" si="103"/>
        <v>#VALUE!</v>
      </c>
      <c r="Y727">
        <v>6.15</v>
      </c>
      <c r="Z727" s="154" t="e">
        <f t="shared" si="104"/>
        <v>#VALUE!</v>
      </c>
      <c r="AA727">
        <v>6.15</v>
      </c>
      <c r="AB727" s="154" t="e">
        <f t="shared" si="105"/>
        <v>#VALUE!</v>
      </c>
      <c r="AC727">
        <v>6.15</v>
      </c>
      <c r="AD727" s="154" t="e">
        <f t="shared" si="106"/>
        <v>#VALUE!</v>
      </c>
      <c r="AE727">
        <v>6.15</v>
      </c>
    </row>
    <row r="728" spans="12:31" ht="15" x14ac:dyDescent="0.2">
      <c r="L728" s="154" t="e">
        <f t="shared" si="97"/>
        <v>#VALUE!</v>
      </c>
      <c r="M728">
        <v>6.16</v>
      </c>
      <c r="N728" s="154" t="e">
        <f t="shared" si="98"/>
        <v>#VALUE!</v>
      </c>
      <c r="O728">
        <v>6.16</v>
      </c>
      <c r="P728" s="154" t="e">
        <f t="shared" si="99"/>
        <v>#VALUE!</v>
      </c>
      <c r="Q728">
        <v>6.16</v>
      </c>
      <c r="R728" s="154" t="e">
        <f t="shared" si="100"/>
        <v>#VALUE!</v>
      </c>
      <c r="S728">
        <v>6.16</v>
      </c>
      <c r="T728" s="154" t="e">
        <f t="shared" si="101"/>
        <v>#VALUE!</v>
      </c>
      <c r="U728">
        <v>6.16</v>
      </c>
      <c r="V728" s="154" t="e">
        <f t="shared" si="102"/>
        <v>#VALUE!</v>
      </c>
      <c r="W728">
        <v>6.16</v>
      </c>
      <c r="X728" s="157" t="e">
        <f t="shared" si="103"/>
        <v>#VALUE!</v>
      </c>
      <c r="Y728">
        <v>6.16</v>
      </c>
      <c r="Z728" s="154" t="e">
        <f t="shared" si="104"/>
        <v>#VALUE!</v>
      </c>
      <c r="AA728">
        <v>6.16</v>
      </c>
      <c r="AB728" s="154" t="e">
        <f t="shared" si="105"/>
        <v>#VALUE!</v>
      </c>
      <c r="AC728">
        <v>6.16</v>
      </c>
      <c r="AD728" s="154" t="e">
        <f t="shared" si="106"/>
        <v>#VALUE!</v>
      </c>
      <c r="AE728">
        <v>6.16</v>
      </c>
    </row>
    <row r="729" spans="12:31" ht="15" x14ac:dyDescent="0.2">
      <c r="L729" s="154" t="e">
        <f t="shared" si="97"/>
        <v>#VALUE!</v>
      </c>
      <c r="M729">
        <v>6.17</v>
      </c>
      <c r="N729" s="154" t="e">
        <f t="shared" si="98"/>
        <v>#VALUE!</v>
      </c>
      <c r="O729">
        <v>6.17</v>
      </c>
      <c r="P729" s="154" t="e">
        <f t="shared" si="99"/>
        <v>#VALUE!</v>
      </c>
      <c r="Q729">
        <v>6.17</v>
      </c>
      <c r="R729" s="154" t="e">
        <f t="shared" si="100"/>
        <v>#VALUE!</v>
      </c>
      <c r="S729">
        <v>6.17</v>
      </c>
      <c r="T729" s="154" t="e">
        <f t="shared" si="101"/>
        <v>#VALUE!</v>
      </c>
      <c r="U729">
        <v>6.17</v>
      </c>
      <c r="V729" s="154" t="e">
        <f t="shared" si="102"/>
        <v>#VALUE!</v>
      </c>
      <c r="W729">
        <v>6.17</v>
      </c>
      <c r="X729" s="157" t="e">
        <f t="shared" si="103"/>
        <v>#VALUE!</v>
      </c>
      <c r="Y729">
        <v>6.17</v>
      </c>
      <c r="Z729" s="154" t="e">
        <f t="shared" si="104"/>
        <v>#VALUE!</v>
      </c>
      <c r="AA729">
        <v>6.17</v>
      </c>
      <c r="AB729" s="154" t="e">
        <f t="shared" si="105"/>
        <v>#VALUE!</v>
      </c>
      <c r="AC729">
        <v>6.17</v>
      </c>
      <c r="AD729" s="154" t="e">
        <f t="shared" si="106"/>
        <v>#VALUE!</v>
      </c>
      <c r="AE729">
        <v>6.17</v>
      </c>
    </row>
    <row r="730" spans="12:31" ht="15" x14ac:dyDescent="0.2">
      <c r="L730" s="154" t="e">
        <f t="shared" si="97"/>
        <v>#VALUE!</v>
      </c>
      <c r="M730">
        <v>6.18</v>
      </c>
      <c r="N730" s="154" t="e">
        <f t="shared" si="98"/>
        <v>#VALUE!</v>
      </c>
      <c r="O730">
        <v>6.18</v>
      </c>
      <c r="P730" s="154" t="e">
        <f t="shared" si="99"/>
        <v>#VALUE!</v>
      </c>
      <c r="Q730">
        <v>6.18</v>
      </c>
      <c r="R730" s="154" t="e">
        <f t="shared" si="100"/>
        <v>#VALUE!</v>
      </c>
      <c r="S730">
        <v>6.18</v>
      </c>
      <c r="T730" s="154" t="e">
        <f t="shared" si="101"/>
        <v>#VALUE!</v>
      </c>
      <c r="U730">
        <v>6.18</v>
      </c>
      <c r="V730" s="154" t="e">
        <f t="shared" si="102"/>
        <v>#VALUE!</v>
      </c>
      <c r="W730">
        <v>6.18</v>
      </c>
      <c r="X730" s="157" t="e">
        <f t="shared" si="103"/>
        <v>#VALUE!</v>
      </c>
      <c r="Y730">
        <v>6.18</v>
      </c>
      <c r="Z730" s="154" t="e">
        <f t="shared" si="104"/>
        <v>#VALUE!</v>
      </c>
      <c r="AA730">
        <v>6.18</v>
      </c>
      <c r="AB730" s="154" t="e">
        <f t="shared" si="105"/>
        <v>#VALUE!</v>
      </c>
      <c r="AC730">
        <v>6.18</v>
      </c>
      <c r="AD730" s="154" t="e">
        <f t="shared" si="106"/>
        <v>#VALUE!</v>
      </c>
      <c r="AE730">
        <v>6.18</v>
      </c>
    </row>
    <row r="731" spans="12:31" ht="15" x14ac:dyDescent="0.2">
      <c r="L731" s="154" t="e">
        <f t="shared" si="97"/>
        <v>#VALUE!</v>
      </c>
      <c r="M731">
        <v>6.19</v>
      </c>
      <c r="N731" s="154" t="e">
        <f t="shared" si="98"/>
        <v>#VALUE!</v>
      </c>
      <c r="O731">
        <v>6.19</v>
      </c>
      <c r="P731" s="154" t="e">
        <f t="shared" si="99"/>
        <v>#VALUE!</v>
      </c>
      <c r="Q731">
        <v>6.19</v>
      </c>
      <c r="R731" s="154" t="e">
        <f t="shared" si="100"/>
        <v>#VALUE!</v>
      </c>
      <c r="S731">
        <v>6.19</v>
      </c>
      <c r="T731" s="154" t="e">
        <f t="shared" si="101"/>
        <v>#VALUE!</v>
      </c>
      <c r="U731">
        <v>6.19</v>
      </c>
      <c r="V731" s="154" t="e">
        <f t="shared" si="102"/>
        <v>#VALUE!</v>
      </c>
      <c r="W731">
        <v>6.19</v>
      </c>
      <c r="X731" s="157" t="e">
        <f t="shared" si="103"/>
        <v>#VALUE!</v>
      </c>
      <c r="Y731">
        <v>6.19</v>
      </c>
      <c r="Z731" s="154" t="e">
        <f t="shared" si="104"/>
        <v>#VALUE!</v>
      </c>
      <c r="AA731">
        <v>6.19</v>
      </c>
      <c r="AB731" s="154" t="e">
        <f t="shared" si="105"/>
        <v>#VALUE!</v>
      </c>
      <c r="AC731">
        <v>6.19</v>
      </c>
      <c r="AD731" s="154" t="e">
        <f t="shared" si="106"/>
        <v>#VALUE!</v>
      </c>
      <c r="AE731">
        <v>6.19</v>
      </c>
    </row>
    <row r="732" spans="12:31" ht="15" x14ac:dyDescent="0.2">
      <c r="L732" s="154" t="e">
        <f t="shared" si="97"/>
        <v>#VALUE!</v>
      </c>
      <c r="M732">
        <v>6.2</v>
      </c>
      <c r="N732" s="154" t="e">
        <f t="shared" si="98"/>
        <v>#VALUE!</v>
      </c>
      <c r="O732">
        <v>6.2</v>
      </c>
      <c r="P732" s="154" t="e">
        <f t="shared" si="99"/>
        <v>#VALUE!</v>
      </c>
      <c r="Q732">
        <v>6.2</v>
      </c>
      <c r="R732" s="154" t="e">
        <f t="shared" si="100"/>
        <v>#VALUE!</v>
      </c>
      <c r="S732">
        <v>6.2</v>
      </c>
      <c r="T732" s="154" t="e">
        <f t="shared" si="101"/>
        <v>#VALUE!</v>
      </c>
      <c r="U732">
        <v>6.2</v>
      </c>
      <c r="V732" s="154" t="e">
        <f t="shared" si="102"/>
        <v>#VALUE!</v>
      </c>
      <c r="W732">
        <v>6.2</v>
      </c>
      <c r="X732" s="157" t="e">
        <f t="shared" si="103"/>
        <v>#VALUE!</v>
      </c>
      <c r="Y732">
        <v>6.2</v>
      </c>
      <c r="Z732" s="154" t="e">
        <f t="shared" si="104"/>
        <v>#VALUE!</v>
      </c>
      <c r="AA732">
        <v>6.2</v>
      </c>
      <c r="AB732" s="154" t="e">
        <f t="shared" si="105"/>
        <v>#VALUE!</v>
      </c>
      <c r="AC732">
        <v>6.2</v>
      </c>
      <c r="AD732" s="154" t="e">
        <f t="shared" si="106"/>
        <v>#VALUE!</v>
      </c>
      <c r="AE732">
        <v>6.2</v>
      </c>
    </row>
    <row r="733" spans="12:31" ht="15" x14ac:dyDescent="0.2">
      <c r="L733" s="154" t="e">
        <f t="shared" si="97"/>
        <v>#VALUE!</v>
      </c>
      <c r="M733">
        <v>6.21</v>
      </c>
      <c r="N733" s="154" t="e">
        <f t="shared" si="98"/>
        <v>#VALUE!</v>
      </c>
      <c r="O733">
        <v>6.21</v>
      </c>
      <c r="P733" s="154" t="e">
        <f t="shared" si="99"/>
        <v>#VALUE!</v>
      </c>
      <c r="Q733">
        <v>6.21</v>
      </c>
      <c r="R733" s="154" t="e">
        <f t="shared" si="100"/>
        <v>#VALUE!</v>
      </c>
      <c r="S733">
        <v>6.21</v>
      </c>
      <c r="T733" s="154" t="e">
        <f t="shared" si="101"/>
        <v>#VALUE!</v>
      </c>
      <c r="U733">
        <v>6.21</v>
      </c>
      <c r="V733" s="154" t="e">
        <f t="shared" si="102"/>
        <v>#VALUE!</v>
      </c>
      <c r="W733">
        <v>6.21</v>
      </c>
      <c r="X733" s="157" t="e">
        <f t="shared" si="103"/>
        <v>#VALUE!</v>
      </c>
      <c r="Y733">
        <v>6.21</v>
      </c>
      <c r="Z733" s="154" t="e">
        <f t="shared" si="104"/>
        <v>#VALUE!</v>
      </c>
      <c r="AA733">
        <v>6.21</v>
      </c>
      <c r="AB733" s="154" t="e">
        <f t="shared" si="105"/>
        <v>#VALUE!</v>
      </c>
      <c r="AC733">
        <v>6.21</v>
      </c>
      <c r="AD733" s="154" t="e">
        <f t="shared" si="106"/>
        <v>#VALUE!</v>
      </c>
      <c r="AE733">
        <v>6.21</v>
      </c>
    </row>
    <row r="734" spans="12:31" ht="15" x14ac:dyDescent="0.2">
      <c r="L734" s="154" t="e">
        <f t="shared" si="97"/>
        <v>#VALUE!</v>
      </c>
      <c r="M734">
        <v>6.22</v>
      </c>
      <c r="N734" s="154" t="e">
        <f t="shared" si="98"/>
        <v>#VALUE!</v>
      </c>
      <c r="O734">
        <v>6.22</v>
      </c>
      <c r="P734" s="154" t="e">
        <f t="shared" si="99"/>
        <v>#VALUE!</v>
      </c>
      <c r="Q734">
        <v>6.22</v>
      </c>
      <c r="R734" s="154" t="e">
        <f t="shared" si="100"/>
        <v>#VALUE!</v>
      </c>
      <c r="S734">
        <v>6.22</v>
      </c>
      <c r="T734" s="154" t="e">
        <f t="shared" si="101"/>
        <v>#VALUE!</v>
      </c>
      <c r="U734">
        <v>6.22</v>
      </c>
      <c r="V734" s="154" t="e">
        <f t="shared" si="102"/>
        <v>#VALUE!</v>
      </c>
      <c r="W734">
        <v>6.22</v>
      </c>
      <c r="X734" s="157" t="e">
        <f t="shared" si="103"/>
        <v>#VALUE!</v>
      </c>
      <c r="Y734">
        <v>6.22</v>
      </c>
      <c r="Z734" s="154" t="e">
        <f t="shared" si="104"/>
        <v>#VALUE!</v>
      </c>
      <c r="AA734">
        <v>6.22</v>
      </c>
      <c r="AB734" s="154" t="e">
        <f t="shared" si="105"/>
        <v>#VALUE!</v>
      </c>
      <c r="AC734">
        <v>6.22</v>
      </c>
      <c r="AD734" s="154" t="e">
        <f t="shared" si="106"/>
        <v>#VALUE!</v>
      </c>
      <c r="AE734">
        <v>6.22</v>
      </c>
    </row>
    <row r="735" spans="12:31" ht="15" x14ac:dyDescent="0.2">
      <c r="L735" s="154" t="e">
        <f t="shared" si="97"/>
        <v>#VALUE!</v>
      </c>
      <c r="M735">
        <v>6.23</v>
      </c>
      <c r="N735" s="154" t="e">
        <f t="shared" si="98"/>
        <v>#VALUE!</v>
      </c>
      <c r="O735">
        <v>6.23</v>
      </c>
      <c r="P735" s="154" t="e">
        <f t="shared" si="99"/>
        <v>#VALUE!</v>
      </c>
      <c r="Q735">
        <v>6.23</v>
      </c>
      <c r="R735" s="154" t="e">
        <f t="shared" si="100"/>
        <v>#VALUE!</v>
      </c>
      <c r="S735">
        <v>6.23</v>
      </c>
      <c r="T735" s="154" t="e">
        <f t="shared" si="101"/>
        <v>#VALUE!</v>
      </c>
      <c r="U735">
        <v>6.23</v>
      </c>
      <c r="V735" s="154" t="e">
        <f t="shared" si="102"/>
        <v>#VALUE!</v>
      </c>
      <c r="W735">
        <v>6.23</v>
      </c>
      <c r="X735" s="157" t="e">
        <f t="shared" si="103"/>
        <v>#VALUE!</v>
      </c>
      <c r="Y735">
        <v>6.23</v>
      </c>
      <c r="Z735" s="154" t="e">
        <f t="shared" si="104"/>
        <v>#VALUE!</v>
      </c>
      <c r="AA735">
        <v>6.23</v>
      </c>
      <c r="AB735" s="154" t="e">
        <f t="shared" si="105"/>
        <v>#VALUE!</v>
      </c>
      <c r="AC735">
        <v>6.23</v>
      </c>
      <c r="AD735" s="154" t="e">
        <f t="shared" si="106"/>
        <v>#VALUE!</v>
      </c>
      <c r="AE735">
        <v>6.23</v>
      </c>
    </row>
    <row r="736" spans="12:31" ht="15" x14ac:dyDescent="0.2">
      <c r="L736" s="154" t="e">
        <f t="shared" si="97"/>
        <v>#VALUE!</v>
      </c>
      <c r="M736">
        <v>6.24</v>
      </c>
      <c r="N736" s="154" t="e">
        <f t="shared" si="98"/>
        <v>#VALUE!</v>
      </c>
      <c r="O736">
        <v>6.24</v>
      </c>
      <c r="P736" s="154" t="e">
        <f t="shared" si="99"/>
        <v>#VALUE!</v>
      </c>
      <c r="Q736">
        <v>6.24</v>
      </c>
      <c r="R736" s="154" t="e">
        <f t="shared" si="100"/>
        <v>#VALUE!</v>
      </c>
      <c r="S736">
        <v>6.24</v>
      </c>
      <c r="T736" s="154" t="e">
        <f t="shared" si="101"/>
        <v>#VALUE!</v>
      </c>
      <c r="U736">
        <v>6.24</v>
      </c>
      <c r="V736" s="154" t="e">
        <f t="shared" si="102"/>
        <v>#VALUE!</v>
      </c>
      <c r="W736">
        <v>6.24</v>
      </c>
      <c r="X736" s="157" t="e">
        <f t="shared" si="103"/>
        <v>#VALUE!</v>
      </c>
      <c r="Y736">
        <v>6.24</v>
      </c>
      <c r="Z736" s="154" t="e">
        <f t="shared" si="104"/>
        <v>#VALUE!</v>
      </c>
      <c r="AA736">
        <v>6.24</v>
      </c>
      <c r="AB736" s="154" t="e">
        <f t="shared" si="105"/>
        <v>#VALUE!</v>
      </c>
      <c r="AC736">
        <v>6.24</v>
      </c>
      <c r="AD736" s="154" t="e">
        <f t="shared" si="106"/>
        <v>#VALUE!</v>
      </c>
      <c r="AE736">
        <v>6.24</v>
      </c>
    </row>
    <row r="737" spans="12:31" ht="15" x14ac:dyDescent="0.2">
      <c r="L737" s="154" t="e">
        <f t="shared" si="97"/>
        <v>#VALUE!</v>
      </c>
      <c r="M737">
        <v>6.25</v>
      </c>
      <c r="N737" s="154" t="e">
        <f t="shared" si="98"/>
        <v>#VALUE!</v>
      </c>
      <c r="O737">
        <v>6.25</v>
      </c>
      <c r="P737" s="154" t="e">
        <f t="shared" si="99"/>
        <v>#VALUE!</v>
      </c>
      <c r="Q737">
        <v>6.25</v>
      </c>
      <c r="R737" s="154" t="e">
        <f t="shared" si="100"/>
        <v>#VALUE!</v>
      </c>
      <c r="S737">
        <v>6.25</v>
      </c>
      <c r="T737" s="154" t="e">
        <f t="shared" si="101"/>
        <v>#VALUE!</v>
      </c>
      <c r="U737">
        <v>6.25</v>
      </c>
      <c r="V737" s="154" t="e">
        <f t="shared" si="102"/>
        <v>#VALUE!</v>
      </c>
      <c r="W737">
        <v>6.25</v>
      </c>
      <c r="X737" s="157" t="e">
        <f t="shared" si="103"/>
        <v>#VALUE!</v>
      </c>
      <c r="Y737">
        <v>6.25</v>
      </c>
      <c r="Z737" s="154" t="e">
        <f t="shared" si="104"/>
        <v>#VALUE!</v>
      </c>
      <c r="AA737">
        <v>6.25</v>
      </c>
      <c r="AB737" s="154" t="e">
        <f t="shared" si="105"/>
        <v>#VALUE!</v>
      </c>
      <c r="AC737">
        <v>6.25</v>
      </c>
      <c r="AD737" s="154" t="e">
        <f t="shared" si="106"/>
        <v>#VALUE!</v>
      </c>
      <c r="AE737">
        <v>6.25</v>
      </c>
    </row>
    <row r="738" spans="12:31" ht="15" x14ac:dyDescent="0.2">
      <c r="L738" s="154" t="e">
        <f t="shared" si="97"/>
        <v>#VALUE!</v>
      </c>
      <c r="M738">
        <v>6.26</v>
      </c>
      <c r="N738" s="154" t="e">
        <f t="shared" si="98"/>
        <v>#VALUE!</v>
      </c>
      <c r="O738">
        <v>6.26</v>
      </c>
      <c r="P738" s="154" t="e">
        <f t="shared" si="99"/>
        <v>#VALUE!</v>
      </c>
      <c r="Q738">
        <v>6.26</v>
      </c>
      <c r="R738" s="154" t="e">
        <f t="shared" si="100"/>
        <v>#VALUE!</v>
      </c>
      <c r="S738">
        <v>6.26</v>
      </c>
      <c r="T738" s="154" t="e">
        <f t="shared" si="101"/>
        <v>#VALUE!</v>
      </c>
      <c r="U738">
        <v>6.26</v>
      </c>
      <c r="V738" s="154" t="e">
        <f t="shared" si="102"/>
        <v>#VALUE!</v>
      </c>
      <c r="W738">
        <v>6.26</v>
      </c>
      <c r="X738" s="157" t="e">
        <f t="shared" si="103"/>
        <v>#VALUE!</v>
      </c>
      <c r="Y738">
        <v>6.26</v>
      </c>
      <c r="Z738" s="154" t="e">
        <f t="shared" si="104"/>
        <v>#VALUE!</v>
      </c>
      <c r="AA738">
        <v>6.26</v>
      </c>
      <c r="AB738" s="154" t="e">
        <f t="shared" si="105"/>
        <v>#VALUE!</v>
      </c>
      <c r="AC738">
        <v>6.26</v>
      </c>
      <c r="AD738" s="154" t="e">
        <f t="shared" si="106"/>
        <v>#VALUE!</v>
      </c>
      <c r="AE738">
        <v>6.26</v>
      </c>
    </row>
    <row r="739" spans="12:31" ht="15" x14ac:dyDescent="0.2">
      <c r="L739" s="154" t="e">
        <f t="shared" si="97"/>
        <v>#VALUE!</v>
      </c>
      <c r="M739">
        <v>6.27</v>
      </c>
      <c r="N739" s="154" t="e">
        <f t="shared" si="98"/>
        <v>#VALUE!</v>
      </c>
      <c r="O739">
        <v>6.27</v>
      </c>
      <c r="P739" s="154" t="e">
        <f t="shared" si="99"/>
        <v>#VALUE!</v>
      </c>
      <c r="Q739">
        <v>6.27</v>
      </c>
      <c r="R739" s="154" t="e">
        <f t="shared" si="100"/>
        <v>#VALUE!</v>
      </c>
      <c r="S739">
        <v>6.27</v>
      </c>
      <c r="T739" s="154" t="e">
        <f t="shared" si="101"/>
        <v>#VALUE!</v>
      </c>
      <c r="U739">
        <v>6.27</v>
      </c>
      <c r="V739" s="154" t="e">
        <f t="shared" si="102"/>
        <v>#VALUE!</v>
      </c>
      <c r="W739">
        <v>6.27</v>
      </c>
      <c r="X739" s="157" t="e">
        <f t="shared" si="103"/>
        <v>#VALUE!</v>
      </c>
      <c r="Y739">
        <v>6.27</v>
      </c>
      <c r="Z739" s="154" t="e">
        <f t="shared" si="104"/>
        <v>#VALUE!</v>
      </c>
      <c r="AA739">
        <v>6.27</v>
      </c>
      <c r="AB739" s="154" t="e">
        <f t="shared" si="105"/>
        <v>#VALUE!</v>
      </c>
      <c r="AC739">
        <v>6.27</v>
      </c>
      <c r="AD739" s="154" t="e">
        <f t="shared" si="106"/>
        <v>#VALUE!</v>
      </c>
      <c r="AE739">
        <v>6.27</v>
      </c>
    </row>
    <row r="740" spans="12:31" ht="15" x14ac:dyDescent="0.2">
      <c r="L740" s="154" t="e">
        <f t="shared" si="97"/>
        <v>#VALUE!</v>
      </c>
      <c r="M740">
        <v>6.28</v>
      </c>
      <c r="N740" s="154" t="e">
        <f t="shared" si="98"/>
        <v>#VALUE!</v>
      </c>
      <c r="O740">
        <v>6.28</v>
      </c>
      <c r="P740" s="154" t="e">
        <f t="shared" si="99"/>
        <v>#VALUE!</v>
      </c>
      <c r="Q740">
        <v>6.28</v>
      </c>
      <c r="R740" s="154" t="e">
        <f t="shared" si="100"/>
        <v>#VALUE!</v>
      </c>
      <c r="S740">
        <v>6.28</v>
      </c>
      <c r="T740" s="154" t="e">
        <f t="shared" si="101"/>
        <v>#VALUE!</v>
      </c>
      <c r="U740">
        <v>6.28</v>
      </c>
      <c r="V740" s="154" t="e">
        <f t="shared" si="102"/>
        <v>#VALUE!</v>
      </c>
      <c r="W740">
        <v>6.28</v>
      </c>
      <c r="X740" s="157" t="e">
        <f t="shared" si="103"/>
        <v>#VALUE!</v>
      </c>
      <c r="Y740">
        <v>6.28</v>
      </c>
      <c r="Z740" s="154" t="e">
        <f t="shared" si="104"/>
        <v>#VALUE!</v>
      </c>
      <c r="AA740">
        <v>6.28</v>
      </c>
      <c r="AB740" s="154" t="e">
        <f t="shared" si="105"/>
        <v>#VALUE!</v>
      </c>
      <c r="AC740">
        <v>6.28</v>
      </c>
      <c r="AD740" s="154" t="e">
        <f t="shared" si="106"/>
        <v>#VALUE!</v>
      </c>
      <c r="AE740">
        <v>6.28</v>
      </c>
    </row>
    <row r="741" spans="12:31" ht="15" x14ac:dyDescent="0.2">
      <c r="L741" s="154" t="e">
        <f t="shared" si="97"/>
        <v>#VALUE!</v>
      </c>
      <c r="M741">
        <v>6.29</v>
      </c>
      <c r="N741" s="154" t="e">
        <f t="shared" si="98"/>
        <v>#VALUE!</v>
      </c>
      <c r="O741">
        <v>6.29</v>
      </c>
      <c r="P741" s="154" t="e">
        <f t="shared" si="99"/>
        <v>#VALUE!</v>
      </c>
      <c r="Q741">
        <v>6.29</v>
      </c>
      <c r="R741" s="154" t="e">
        <f t="shared" si="100"/>
        <v>#VALUE!</v>
      </c>
      <c r="S741">
        <v>6.29</v>
      </c>
      <c r="T741" s="154" t="e">
        <f t="shared" si="101"/>
        <v>#VALUE!</v>
      </c>
      <c r="U741">
        <v>6.29</v>
      </c>
      <c r="V741" s="154" t="e">
        <f t="shared" si="102"/>
        <v>#VALUE!</v>
      </c>
      <c r="W741">
        <v>6.29</v>
      </c>
      <c r="X741" s="157" t="e">
        <f t="shared" si="103"/>
        <v>#VALUE!</v>
      </c>
      <c r="Y741">
        <v>6.29</v>
      </c>
      <c r="Z741" s="154" t="e">
        <f t="shared" si="104"/>
        <v>#VALUE!</v>
      </c>
      <c r="AA741">
        <v>6.29</v>
      </c>
      <c r="AB741" s="154" t="e">
        <f t="shared" si="105"/>
        <v>#VALUE!</v>
      </c>
      <c r="AC741">
        <v>6.29</v>
      </c>
      <c r="AD741" s="154" t="e">
        <f t="shared" si="106"/>
        <v>#VALUE!</v>
      </c>
      <c r="AE741">
        <v>6.29</v>
      </c>
    </row>
    <row r="742" spans="12:31" ht="15" x14ac:dyDescent="0.2">
      <c r="L742" s="154" t="e">
        <f t="shared" si="97"/>
        <v>#VALUE!</v>
      </c>
      <c r="M742">
        <v>6.3</v>
      </c>
      <c r="N742" s="154" t="e">
        <f t="shared" si="98"/>
        <v>#VALUE!</v>
      </c>
      <c r="O742">
        <v>6.3</v>
      </c>
      <c r="P742" s="154" t="e">
        <f t="shared" si="99"/>
        <v>#VALUE!</v>
      </c>
      <c r="Q742">
        <v>6.3</v>
      </c>
      <c r="R742" s="154" t="e">
        <f t="shared" si="100"/>
        <v>#VALUE!</v>
      </c>
      <c r="S742">
        <v>6.3</v>
      </c>
      <c r="T742" s="154" t="e">
        <f t="shared" si="101"/>
        <v>#VALUE!</v>
      </c>
      <c r="U742">
        <v>6.3</v>
      </c>
      <c r="V742" s="154" t="e">
        <f t="shared" si="102"/>
        <v>#VALUE!</v>
      </c>
      <c r="W742">
        <v>6.3</v>
      </c>
      <c r="X742" s="157" t="e">
        <f t="shared" si="103"/>
        <v>#VALUE!</v>
      </c>
      <c r="Y742">
        <v>6.3</v>
      </c>
      <c r="Z742" s="154" t="e">
        <f t="shared" si="104"/>
        <v>#VALUE!</v>
      </c>
      <c r="AA742">
        <v>6.3</v>
      </c>
      <c r="AB742" s="154" t="e">
        <f t="shared" si="105"/>
        <v>#VALUE!</v>
      </c>
      <c r="AC742">
        <v>6.3</v>
      </c>
      <c r="AD742" s="154" t="e">
        <f t="shared" si="106"/>
        <v>#VALUE!</v>
      </c>
      <c r="AE742">
        <v>6.3</v>
      </c>
    </row>
    <row r="743" spans="12:31" ht="15" x14ac:dyDescent="0.2">
      <c r="L743" s="154" t="e">
        <f t="shared" si="97"/>
        <v>#VALUE!</v>
      </c>
      <c r="M743">
        <v>6.31</v>
      </c>
      <c r="N743" s="154" t="e">
        <f t="shared" si="98"/>
        <v>#VALUE!</v>
      </c>
      <c r="O743">
        <v>6.31</v>
      </c>
      <c r="P743" s="154" t="e">
        <f t="shared" si="99"/>
        <v>#VALUE!</v>
      </c>
      <c r="Q743">
        <v>6.31</v>
      </c>
      <c r="R743" s="154" t="e">
        <f t="shared" si="100"/>
        <v>#VALUE!</v>
      </c>
      <c r="S743">
        <v>6.31</v>
      </c>
      <c r="T743" s="154" t="e">
        <f t="shared" si="101"/>
        <v>#VALUE!</v>
      </c>
      <c r="U743">
        <v>6.31</v>
      </c>
      <c r="V743" s="154" t="e">
        <f t="shared" si="102"/>
        <v>#VALUE!</v>
      </c>
      <c r="W743">
        <v>6.31</v>
      </c>
      <c r="X743" s="157" t="e">
        <f t="shared" si="103"/>
        <v>#VALUE!</v>
      </c>
      <c r="Y743">
        <v>6.31</v>
      </c>
      <c r="Z743" s="154" t="e">
        <f t="shared" si="104"/>
        <v>#VALUE!</v>
      </c>
      <c r="AA743">
        <v>6.31</v>
      </c>
      <c r="AB743" s="154" t="e">
        <f t="shared" si="105"/>
        <v>#VALUE!</v>
      </c>
      <c r="AC743">
        <v>6.31</v>
      </c>
      <c r="AD743" s="154" t="e">
        <f t="shared" si="106"/>
        <v>#VALUE!</v>
      </c>
      <c r="AE743">
        <v>6.31</v>
      </c>
    </row>
    <row r="744" spans="12:31" ht="15" x14ac:dyDescent="0.2">
      <c r="L744" s="154" t="e">
        <f t="shared" si="97"/>
        <v>#VALUE!</v>
      </c>
      <c r="M744">
        <v>6.32</v>
      </c>
      <c r="N744" s="154" t="e">
        <f t="shared" si="98"/>
        <v>#VALUE!</v>
      </c>
      <c r="O744">
        <v>6.32</v>
      </c>
      <c r="P744" s="154" t="e">
        <f t="shared" si="99"/>
        <v>#VALUE!</v>
      </c>
      <c r="Q744">
        <v>6.32</v>
      </c>
      <c r="R744" s="154" t="e">
        <f t="shared" si="100"/>
        <v>#VALUE!</v>
      </c>
      <c r="S744">
        <v>6.32</v>
      </c>
      <c r="T744" s="154" t="e">
        <f t="shared" si="101"/>
        <v>#VALUE!</v>
      </c>
      <c r="U744">
        <v>6.32</v>
      </c>
      <c r="V744" s="154" t="e">
        <f t="shared" si="102"/>
        <v>#VALUE!</v>
      </c>
      <c r="W744">
        <v>6.32</v>
      </c>
      <c r="X744" s="157" t="e">
        <f t="shared" si="103"/>
        <v>#VALUE!</v>
      </c>
      <c r="Y744">
        <v>6.32</v>
      </c>
      <c r="Z744" s="154" t="e">
        <f t="shared" si="104"/>
        <v>#VALUE!</v>
      </c>
      <c r="AA744">
        <v>6.32</v>
      </c>
      <c r="AB744" s="154" t="e">
        <f t="shared" si="105"/>
        <v>#VALUE!</v>
      </c>
      <c r="AC744">
        <v>6.32</v>
      </c>
      <c r="AD744" s="154" t="e">
        <f t="shared" si="106"/>
        <v>#VALUE!</v>
      </c>
      <c r="AE744">
        <v>6.32</v>
      </c>
    </row>
    <row r="745" spans="12:31" ht="15" x14ac:dyDescent="0.2">
      <c r="L745" s="154" t="e">
        <f t="shared" si="97"/>
        <v>#VALUE!</v>
      </c>
      <c r="M745">
        <v>6.33</v>
      </c>
      <c r="N745" s="154" t="e">
        <f t="shared" si="98"/>
        <v>#VALUE!</v>
      </c>
      <c r="O745">
        <v>6.33</v>
      </c>
      <c r="P745" s="154" t="e">
        <f t="shared" si="99"/>
        <v>#VALUE!</v>
      </c>
      <c r="Q745">
        <v>6.33</v>
      </c>
      <c r="R745" s="154" t="e">
        <f t="shared" si="100"/>
        <v>#VALUE!</v>
      </c>
      <c r="S745">
        <v>6.33</v>
      </c>
      <c r="T745" s="154" t="e">
        <f t="shared" si="101"/>
        <v>#VALUE!</v>
      </c>
      <c r="U745">
        <v>6.33</v>
      </c>
      <c r="V745" s="154" t="e">
        <f t="shared" si="102"/>
        <v>#VALUE!</v>
      </c>
      <c r="W745">
        <v>6.33</v>
      </c>
      <c r="X745" s="157" t="e">
        <f t="shared" si="103"/>
        <v>#VALUE!</v>
      </c>
      <c r="Y745">
        <v>6.33</v>
      </c>
      <c r="Z745" s="154" t="e">
        <f t="shared" si="104"/>
        <v>#VALUE!</v>
      </c>
      <c r="AA745">
        <v>6.33</v>
      </c>
      <c r="AB745" s="154" t="e">
        <f t="shared" si="105"/>
        <v>#VALUE!</v>
      </c>
      <c r="AC745">
        <v>6.33</v>
      </c>
      <c r="AD745" s="154" t="e">
        <f t="shared" si="106"/>
        <v>#VALUE!</v>
      </c>
      <c r="AE745">
        <v>6.33</v>
      </c>
    </row>
    <row r="746" spans="12:31" ht="15" x14ac:dyDescent="0.2">
      <c r="L746" s="154" t="e">
        <f t="shared" si="97"/>
        <v>#VALUE!</v>
      </c>
      <c r="M746">
        <v>6.34</v>
      </c>
      <c r="N746" s="154" t="e">
        <f t="shared" si="98"/>
        <v>#VALUE!</v>
      </c>
      <c r="O746">
        <v>6.34</v>
      </c>
      <c r="P746" s="154" t="e">
        <f t="shared" si="99"/>
        <v>#VALUE!</v>
      </c>
      <c r="Q746">
        <v>6.34</v>
      </c>
      <c r="R746" s="154" t="e">
        <f t="shared" si="100"/>
        <v>#VALUE!</v>
      </c>
      <c r="S746">
        <v>6.34</v>
      </c>
      <c r="T746" s="154" t="e">
        <f t="shared" si="101"/>
        <v>#VALUE!</v>
      </c>
      <c r="U746">
        <v>6.34</v>
      </c>
      <c r="V746" s="154" t="e">
        <f t="shared" si="102"/>
        <v>#VALUE!</v>
      </c>
      <c r="W746">
        <v>6.34</v>
      </c>
      <c r="X746" s="157" t="e">
        <f t="shared" si="103"/>
        <v>#VALUE!</v>
      </c>
      <c r="Y746">
        <v>6.34</v>
      </c>
      <c r="Z746" s="154" t="e">
        <f t="shared" si="104"/>
        <v>#VALUE!</v>
      </c>
      <c r="AA746">
        <v>6.34</v>
      </c>
      <c r="AB746" s="154" t="e">
        <f t="shared" si="105"/>
        <v>#VALUE!</v>
      </c>
      <c r="AC746">
        <v>6.34</v>
      </c>
      <c r="AD746" s="154" t="e">
        <f t="shared" si="106"/>
        <v>#VALUE!</v>
      </c>
      <c r="AE746">
        <v>6.34</v>
      </c>
    </row>
    <row r="747" spans="12:31" ht="15" x14ac:dyDescent="0.2">
      <c r="L747" s="154" t="e">
        <f t="shared" si="97"/>
        <v>#VALUE!</v>
      </c>
      <c r="M747">
        <v>6.35</v>
      </c>
      <c r="N747" s="154" t="e">
        <f t="shared" si="98"/>
        <v>#VALUE!</v>
      </c>
      <c r="O747">
        <v>6.35</v>
      </c>
      <c r="P747" s="154" t="e">
        <f t="shared" si="99"/>
        <v>#VALUE!</v>
      </c>
      <c r="Q747">
        <v>6.35</v>
      </c>
      <c r="R747" s="154" t="e">
        <f t="shared" si="100"/>
        <v>#VALUE!</v>
      </c>
      <c r="S747">
        <v>6.35</v>
      </c>
      <c r="T747" s="154" t="e">
        <f t="shared" si="101"/>
        <v>#VALUE!</v>
      </c>
      <c r="U747">
        <v>6.35</v>
      </c>
      <c r="V747" s="154" t="e">
        <f t="shared" si="102"/>
        <v>#VALUE!</v>
      </c>
      <c r="W747">
        <v>6.35</v>
      </c>
      <c r="X747" s="157" t="e">
        <f t="shared" si="103"/>
        <v>#VALUE!</v>
      </c>
      <c r="Y747">
        <v>6.35</v>
      </c>
      <c r="Z747" s="154" t="e">
        <f t="shared" si="104"/>
        <v>#VALUE!</v>
      </c>
      <c r="AA747">
        <v>6.35</v>
      </c>
      <c r="AB747" s="154" t="e">
        <f t="shared" si="105"/>
        <v>#VALUE!</v>
      </c>
      <c r="AC747">
        <v>6.35</v>
      </c>
      <c r="AD747" s="154" t="e">
        <f t="shared" si="106"/>
        <v>#VALUE!</v>
      </c>
      <c r="AE747">
        <v>6.35</v>
      </c>
    </row>
    <row r="748" spans="12:31" ht="15" x14ac:dyDescent="0.2">
      <c r="L748" s="154" t="e">
        <f t="shared" si="97"/>
        <v>#VALUE!</v>
      </c>
      <c r="M748">
        <v>6.36</v>
      </c>
      <c r="N748" s="154" t="e">
        <f t="shared" si="98"/>
        <v>#VALUE!</v>
      </c>
      <c r="O748">
        <v>6.36</v>
      </c>
      <c r="P748" s="154" t="e">
        <f t="shared" si="99"/>
        <v>#VALUE!</v>
      </c>
      <c r="Q748">
        <v>6.36</v>
      </c>
      <c r="R748" s="154" t="e">
        <f t="shared" si="100"/>
        <v>#VALUE!</v>
      </c>
      <c r="S748">
        <v>6.36</v>
      </c>
      <c r="T748" s="154" t="e">
        <f t="shared" si="101"/>
        <v>#VALUE!</v>
      </c>
      <c r="U748">
        <v>6.36</v>
      </c>
      <c r="V748" s="154" t="e">
        <f t="shared" si="102"/>
        <v>#VALUE!</v>
      </c>
      <c r="W748">
        <v>6.36</v>
      </c>
      <c r="X748" s="157" t="e">
        <f t="shared" si="103"/>
        <v>#VALUE!</v>
      </c>
      <c r="Y748">
        <v>6.36</v>
      </c>
      <c r="Z748" s="154" t="e">
        <f t="shared" si="104"/>
        <v>#VALUE!</v>
      </c>
      <c r="AA748">
        <v>6.36</v>
      </c>
      <c r="AB748" s="154" t="e">
        <f t="shared" si="105"/>
        <v>#VALUE!</v>
      </c>
      <c r="AC748">
        <v>6.36</v>
      </c>
      <c r="AD748" s="154" t="e">
        <f t="shared" si="106"/>
        <v>#VALUE!</v>
      </c>
      <c r="AE748">
        <v>6.36</v>
      </c>
    </row>
    <row r="749" spans="12:31" ht="15" x14ac:dyDescent="0.2">
      <c r="L749" s="154" t="e">
        <f t="shared" si="97"/>
        <v>#VALUE!</v>
      </c>
      <c r="M749">
        <v>6.37</v>
      </c>
      <c r="N749" s="154" t="e">
        <f t="shared" si="98"/>
        <v>#VALUE!</v>
      </c>
      <c r="O749">
        <v>6.37</v>
      </c>
      <c r="P749" s="154" t="e">
        <f t="shared" si="99"/>
        <v>#VALUE!</v>
      </c>
      <c r="Q749">
        <v>6.37</v>
      </c>
      <c r="R749" s="154" t="e">
        <f t="shared" si="100"/>
        <v>#VALUE!</v>
      </c>
      <c r="S749">
        <v>6.37</v>
      </c>
      <c r="T749" s="154" t="e">
        <f t="shared" si="101"/>
        <v>#VALUE!</v>
      </c>
      <c r="U749">
        <v>6.37</v>
      </c>
      <c r="V749" s="154" t="e">
        <f t="shared" si="102"/>
        <v>#VALUE!</v>
      </c>
      <c r="W749">
        <v>6.37</v>
      </c>
      <c r="X749" s="157" t="e">
        <f t="shared" si="103"/>
        <v>#VALUE!</v>
      </c>
      <c r="Y749">
        <v>6.37</v>
      </c>
      <c r="Z749" s="154" t="e">
        <f t="shared" si="104"/>
        <v>#VALUE!</v>
      </c>
      <c r="AA749">
        <v>6.37</v>
      </c>
      <c r="AB749" s="154" t="e">
        <f t="shared" si="105"/>
        <v>#VALUE!</v>
      </c>
      <c r="AC749">
        <v>6.37</v>
      </c>
      <c r="AD749" s="154" t="e">
        <f t="shared" si="106"/>
        <v>#VALUE!</v>
      </c>
      <c r="AE749">
        <v>6.37</v>
      </c>
    </row>
    <row r="750" spans="12:31" ht="15" x14ac:dyDescent="0.2">
      <c r="L750" s="154" t="e">
        <f t="shared" si="97"/>
        <v>#VALUE!</v>
      </c>
      <c r="M750">
        <v>6.38</v>
      </c>
      <c r="N750" s="154" t="e">
        <f t="shared" si="98"/>
        <v>#VALUE!</v>
      </c>
      <c r="O750">
        <v>6.38</v>
      </c>
      <c r="P750" s="154" t="e">
        <f t="shared" si="99"/>
        <v>#VALUE!</v>
      </c>
      <c r="Q750">
        <v>6.38</v>
      </c>
      <c r="R750" s="154" t="e">
        <f t="shared" si="100"/>
        <v>#VALUE!</v>
      </c>
      <c r="S750">
        <v>6.38</v>
      </c>
      <c r="T750" s="154" t="e">
        <f t="shared" si="101"/>
        <v>#VALUE!</v>
      </c>
      <c r="U750">
        <v>6.38</v>
      </c>
      <c r="V750" s="154" t="e">
        <f t="shared" si="102"/>
        <v>#VALUE!</v>
      </c>
      <c r="W750">
        <v>6.38</v>
      </c>
      <c r="X750" s="157" t="e">
        <f t="shared" si="103"/>
        <v>#VALUE!</v>
      </c>
      <c r="Y750">
        <v>6.38</v>
      </c>
      <c r="Z750" s="154" t="e">
        <f t="shared" si="104"/>
        <v>#VALUE!</v>
      </c>
      <c r="AA750">
        <v>6.38</v>
      </c>
      <c r="AB750" s="154" t="e">
        <f t="shared" si="105"/>
        <v>#VALUE!</v>
      </c>
      <c r="AC750">
        <v>6.38</v>
      </c>
      <c r="AD750" s="154" t="e">
        <f t="shared" si="106"/>
        <v>#VALUE!</v>
      </c>
      <c r="AE750">
        <v>6.38</v>
      </c>
    </row>
    <row r="751" spans="12:31" ht="15" x14ac:dyDescent="0.2">
      <c r="L751" s="154" t="e">
        <f t="shared" si="97"/>
        <v>#VALUE!</v>
      </c>
      <c r="M751">
        <v>6.39</v>
      </c>
      <c r="N751" s="154" t="e">
        <f t="shared" si="98"/>
        <v>#VALUE!</v>
      </c>
      <c r="O751">
        <v>6.39</v>
      </c>
      <c r="P751" s="154" t="e">
        <f t="shared" si="99"/>
        <v>#VALUE!</v>
      </c>
      <c r="Q751">
        <v>6.39</v>
      </c>
      <c r="R751" s="154" t="e">
        <f t="shared" si="100"/>
        <v>#VALUE!</v>
      </c>
      <c r="S751">
        <v>6.39</v>
      </c>
      <c r="T751" s="154" t="e">
        <f t="shared" si="101"/>
        <v>#VALUE!</v>
      </c>
      <c r="U751">
        <v>6.39</v>
      </c>
      <c r="V751" s="154" t="e">
        <f t="shared" si="102"/>
        <v>#VALUE!</v>
      </c>
      <c r="W751">
        <v>6.39</v>
      </c>
      <c r="X751" s="157" t="e">
        <f t="shared" si="103"/>
        <v>#VALUE!</v>
      </c>
      <c r="Y751">
        <v>6.39</v>
      </c>
      <c r="Z751" s="154" t="e">
        <f t="shared" si="104"/>
        <v>#VALUE!</v>
      </c>
      <c r="AA751">
        <v>6.39</v>
      </c>
      <c r="AB751" s="154" t="e">
        <f t="shared" si="105"/>
        <v>#VALUE!</v>
      </c>
      <c r="AC751">
        <v>6.39</v>
      </c>
      <c r="AD751" s="154" t="e">
        <f t="shared" si="106"/>
        <v>#VALUE!</v>
      </c>
      <c r="AE751">
        <v>6.39</v>
      </c>
    </row>
    <row r="752" spans="12:31" ht="15" x14ac:dyDescent="0.2">
      <c r="L752" s="154" t="e">
        <f t="shared" si="97"/>
        <v>#VALUE!</v>
      </c>
      <c r="M752">
        <v>6.4</v>
      </c>
      <c r="N752" s="154" t="e">
        <f t="shared" si="98"/>
        <v>#VALUE!</v>
      </c>
      <c r="O752">
        <v>6.4</v>
      </c>
      <c r="P752" s="154" t="e">
        <f t="shared" si="99"/>
        <v>#VALUE!</v>
      </c>
      <c r="Q752">
        <v>6.4</v>
      </c>
      <c r="R752" s="154" t="e">
        <f t="shared" si="100"/>
        <v>#VALUE!</v>
      </c>
      <c r="S752">
        <v>6.4</v>
      </c>
      <c r="T752" s="154" t="e">
        <f t="shared" si="101"/>
        <v>#VALUE!</v>
      </c>
      <c r="U752">
        <v>6.4</v>
      </c>
      <c r="V752" s="154" t="e">
        <f t="shared" si="102"/>
        <v>#VALUE!</v>
      </c>
      <c r="W752">
        <v>6.4</v>
      </c>
      <c r="X752" s="157" t="e">
        <f t="shared" si="103"/>
        <v>#VALUE!</v>
      </c>
      <c r="Y752">
        <v>6.4</v>
      </c>
      <c r="Z752" s="154" t="e">
        <f t="shared" si="104"/>
        <v>#VALUE!</v>
      </c>
      <c r="AA752">
        <v>6.4</v>
      </c>
      <c r="AB752" s="154" t="e">
        <f t="shared" si="105"/>
        <v>#VALUE!</v>
      </c>
      <c r="AC752">
        <v>6.4</v>
      </c>
      <c r="AD752" s="154" t="e">
        <f t="shared" si="106"/>
        <v>#VALUE!</v>
      </c>
      <c r="AE752">
        <v>6.4</v>
      </c>
    </row>
    <row r="753" spans="12:31" ht="15" x14ac:dyDescent="0.2">
      <c r="L753" s="154" t="e">
        <f t="shared" ref="L753:L816" si="107">((1.486/$D$33)*((((PI()*($D$46/12)^2)/4)-((($D$46/12)/2)^2*((2*ACOS(((($D$46/12)/2)-(($D$46/12)-(M753/12)))/(($D$46/12)/2)))-SIN(2*ACOS(((($D$46/12)/2)-(($D$46/12)-(M753/12)))/(($D$46/12)/2))))/2))/((PI()*($D$46/12))-((2*ACOS(((($D$46/12)/2)-(($D$46/12)-(M753/12)))/(($D$46/12)/2)))*(($D$46/12)/2))))^(2/3)*$H$17^0.5)*(((PI()*($D$46/12)^2)/4)-((($D$46/12)/2)^2*((2*ACOS(((($D$46/12)/2)-(($D$46/12)-(M753/12)))/(($D$46/12)/2)))-SIN(2*ACOS(((($D$46/12)/2)-(($D$46/12)-(M753/12)))/(($D$46/12)/2))))/2))</f>
        <v>#VALUE!</v>
      </c>
      <c r="M753">
        <v>6.41</v>
      </c>
      <c r="N753" s="154" t="e">
        <f t="shared" ref="N753:N816" si="108">((1.486/$D$34)*((((PI()*($D$47/12)^2)/4)-((($D$47/12)/2)^2*((2*ACOS(((($D$47/12)/2)-(($D$47/12)-(O753/12)))/(($D$47/12)/2)))-SIN(2*ACOS(((($D$47/12)/2)-(($D$47/12)-(O753/12)))/(($D$47/12)/2))))/2))/((PI()*($D$47/12))-((2*ACOS(((($D$47/12)/2)-(($D$47/12)-(O753/12)))/(($D$47/12)/2)))*(($D$47/12)/2))))^(2/3)*$H$18^0.5)*(((PI()*($D$47/12)^2)/4)-((($D$47/12)/2)^2*((2*ACOS(((($D$47/12)/2)-(($D$47/12)-(O753/12)))/(($D$47/12)/2)))-SIN(2*ACOS(((($D$47/12)/2)-(($D$47/12)-(O753/12)))/(($D$47/12)/2))))/2))</f>
        <v>#VALUE!</v>
      </c>
      <c r="O753">
        <v>6.41</v>
      </c>
      <c r="P753" s="154" t="e">
        <f t="shared" ref="P753:P816" si="109">((1.486/$D$35)*((((PI()*($D$48/12)^2)/4)-((($D$48/12)/2)^2*((2*ACOS(((($D$48/12)/2)-(($D$48/12)-(Q753/12)))/(($D$48/12)/2)))-SIN(2*ACOS(((($D$48/12)/2)-(($D$48/12)-(Q753/12)))/(($D$48/12)/2))))/2))/((PI()*($D$48/12))-((2*ACOS(((($D$48/12)/2)-(($D$48/12)-(Q753/12)))/(($D$48/12)/2)))*(($D$48/12)/2))))^(2/3)*$H$19^0.5)*(((PI()*($D$48/12)^2)/4)-((($D$48/12)/2)^2*((2*ACOS(((($D$48/12)/2)-(($D$48/12)-(Q753/12)))/(($D$48/12)/2)))-SIN(2*ACOS(((($D$48/12)/2)-(($D$48/12)-(Q753/12)))/(($D$48/12)/2))))/2))</f>
        <v>#VALUE!</v>
      </c>
      <c r="Q753">
        <v>6.41</v>
      </c>
      <c r="R753" s="154" t="e">
        <f t="shared" ref="R753:R816" si="110">((1.486/$D$36)*((((PI()*($D$49/12)^2)/4)-((($D$49/12)/2)^2*((2*ACOS(((($D$49/12)/2)-(($D$49/12)-(S753/12)))/(($D$49/12)/2)))-SIN(2*ACOS(((($D$49/12)/2)-(($D$49/12)-(S753/12)))/(($D$49/12)/2))))/2))/((PI()*($D$49/12))-((2*ACOS(((($D$49/12)/2)-(($D$49/12)-(S753/12)))/(($D$49/12)/2)))*(($D$49/12)/2))))^(2/3)*$H$20^0.5)*(((PI()*($D$49/12)^2)/4)-((($D$49/12)/2)^2*((2*ACOS(((($D$49/12)/2)-(($D$49/12)-(S753/12)))/(($D$49/12)/2)))-SIN(2*ACOS(((($D$49/12)/2)-(($D$49/12)-(S753/12)))/(($D$49/12)/2))))/2))</f>
        <v>#VALUE!</v>
      </c>
      <c r="S753">
        <v>6.41</v>
      </c>
      <c r="T753" s="154" t="e">
        <f t="shared" ref="T753:T816" si="111">((1.486/$D$37)*((((PI()*($D$50/12)^2)/4)-((($D$50/12)/2)^2*((2*ACOS(((($D$50/12)/2)-(($D$50/12)-(U753/12)))/(($D$50/12)/2)))-SIN(2*ACOS(((($D$50/12)/2)-(($D$50/12)-(U753/12)))/(($D$50/12)/2))))/2))/((PI()*($D$50/12))-((2*ACOS(((($D$50/12)/2)-(($D$50/12)-(U753/12)))/(($D$50/12)/2)))*(($D$50/12)/2))))^(2/3)*$H$21^0.5)*(((PI()*($D$50/12)^2)/4)-((($D$50/12)/2)^2*((2*ACOS(((($D$50/12)/2)-(($D$50/12)-(U753/12)))/(($D$50/12)/2)))-SIN(2*ACOS(((($D$50/12)/2)-(($D$50/12)-(U753/12)))/(($D$50/12)/2))))/2))</f>
        <v>#VALUE!</v>
      </c>
      <c r="U753">
        <v>6.41</v>
      </c>
      <c r="V753" s="154" t="e">
        <f t="shared" ref="V753:V816" si="112">((1.486/$D$38)*((((PI()*($D$51/12)^2)/4)-((($D$51/12)/2)^2*((2*ACOS(((($D$51/12)/2)-(($D$51/12)-(W753/12)))/(($D$51/12)/2)))-SIN(2*ACOS(((($D$51/12)/2)-(($D$51/12)-(W753/12)))/(($D$51/12)/2))))/2))/((PI()*($D$51/12))-((2*ACOS(((($D$51/12)/2)-(($D$51/12)-(W753/12)))/(($D$51/12)/2)))*(($D$51/12)/2))))^(2/3)*$H$22^0.5)*(((PI()*($D$51/12)^2)/4)-((($D$51/12)/2)^2*((2*ACOS(((($D$51/12)/2)-(($D$51/12)-(W753/12)))/(($D$51/12)/2)))-SIN(2*ACOS(((($D$51/12)/2)-(($D$51/12)-(W753/12)))/(($D$51/12)/2))))/2))</f>
        <v>#VALUE!</v>
      </c>
      <c r="W753">
        <v>6.41</v>
      </c>
      <c r="X753" s="157" t="e">
        <f t="shared" ref="X753:X816" si="113">((1.486/$D$39)*((((PI()*($D$52/12)^2)/4)-((($D$52/12)/2)^2*((2*ACOS(((($D$52/12)/2)-(($D$52/12)-(Y753/12)))/(($D$52/12)/2)))-SIN(2*ACOS(((($D$52/12)/2)-(($D$52/12)-(Y753/12)))/(($D$52/12)/2))))/2))/((PI()*($D$52/12))-((2*ACOS(((($D$52/12)/2)-(($D$52/12)-(Y753/12)))/(($D$52/12)/2)))*(($D$52/12)/2))))^(2/3)*$H$23^0.5)*(((PI()*($D$52/12)^2)/4)-((($D$52/12)/2)^2*((2*ACOS(((($D$52/12)/2)-(($D$52/12)-(Y753/12)))/(($D$52/12)/2)))-SIN(2*ACOS(((($D$52/12)/2)-(($D$52/12)-(Y753/12)))/(($D$52/12)/2))))/2))</f>
        <v>#VALUE!</v>
      </c>
      <c r="Y753">
        <v>6.41</v>
      </c>
      <c r="Z753" s="154" t="e">
        <f t="shared" ref="Z753:Z816" si="114">((1.486/$D$40)*((((PI()*($D$53/12)^2)/4)-((($D$53/12)/2)^2*((2*ACOS(((($D$53/12)/2)-(($D$53/12)-(AA753/12)))/(($D$53/12)/2)))-SIN(2*ACOS(((($D$53/12)/2)-(($D$53/12)-(AA753/12)))/(($D$53/12)/2))))/2))/((PI()*($D$53/12))-((2*ACOS(((($D$53/12)/2)-(($D$53/12)-(AA753/12)))/(($D$53/12)/2)))*(($D$53/12)/2))))^(2/3)*$H$24^0.5)*(((PI()*($D$53/12)^2)/4)-((($D$53/12)/2)^2*((2*ACOS(((($D$53/12)/2)-(($D$53/12)-(AA753/12)))/(($D$53/12)/2)))-SIN(2*ACOS(((($D$53/12)/2)-(($D$53/12)-(AA753/12)))/(($D$53/12)/2))))/2))</f>
        <v>#VALUE!</v>
      </c>
      <c r="AA753">
        <v>6.41</v>
      </c>
      <c r="AB753" s="154" t="e">
        <f t="shared" ref="AB753:AB816" si="115">((1.486/$D$41)*((((PI()*($D$54/12)^2)/4)-((($D$54/12)/2)^2*((2*ACOS(((($D$54/12)/2)-(($D$54/12)-(AC753/12)))/(($D$54/12)/2)))-SIN(2*ACOS(((($D$54/12)/2)-(($D$54/12)-(AC753/12)))/(($D$54/12)/2))))/2))/((PI()*($D$54/12))-((2*ACOS(((($D$54/12)/2)-(($D$54/12)-(AC753/12)))/(($D$54/12)/2)))*(($D$54/12)/2))))^(2/3)*$H$25^0.5)*(((PI()*($D$54/12)^2)/4)-((($D$54/12)/2)^2*((2*ACOS(((($D$54/12)/2)-(($D$54/12)-(AC753/12)))/(($D$54/12)/2)))-SIN(2*ACOS(((($D$54/12)/2)-(($D$54/12)-(AC753/12)))/(($D$54/12)/2))))/2))</f>
        <v>#VALUE!</v>
      </c>
      <c r="AC753">
        <v>6.41</v>
      </c>
      <c r="AD753" s="154" t="e">
        <f t="shared" ref="AD753:AD816" si="116">((1.486/$D$42)*((((PI()*($D$55/12)^2)/4)-((($D$55/12)/2)^2*((2*ACOS(((($D$55/12)/2)-(($D$55/12)-(AE753/12)))/(($D$55/12)/2)))-SIN(2*ACOS(((($D$55/12)/2)-(($D$55/12)-(AE753/12)))/(($D$55/12)/2))))/2))/((PI()*($D$55/12))-((2*ACOS(((($D$55/12)/2)-(($D$55/12)-(AE753/12)))/(($D$55/12)/2)))*(($D$55/12)/2))))^(2/3)*$H$26^0.5)*(((PI()*($D$55/12)^2)/4)-((($D$55/12)/2)^2*((2*ACOS(((($D$55/12)/2)-(($D$55/12)-(AE753/12)))/(($D$55/12)/2)))-SIN(2*ACOS(((($D$55/12)/2)-(($D$55/12)-(AE753/12)))/(($D$55/12)/2))))/2))</f>
        <v>#VALUE!</v>
      </c>
      <c r="AE753">
        <v>6.41</v>
      </c>
    </row>
    <row r="754" spans="12:31" ht="15" x14ac:dyDescent="0.2">
      <c r="L754" s="154" t="e">
        <f t="shared" si="107"/>
        <v>#VALUE!</v>
      </c>
      <c r="M754">
        <v>6.42</v>
      </c>
      <c r="N754" s="154" t="e">
        <f t="shared" si="108"/>
        <v>#VALUE!</v>
      </c>
      <c r="O754">
        <v>6.42</v>
      </c>
      <c r="P754" s="154" t="e">
        <f t="shared" si="109"/>
        <v>#VALUE!</v>
      </c>
      <c r="Q754">
        <v>6.42</v>
      </c>
      <c r="R754" s="154" t="e">
        <f t="shared" si="110"/>
        <v>#VALUE!</v>
      </c>
      <c r="S754">
        <v>6.42</v>
      </c>
      <c r="T754" s="154" t="e">
        <f t="shared" si="111"/>
        <v>#VALUE!</v>
      </c>
      <c r="U754">
        <v>6.42</v>
      </c>
      <c r="V754" s="154" t="e">
        <f t="shared" si="112"/>
        <v>#VALUE!</v>
      </c>
      <c r="W754">
        <v>6.42</v>
      </c>
      <c r="X754" s="157" t="e">
        <f t="shared" si="113"/>
        <v>#VALUE!</v>
      </c>
      <c r="Y754">
        <v>6.42</v>
      </c>
      <c r="Z754" s="154" t="e">
        <f t="shared" si="114"/>
        <v>#VALUE!</v>
      </c>
      <c r="AA754">
        <v>6.42</v>
      </c>
      <c r="AB754" s="154" t="e">
        <f t="shared" si="115"/>
        <v>#VALUE!</v>
      </c>
      <c r="AC754">
        <v>6.42</v>
      </c>
      <c r="AD754" s="154" t="e">
        <f t="shared" si="116"/>
        <v>#VALUE!</v>
      </c>
      <c r="AE754">
        <v>6.42</v>
      </c>
    </row>
    <row r="755" spans="12:31" ht="15" x14ac:dyDescent="0.2">
      <c r="L755" s="154" t="e">
        <f t="shared" si="107"/>
        <v>#VALUE!</v>
      </c>
      <c r="M755">
        <v>6.43</v>
      </c>
      <c r="N755" s="154" t="e">
        <f t="shared" si="108"/>
        <v>#VALUE!</v>
      </c>
      <c r="O755">
        <v>6.43</v>
      </c>
      <c r="P755" s="154" t="e">
        <f t="shared" si="109"/>
        <v>#VALUE!</v>
      </c>
      <c r="Q755">
        <v>6.43</v>
      </c>
      <c r="R755" s="154" t="e">
        <f t="shared" si="110"/>
        <v>#VALUE!</v>
      </c>
      <c r="S755">
        <v>6.43</v>
      </c>
      <c r="T755" s="154" t="e">
        <f t="shared" si="111"/>
        <v>#VALUE!</v>
      </c>
      <c r="U755">
        <v>6.43</v>
      </c>
      <c r="V755" s="154" t="e">
        <f t="shared" si="112"/>
        <v>#VALUE!</v>
      </c>
      <c r="W755">
        <v>6.43</v>
      </c>
      <c r="X755" s="157" t="e">
        <f t="shared" si="113"/>
        <v>#VALUE!</v>
      </c>
      <c r="Y755">
        <v>6.43</v>
      </c>
      <c r="Z755" s="154" t="e">
        <f t="shared" si="114"/>
        <v>#VALUE!</v>
      </c>
      <c r="AA755">
        <v>6.43</v>
      </c>
      <c r="AB755" s="154" t="e">
        <f t="shared" si="115"/>
        <v>#VALUE!</v>
      </c>
      <c r="AC755">
        <v>6.43</v>
      </c>
      <c r="AD755" s="154" t="e">
        <f t="shared" si="116"/>
        <v>#VALUE!</v>
      </c>
      <c r="AE755">
        <v>6.43</v>
      </c>
    </row>
    <row r="756" spans="12:31" ht="15" x14ac:dyDescent="0.2">
      <c r="L756" s="154" t="e">
        <f t="shared" si="107"/>
        <v>#VALUE!</v>
      </c>
      <c r="M756">
        <v>6.44</v>
      </c>
      <c r="N756" s="154" t="e">
        <f t="shared" si="108"/>
        <v>#VALUE!</v>
      </c>
      <c r="O756">
        <v>6.44</v>
      </c>
      <c r="P756" s="154" t="e">
        <f t="shared" si="109"/>
        <v>#VALUE!</v>
      </c>
      <c r="Q756">
        <v>6.44</v>
      </c>
      <c r="R756" s="154" t="e">
        <f t="shared" si="110"/>
        <v>#VALUE!</v>
      </c>
      <c r="S756">
        <v>6.44</v>
      </c>
      <c r="T756" s="154" t="e">
        <f t="shared" si="111"/>
        <v>#VALUE!</v>
      </c>
      <c r="U756">
        <v>6.44</v>
      </c>
      <c r="V756" s="154" t="e">
        <f t="shared" si="112"/>
        <v>#VALUE!</v>
      </c>
      <c r="W756">
        <v>6.44</v>
      </c>
      <c r="X756" s="157" t="e">
        <f t="shared" si="113"/>
        <v>#VALUE!</v>
      </c>
      <c r="Y756">
        <v>6.44</v>
      </c>
      <c r="Z756" s="154" t="e">
        <f t="shared" si="114"/>
        <v>#VALUE!</v>
      </c>
      <c r="AA756">
        <v>6.44</v>
      </c>
      <c r="AB756" s="154" t="e">
        <f t="shared" si="115"/>
        <v>#VALUE!</v>
      </c>
      <c r="AC756">
        <v>6.44</v>
      </c>
      <c r="AD756" s="154" t="e">
        <f t="shared" si="116"/>
        <v>#VALUE!</v>
      </c>
      <c r="AE756">
        <v>6.44</v>
      </c>
    </row>
    <row r="757" spans="12:31" ht="15" x14ac:dyDescent="0.2">
      <c r="L757" s="154" t="e">
        <f t="shared" si="107"/>
        <v>#VALUE!</v>
      </c>
      <c r="M757">
        <v>6.45</v>
      </c>
      <c r="N757" s="154" t="e">
        <f t="shared" si="108"/>
        <v>#VALUE!</v>
      </c>
      <c r="O757">
        <v>6.45</v>
      </c>
      <c r="P757" s="154" t="e">
        <f t="shared" si="109"/>
        <v>#VALUE!</v>
      </c>
      <c r="Q757">
        <v>6.45</v>
      </c>
      <c r="R757" s="154" t="e">
        <f t="shared" si="110"/>
        <v>#VALUE!</v>
      </c>
      <c r="S757">
        <v>6.45</v>
      </c>
      <c r="T757" s="154" t="e">
        <f t="shared" si="111"/>
        <v>#VALUE!</v>
      </c>
      <c r="U757">
        <v>6.45</v>
      </c>
      <c r="V757" s="154" t="e">
        <f t="shared" si="112"/>
        <v>#VALUE!</v>
      </c>
      <c r="W757">
        <v>6.45</v>
      </c>
      <c r="X757" s="157" t="e">
        <f t="shared" si="113"/>
        <v>#VALUE!</v>
      </c>
      <c r="Y757">
        <v>6.45</v>
      </c>
      <c r="Z757" s="154" t="e">
        <f t="shared" si="114"/>
        <v>#VALUE!</v>
      </c>
      <c r="AA757">
        <v>6.45</v>
      </c>
      <c r="AB757" s="154" t="e">
        <f t="shared" si="115"/>
        <v>#VALUE!</v>
      </c>
      <c r="AC757">
        <v>6.45</v>
      </c>
      <c r="AD757" s="154" t="e">
        <f t="shared" si="116"/>
        <v>#VALUE!</v>
      </c>
      <c r="AE757">
        <v>6.45</v>
      </c>
    </row>
    <row r="758" spans="12:31" ht="15" x14ac:dyDescent="0.2">
      <c r="L758" s="154" t="e">
        <f t="shared" si="107"/>
        <v>#VALUE!</v>
      </c>
      <c r="M758">
        <v>6.46</v>
      </c>
      <c r="N758" s="154" t="e">
        <f t="shared" si="108"/>
        <v>#VALUE!</v>
      </c>
      <c r="O758">
        <v>6.46</v>
      </c>
      <c r="P758" s="154" t="e">
        <f t="shared" si="109"/>
        <v>#VALUE!</v>
      </c>
      <c r="Q758">
        <v>6.46</v>
      </c>
      <c r="R758" s="154" t="e">
        <f t="shared" si="110"/>
        <v>#VALUE!</v>
      </c>
      <c r="S758">
        <v>6.46</v>
      </c>
      <c r="T758" s="154" t="e">
        <f t="shared" si="111"/>
        <v>#VALUE!</v>
      </c>
      <c r="U758">
        <v>6.46</v>
      </c>
      <c r="V758" s="154" t="e">
        <f t="shared" si="112"/>
        <v>#VALUE!</v>
      </c>
      <c r="W758">
        <v>6.46</v>
      </c>
      <c r="X758" s="157" t="e">
        <f t="shared" si="113"/>
        <v>#VALUE!</v>
      </c>
      <c r="Y758">
        <v>6.46</v>
      </c>
      <c r="Z758" s="154" t="e">
        <f t="shared" si="114"/>
        <v>#VALUE!</v>
      </c>
      <c r="AA758">
        <v>6.46</v>
      </c>
      <c r="AB758" s="154" t="e">
        <f t="shared" si="115"/>
        <v>#VALUE!</v>
      </c>
      <c r="AC758">
        <v>6.46</v>
      </c>
      <c r="AD758" s="154" t="e">
        <f t="shared" si="116"/>
        <v>#VALUE!</v>
      </c>
      <c r="AE758">
        <v>6.46</v>
      </c>
    </row>
    <row r="759" spans="12:31" ht="15" x14ac:dyDescent="0.2">
      <c r="L759" s="154" t="e">
        <f t="shared" si="107"/>
        <v>#VALUE!</v>
      </c>
      <c r="M759">
        <v>6.47</v>
      </c>
      <c r="N759" s="154" t="e">
        <f t="shared" si="108"/>
        <v>#VALUE!</v>
      </c>
      <c r="O759">
        <v>6.47</v>
      </c>
      <c r="P759" s="154" t="e">
        <f t="shared" si="109"/>
        <v>#VALUE!</v>
      </c>
      <c r="Q759">
        <v>6.47</v>
      </c>
      <c r="R759" s="154" t="e">
        <f t="shared" si="110"/>
        <v>#VALUE!</v>
      </c>
      <c r="S759">
        <v>6.47</v>
      </c>
      <c r="T759" s="154" t="e">
        <f t="shared" si="111"/>
        <v>#VALUE!</v>
      </c>
      <c r="U759">
        <v>6.47</v>
      </c>
      <c r="V759" s="154" t="e">
        <f t="shared" si="112"/>
        <v>#VALUE!</v>
      </c>
      <c r="W759">
        <v>6.47</v>
      </c>
      <c r="X759" s="157" t="e">
        <f t="shared" si="113"/>
        <v>#VALUE!</v>
      </c>
      <c r="Y759">
        <v>6.47</v>
      </c>
      <c r="Z759" s="154" t="e">
        <f t="shared" si="114"/>
        <v>#VALUE!</v>
      </c>
      <c r="AA759">
        <v>6.47</v>
      </c>
      <c r="AB759" s="154" t="e">
        <f t="shared" si="115"/>
        <v>#VALUE!</v>
      </c>
      <c r="AC759">
        <v>6.47</v>
      </c>
      <c r="AD759" s="154" t="e">
        <f t="shared" si="116"/>
        <v>#VALUE!</v>
      </c>
      <c r="AE759">
        <v>6.47</v>
      </c>
    </row>
    <row r="760" spans="12:31" ht="15" x14ac:dyDescent="0.2">
      <c r="L760" s="154" t="e">
        <f t="shared" si="107"/>
        <v>#VALUE!</v>
      </c>
      <c r="M760">
        <v>6.48</v>
      </c>
      <c r="N760" s="154" t="e">
        <f t="shared" si="108"/>
        <v>#VALUE!</v>
      </c>
      <c r="O760">
        <v>6.48</v>
      </c>
      <c r="P760" s="154" t="e">
        <f t="shared" si="109"/>
        <v>#VALUE!</v>
      </c>
      <c r="Q760">
        <v>6.48</v>
      </c>
      <c r="R760" s="154" t="e">
        <f t="shared" si="110"/>
        <v>#VALUE!</v>
      </c>
      <c r="S760">
        <v>6.48</v>
      </c>
      <c r="T760" s="154" t="e">
        <f t="shared" si="111"/>
        <v>#VALUE!</v>
      </c>
      <c r="U760">
        <v>6.48</v>
      </c>
      <c r="V760" s="154" t="e">
        <f t="shared" si="112"/>
        <v>#VALUE!</v>
      </c>
      <c r="W760">
        <v>6.48</v>
      </c>
      <c r="X760" s="157" t="e">
        <f t="shared" si="113"/>
        <v>#VALUE!</v>
      </c>
      <c r="Y760">
        <v>6.48</v>
      </c>
      <c r="Z760" s="154" t="e">
        <f t="shared" si="114"/>
        <v>#VALUE!</v>
      </c>
      <c r="AA760">
        <v>6.48</v>
      </c>
      <c r="AB760" s="154" t="e">
        <f t="shared" si="115"/>
        <v>#VALUE!</v>
      </c>
      <c r="AC760">
        <v>6.48</v>
      </c>
      <c r="AD760" s="154" t="e">
        <f t="shared" si="116"/>
        <v>#VALUE!</v>
      </c>
      <c r="AE760">
        <v>6.48</v>
      </c>
    </row>
    <row r="761" spans="12:31" ht="15" x14ac:dyDescent="0.2">
      <c r="L761" s="154" t="e">
        <f t="shared" si="107"/>
        <v>#VALUE!</v>
      </c>
      <c r="M761">
        <v>6.49</v>
      </c>
      <c r="N761" s="154" t="e">
        <f t="shared" si="108"/>
        <v>#VALUE!</v>
      </c>
      <c r="O761">
        <v>6.49</v>
      </c>
      <c r="P761" s="154" t="e">
        <f t="shared" si="109"/>
        <v>#VALUE!</v>
      </c>
      <c r="Q761">
        <v>6.49</v>
      </c>
      <c r="R761" s="154" t="e">
        <f t="shared" si="110"/>
        <v>#VALUE!</v>
      </c>
      <c r="S761">
        <v>6.49</v>
      </c>
      <c r="T761" s="154" t="e">
        <f t="shared" si="111"/>
        <v>#VALUE!</v>
      </c>
      <c r="U761">
        <v>6.49</v>
      </c>
      <c r="V761" s="154" t="e">
        <f t="shared" si="112"/>
        <v>#VALUE!</v>
      </c>
      <c r="W761">
        <v>6.49</v>
      </c>
      <c r="X761" s="157" t="e">
        <f t="shared" si="113"/>
        <v>#VALUE!</v>
      </c>
      <c r="Y761">
        <v>6.49</v>
      </c>
      <c r="Z761" s="154" t="e">
        <f t="shared" si="114"/>
        <v>#VALUE!</v>
      </c>
      <c r="AA761">
        <v>6.49</v>
      </c>
      <c r="AB761" s="154" t="e">
        <f t="shared" si="115"/>
        <v>#VALUE!</v>
      </c>
      <c r="AC761">
        <v>6.49</v>
      </c>
      <c r="AD761" s="154" t="e">
        <f t="shared" si="116"/>
        <v>#VALUE!</v>
      </c>
      <c r="AE761">
        <v>6.49</v>
      </c>
    </row>
    <row r="762" spans="12:31" ht="15" x14ac:dyDescent="0.2">
      <c r="L762" s="154" t="e">
        <f t="shared" si="107"/>
        <v>#VALUE!</v>
      </c>
      <c r="M762">
        <v>6.5</v>
      </c>
      <c r="N762" s="154" t="e">
        <f t="shared" si="108"/>
        <v>#VALUE!</v>
      </c>
      <c r="O762">
        <v>6.5</v>
      </c>
      <c r="P762" s="154" t="e">
        <f t="shared" si="109"/>
        <v>#VALUE!</v>
      </c>
      <c r="Q762">
        <v>6.5</v>
      </c>
      <c r="R762" s="154" t="e">
        <f t="shared" si="110"/>
        <v>#VALUE!</v>
      </c>
      <c r="S762">
        <v>6.5</v>
      </c>
      <c r="T762" s="154" t="e">
        <f t="shared" si="111"/>
        <v>#VALUE!</v>
      </c>
      <c r="U762">
        <v>6.5</v>
      </c>
      <c r="V762" s="154" t="e">
        <f t="shared" si="112"/>
        <v>#VALUE!</v>
      </c>
      <c r="W762">
        <v>6.5</v>
      </c>
      <c r="X762" s="157" t="e">
        <f t="shared" si="113"/>
        <v>#VALUE!</v>
      </c>
      <c r="Y762">
        <v>6.5</v>
      </c>
      <c r="Z762" s="154" t="e">
        <f t="shared" si="114"/>
        <v>#VALUE!</v>
      </c>
      <c r="AA762">
        <v>6.5</v>
      </c>
      <c r="AB762" s="154" t="e">
        <f t="shared" si="115"/>
        <v>#VALUE!</v>
      </c>
      <c r="AC762">
        <v>6.5</v>
      </c>
      <c r="AD762" s="154" t="e">
        <f t="shared" si="116"/>
        <v>#VALUE!</v>
      </c>
      <c r="AE762">
        <v>6.5</v>
      </c>
    </row>
    <row r="763" spans="12:31" ht="15" x14ac:dyDescent="0.2">
      <c r="L763" s="154" t="e">
        <f t="shared" si="107"/>
        <v>#VALUE!</v>
      </c>
      <c r="M763">
        <v>6.51</v>
      </c>
      <c r="N763" s="154" t="e">
        <f t="shared" si="108"/>
        <v>#VALUE!</v>
      </c>
      <c r="O763">
        <v>6.51</v>
      </c>
      <c r="P763" s="154" t="e">
        <f t="shared" si="109"/>
        <v>#VALUE!</v>
      </c>
      <c r="Q763">
        <v>6.51</v>
      </c>
      <c r="R763" s="154" t="e">
        <f t="shared" si="110"/>
        <v>#VALUE!</v>
      </c>
      <c r="S763">
        <v>6.51</v>
      </c>
      <c r="T763" s="154" t="e">
        <f t="shared" si="111"/>
        <v>#VALUE!</v>
      </c>
      <c r="U763">
        <v>6.51</v>
      </c>
      <c r="V763" s="154" t="e">
        <f t="shared" si="112"/>
        <v>#VALUE!</v>
      </c>
      <c r="W763">
        <v>6.51</v>
      </c>
      <c r="X763" s="157" t="e">
        <f t="shared" si="113"/>
        <v>#VALUE!</v>
      </c>
      <c r="Y763">
        <v>6.51</v>
      </c>
      <c r="Z763" s="154" t="e">
        <f t="shared" si="114"/>
        <v>#VALUE!</v>
      </c>
      <c r="AA763">
        <v>6.51</v>
      </c>
      <c r="AB763" s="154" t="e">
        <f t="shared" si="115"/>
        <v>#VALUE!</v>
      </c>
      <c r="AC763">
        <v>6.51</v>
      </c>
      <c r="AD763" s="154" t="e">
        <f t="shared" si="116"/>
        <v>#VALUE!</v>
      </c>
      <c r="AE763">
        <v>6.51</v>
      </c>
    </row>
    <row r="764" spans="12:31" ht="15" x14ac:dyDescent="0.2">
      <c r="L764" s="154" t="e">
        <f t="shared" si="107"/>
        <v>#VALUE!</v>
      </c>
      <c r="M764">
        <v>6.52</v>
      </c>
      <c r="N764" s="154" t="e">
        <f t="shared" si="108"/>
        <v>#VALUE!</v>
      </c>
      <c r="O764">
        <v>6.52</v>
      </c>
      <c r="P764" s="154" t="e">
        <f t="shared" si="109"/>
        <v>#VALUE!</v>
      </c>
      <c r="Q764">
        <v>6.52</v>
      </c>
      <c r="R764" s="154" t="e">
        <f t="shared" si="110"/>
        <v>#VALUE!</v>
      </c>
      <c r="S764">
        <v>6.52</v>
      </c>
      <c r="T764" s="154" t="e">
        <f t="shared" si="111"/>
        <v>#VALUE!</v>
      </c>
      <c r="U764">
        <v>6.52</v>
      </c>
      <c r="V764" s="154" t="e">
        <f t="shared" si="112"/>
        <v>#VALUE!</v>
      </c>
      <c r="W764">
        <v>6.52</v>
      </c>
      <c r="X764" s="157" t="e">
        <f t="shared" si="113"/>
        <v>#VALUE!</v>
      </c>
      <c r="Y764">
        <v>6.52</v>
      </c>
      <c r="Z764" s="154" t="e">
        <f t="shared" si="114"/>
        <v>#VALUE!</v>
      </c>
      <c r="AA764">
        <v>6.52</v>
      </c>
      <c r="AB764" s="154" t="e">
        <f t="shared" si="115"/>
        <v>#VALUE!</v>
      </c>
      <c r="AC764">
        <v>6.52</v>
      </c>
      <c r="AD764" s="154" t="e">
        <f t="shared" si="116"/>
        <v>#VALUE!</v>
      </c>
      <c r="AE764">
        <v>6.52</v>
      </c>
    </row>
    <row r="765" spans="12:31" ht="15" x14ac:dyDescent="0.2">
      <c r="L765" s="154" t="e">
        <f t="shared" si="107"/>
        <v>#VALUE!</v>
      </c>
      <c r="M765">
        <v>6.53</v>
      </c>
      <c r="N765" s="154" t="e">
        <f t="shared" si="108"/>
        <v>#VALUE!</v>
      </c>
      <c r="O765">
        <v>6.53</v>
      </c>
      <c r="P765" s="154" t="e">
        <f t="shared" si="109"/>
        <v>#VALUE!</v>
      </c>
      <c r="Q765">
        <v>6.53</v>
      </c>
      <c r="R765" s="154" t="e">
        <f t="shared" si="110"/>
        <v>#VALUE!</v>
      </c>
      <c r="S765">
        <v>6.53</v>
      </c>
      <c r="T765" s="154" t="e">
        <f t="shared" si="111"/>
        <v>#VALUE!</v>
      </c>
      <c r="U765">
        <v>6.53</v>
      </c>
      <c r="V765" s="154" t="e">
        <f t="shared" si="112"/>
        <v>#VALUE!</v>
      </c>
      <c r="W765">
        <v>6.53</v>
      </c>
      <c r="X765" s="157" t="e">
        <f t="shared" si="113"/>
        <v>#VALUE!</v>
      </c>
      <c r="Y765">
        <v>6.53</v>
      </c>
      <c r="Z765" s="154" t="e">
        <f t="shared" si="114"/>
        <v>#VALUE!</v>
      </c>
      <c r="AA765">
        <v>6.53</v>
      </c>
      <c r="AB765" s="154" t="e">
        <f t="shared" si="115"/>
        <v>#VALUE!</v>
      </c>
      <c r="AC765">
        <v>6.53</v>
      </c>
      <c r="AD765" s="154" t="e">
        <f t="shared" si="116"/>
        <v>#VALUE!</v>
      </c>
      <c r="AE765">
        <v>6.53</v>
      </c>
    </row>
    <row r="766" spans="12:31" ht="15" x14ac:dyDescent="0.2">
      <c r="L766" s="154" t="e">
        <f t="shared" si="107"/>
        <v>#VALUE!</v>
      </c>
      <c r="M766">
        <v>6.54</v>
      </c>
      <c r="N766" s="154" t="e">
        <f t="shared" si="108"/>
        <v>#VALUE!</v>
      </c>
      <c r="O766">
        <v>6.54</v>
      </c>
      <c r="P766" s="154" t="e">
        <f t="shared" si="109"/>
        <v>#VALUE!</v>
      </c>
      <c r="Q766">
        <v>6.54</v>
      </c>
      <c r="R766" s="154" t="e">
        <f t="shared" si="110"/>
        <v>#VALUE!</v>
      </c>
      <c r="S766">
        <v>6.54</v>
      </c>
      <c r="T766" s="154" t="e">
        <f t="shared" si="111"/>
        <v>#VALUE!</v>
      </c>
      <c r="U766">
        <v>6.54</v>
      </c>
      <c r="V766" s="154" t="e">
        <f t="shared" si="112"/>
        <v>#VALUE!</v>
      </c>
      <c r="W766">
        <v>6.54</v>
      </c>
      <c r="X766" s="157" t="e">
        <f t="shared" si="113"/>
        <v>#VALUE!</v>
      </c>
      <c r="Y766">
        <v>6.54</v>
      </c>
      <c r="Z766" s="154" t="e">
        <f t="shared" si="114"/>
        <v>#VALUE!</v>
      </c>
      <c r="AA766">
        <v>6.54</v>
      </c>
      <c r="AB766" s="154" t="e">
        <f t="shared" si="115"/>
        <v>#VALUE!</v>
      </c>
      <c r="AC766">
        <v>6.54</v>
      </c>
      <c r="AD766" s="154" t="e">
        <f t="shared" si="116"/>
        <v>#VALUE!</v>
      </c>
      <c r="AE766">
        <v>6.54</v>
      </c>
    </row>
    <row r="767" spans="12:31" ht="15" x14ac:dyDescent="0.2">
      <c r="L767" s="154" t="e">
        <f t="shared" si="107"/>
        <v>#VALUE!</v>
      </c>
      <c r="M767">
        <v>6.55</v>
      </c>
      <c r="N767" s="154" t="e">
        <f t="shared" si="108"/>
        <v>#VALUE!</v>
      </c>
      <c r="O767">
        <v>6.55</v>
      </c>
      <c r="P767" s="154" t="e">
        <f t="shared" si="109"/>
        <v>#VALUE!</v>
      </c>
      <c r="Q767">
        <v>6.55</v>
      </c>
      <c r="R767" s="154" t="e">
        <f t="shared" si="110"/>
        <v>#VALUE!</v>
      </c>
      <c r="S767">
        <v>6.55</v>
      </c>
      <c r="T767" s="154" t="e">
        <f t="shared" si="111"/>
        <v>#VALUE!</v>
      </c>
      <c r="U767">
        <v>6.55</v>
      </c>
      <c r="V767" s="154" t="e">
        <f t="shared" si="112"/>
        <v>#VALUE!</v>
      </c>
      <c r="W767">
        <v>6.55</v>
      </c>
      <c r="X767" s="157" t="e">
        <f t="shared" si="113"/>
        <v>#VALUE!</v>
      </c>
      <c r="Y767">
        <v>6.55</v>
      </c>
      <c r="Z767" s="154" t="e">
        <f t="shared" si="114"/>
        <v>#VALUE!</v>
      </c>
      <c r="AA767">
        <v>6.55</v>
      </c>
      <c r="AB767" s="154" t="e">
        <f t="shared" si="115"/>
        <v>#VALUE!</v>
      </c>
      <c r="AC767">
        <v>6.55</v>
      </c>
      <c r="AD767" s="154" t="e">
        <f t="shared" si="116"/>
        <v>#VALUE!</v>
      </c>
      <c r="AE767">
        <v>6.55</v>
      </c>
    </row>
    <row r="768" spans="12:31" ht="15" x14ac:dyDescent="0.2">
      <c r="L768" s="154" t="e">
        <f t="shared" si="107"/>
        <v>#VALUE!</v>
      </c>
      <c r="M768">
        <v>6.56</v>
      </c>
      <c r="N768" s="154" t="e">
        <f t="shared" si="108"/>
        <v>#VALUE!</v>
      </c>
      <c r="O768">
        <v>6.56</v>
      </c>
      <c r="P768" s="154" t="e">
        <f t="shared" si="109"/>
        <v>#VALUE!</v>
      </c>
      <c r="Q768">
        <v>6.56</v>
      </c>
      <c r="R768" s="154" t="e">
        <f t="shared" si="110"/>
        <v>#VALUE!</v>
      </c>
      <c r="S768">
        <v>6.56</v>
      </c>
      <c r="T768" s="154" t="e">
        <f t="shared" si="111"/>
        <v>#VALUE!</v>
      </c>
      <c r="U768">
        <v>6.56</v>
      </c>
      <c r="V768" s="154" t="e">
        <f t="shared" si="112"/>
        <v>#VALUE!</v>
      </c>
      <c r="W768">
        <v>6.56</v>
      </c>
      <c r="X768" s="157" t="e">
        <f t="shared" si="113"/>
        <v>#VALUE!</v>
      </c>
      <c r="Y768">
        <v>6.56</v>
      </c>
      <c r="Z768" s="154" t="e">
        <f t="shared" si="114"/>
        <v>#VALUE!</v>
      </c>
      <c r="AA768">
        <v>6.56</v>
      </c>
      <c r="AB768" s="154" t="e">
        <f t="shared" si="115"/>
        <v>#VALUE!</v>
      </c>
      <c r="AC768">
        <v>6.56</v>
      </c>
      <c r="AD768" s="154" t="e">
        <f t="shared" si="116"/>
        <v>#VALUE!</v>
      </c>
      <c r="AE768">
        <v>6.56</v>
      </c>
    </row>
    <row r="769" spans="12:31" ht="15" x14ac:dyDescent="0.2">
      <c r="L769" s="154" t="e">
        <f t="shared" si="107"/>
        <v>#VALUE!</v>
      </c>
      <c r="M769">
        <v>6.57</v>
      </c>
      <c r="N769" s="154" t="e">
        <f t="shared" si="108"/>
        <v>#VALUE!</v>
      </c>
      <c r="O769">
        <v>6.57</v>
      </c>
      <c r="P769" s="154" t="e">
        <f t="shared" si="109"/>
        <v>#VALUE!</v>
      </c>
      <c r="Q769">
        <v>6.57</v>
      </c>
      <c r="R769" s="154" t="e">
        <f t="shared" si="110"/>
        <v>#VALUE!</v>
      </c>
      <c r="S769">
        <v>6.57</v>
      </c>
      <c r="T769" s="154" t="e">
        <f t="shared" si="111"/>
        <v>#VALUE!</v>
      </c>
      <c r="U769">
        <v>6.57</v>
      </c>
      <c r="V769" s="154" t="e">
        <f t="shared" si="112"/>
        <v>#VALUE!</v>
      </c>
      <c r="W769">
        <v>6.57</v>
      </c>
      <c r="X769" s="157" t="e">
        <f t="shared" si="113"/>
        <v>#VALUE!</v>
      </c>
      <c r="Y769">
        <v>6.57</v>
      </c>
      <c r="Z769" s="154" t="e">
        <f t="shared" si="114"/>
        <v>#VALUE!</v>
      </c>
      <c r="AA769">
        <v>6.57</v>
      </c>
      <c r="AB769" s="154" t="e">
        <f t="shared" si="115"/>
        <v>#VALUE!</v>
      </c>
      <c r="AC769">
        <v>6.57</v>
      </c>
      <c r="AD769" s="154" t="e">
        <f t="shared" si="116"/>
        <v>#VALUE!</v>
      </c>
      <c r="AE769">
        <v>6.57</v>
      </c>
    </row>
    <row r="770" spans="12:31" ht="15" x14ac:dyDescent="0.2">
      <c r="L770" s="154" t="e">
        <f t="shared" si="107"/>
        <v>#VALUE!</v>
      </c>
      <c r="M770">
        <v>6.58</v>
      </c>
      <c r="N770" s="154" t="e">
        <f t="shared" si="108"/>
        <v>#VALUE!</v>
      </c>
      <c r="O770">
        <v>6.58</v>
      </c>
      <c r="P770" s="154" t="e">
        <f t="shared" si="109"/>
        <v>#VALUE!</v>
      </c>
      <c r="Q770">
        <v>6.58</v>
      </c>
      <c r="R770" s="154" t="e">
        <f t="shared" si="110"/>
        <v>#VALUE!</v>
      </c>
      <c r="S770">
        <v>6.58</v>
      </c>
      <c r="T770" s="154" t="e">
        <f t="shared" si="111"/>
        <v>#VALUE!</v>
      </c>
      <c r="U770">
        <v>6.58</v>
      </c>
      <c r="V770" s="154" t="e">
        <f t="shared" si="112"/>
        <v>#VALUE!</v>
      </c>
      <c r="W770">
        <v>6.58</v>
      </c>
      <c r="X770" s="157" t="e">
        <f t="shared" si="113"/>
        <v>#VALUE!</v>
      </c>
      <c r="Y770">
        <v>6.58</v>
      </c>
      <c r="Z770" s="154" t="e">
        <f t="shared" si="114"/>
        <v>#VALUE!</v>
      </c>
      <c r="AA770">
        <v>6.58</v>
      </c>
      <c r="AB770" s="154" t="e">
        <f t="shared" si="115"/>
        <v>#VALUE!</v>
      </c>
      <c r="AC770">
        <v>6.58</v>
      </c>
      <c r="AD770" s="154" t="e">
        <f t="shared" si="116"/>
        <v>#VALUE!</v>
      </c>
      <c r="AE770">
        <v>6.58</v>
      </c>
    </row>
    <row r="771" spans="12:31" ht="15" x14ac:dyDescent="0.2">
      <c r="L771" s="154" t="e">
        <f t="shared" si="107"/>
        <v>#VALUE!</v>
      </c>
      <c r="M771">
        <v>6.59</v>
      </c>
      <c r="N771" s="154" t="e">
        <f t="shared" si="108"/>
        <v>#VALUE!</v>
      </c>
      <c r="O771">
        <v>6.59</v>
      </c>
      <c r="P771" s="154" t="e">
        <f t="shared" si="109"/>
        <v>#VALUE!</v>
      </c>
      <c r="Q771">
        <v>6.59</v>
      </c>
      <c r="R771" s="154" t="e">
        <f t="shared" si="110"/>
        <v>#VALUE!</v>
      </c>
      <c r="S771">
        <v>6.59</v>
      </c>
      <c r="T771" s="154" t="e">
        <f t="shared" si="111"/>
        <v>#VALUE!</v>
      </c>
      <c r="U771">
        <v>6.59</v>
      </c>
      <c r="V771" s="154" t="e">
        <f t="shared" si="112"/>
        <v>#VALUE!</v>
      </c>
      <c r="W771">
        <v>6.59</v>
      </c>
      <c r="X771" s="157" t="e">
        <f t="shared" si="113"/>
        <v>#VALUE!</v>
      </c>
      <c r="Y771">
        <v>6.59</v>
      </c>
      <c r="Z771" s="154" t="e">
        <f t="shared" si="114"/>
        <v>#VALUE!</v>
      </c>
      <c r="AA771">
        <v>6.59</v>
      </c>
      <c r="AB771" s="154" t="e">
        <f t="shared" si="115"/>
        <v>#VALUE!</v>
      </c>
      <c r="AC771">
        <v>6.59</v>
      </c>
      <c r="AD771" s="154" t="e">
        <f t="shared" si="116"/>
        <v>#VALUE!</v>
      </c>
      <c r="AE771">
        <v>6.59</v>
      </c>
    </row>
    <row r="772" spans="12:31" ht="15" x14ac:dyDescent="0.2">
      <c r="L772" s="154" t="e">
        <f t="shared" si="107"/>
        <v>#VALUE!</v>
      </c>
      <c r="M772">
        <v>6.6</v>
      </c>
      <c r="N772" s="154" t="e">
        <f t="shared" si="108"/>
        <v>#VALUE!</v>
      </c>
      <c r="O772">
        <v>6.6</v>
      </c>
      <c r="P772" s="154" t="e">
        <f t="shared" si="109"/>
        <v>#VALUE!</v>
      </c>
      <c r="Q772">
        <v>6.6</v>
      </c>
      <c r="R772" s="154" t="e">
        <f t="shared" si="110"/>
        <v>#VALUE!</v>
      </c>
      <c r="S772">
        <v>6.6</v>
      </c>
      <c r="T772" s="154" t="e">
        <f t="shared" si="111"/>
        <v>#VALUE!</v>
      </c>
      <c r="U772">
        <v>6.6</v>
      </c>
      <c r="V772" s="154" t="e">
        <f t="shared" si="112"/>
        <v>#VALUE!</v>
      </c>
      <c r="W772">
        <v>6.6</v>
      </c>
      <c r="X772" s="157" t="e">
        <f t="shared" si="113"/>
        <v>#VALUE!</v>
      </c>
      <c r="Y772">
        <v>6.6</v>
      </c>
      <c r="Z772" s="154" t="e">
        <f t="shared" si="114"/>
        <v>#VALUE!</v>
      </c>
      <c r="AA772">
        <v>6.6</v>
      </c>
      <c r="AB772" s="154" t="e">
        <f t="shared" si="115"/>
        <v>#VALUE!</v>
      </c>
      <c r="AC772">
        <v>6.6</v>
      </c>
      <c r="AD772" s="154" t="e">
        <f t="shared" si="116"/>
        <v>#VALUE!</v>
      </c>
      <c r="AE772">
        <v>6.6</v>
      </c>
    </row>
    <row r="773" spans="12:31" ht="15" x14ac:dyDescent="0.2">
      <c r="L773" s="154" t="e">
        <f t="shared" si="107"/>
        <v>#VALUE!</v>
      </c>
      <c r="M773">
        <v>6.61</v>
      </c>
      <c r="N773" s="154" t="e">
        <f t="shared" si="108"/>
        <v>#VALUE!</v>
      </c>
      <c r="O773">
        <v>6.61</v>
      </c>
      <c r="P773" s="154" t="e">
        <f t="shared" si="109"/>
        <v>#VALUE!</v>
      </c>
      <c r="Q773">
        <v>6.61</v>
      </c>
      <c r="R773" s="154" t="e">
        <f t="shared" si="110"/>
        <v>#VALUE!</v>
      </c>
      <c r="S773">
        <v>6.61</v>
      </c>
      <c r="T773" s="154" t="e">
        <f t="shared" si="111"/>
        <v>#VALUE!</v>
      </c>
      <c r="U773">
        <v>6.61</v>
      </c>
      <c r="V773" s="154" t="e">
        <f t="shared" si="112"/>
        <v>#VALUE!</v>
      </c>
      <c r="W773">
        <v>6.61</v>
      </c>
      <c r="X773" s="157" t="e">
        <f t="shared" si="113"/>
        <v>#VALUE!</v>
      </c>
      <c r="Y773">
        <v>6.61</v>
      </c>
      <c r="Z773" s="154" t="e">
        <f t="shared" si="114"/>
        <v>#VALUE!</v>
      </c>
      <c r="AA773">
        <v>6.61</v>
      </c>
      <c r="AB773" s="154" t="e">
        <f t="shared" si="115"/>
        <v>#VALUE!</v>
      </c>
      <c r="AC773">
        <v>6.61</v>
      </c>
      <c r="AD773" s="154" t="e">
        <f t="shared" si="116"/>
        <v>#VALUE!</v>
      </c>
      <c r="AE773">
        <v>6.61</v>
      </c>
    </row>
    <row r="774" spans="12:31" ht="15" x14ac:dyDescent="0.2">
      <c r="L774" s="154" t="e">
        <f t="shared" si="107"/>
        <v>#VALUE!</v>
      </c>
      <c r="M774">
        <v>6.62</v>
      </c>
      <c r="N774" s="154" t="e">
        <f t="shared" si="108"/>
        <v>#VALUE!</v>
      </c>
      <c r="O774">
        <v>6.62</v>
      </c>
      <c r="P774" s="154" t="e">
        <f t="shared" si="109"/>
        <v>#VALUE!</v>
      </c>
      <c r="Q774">
        <v>6.62</v>
      </c>
      <c r="R774" s="154" t="e">
        <f t="shared" si="110"/>
        <v>#VALUE!</v>
      </c>
      <c r="S774">
        <v>6.62</v>
      </c>
      <c r="T774" s="154" t="e">
        <f t="shared" si="111"/>
        <v>#VALUE!</v>
      </c>
      <c r="U774">
        <v>6.62</v>
      </c>
      <c r="V774" s="154" t="e">
        <f t="shared" si="112"/>
        <v>#VALUE!</v>
      </c>
      <c r="W774">
        <v>6.62</v>
      </c>
      <c r="X774" s="157" t="e">
        <f t="shared" si="113"/>
        <v>#VALUE!</v>
      </c>
      <c r="Y774">
        <v>6.62</v>
      </c>
      <c r="Z774" s="154" t="e">
        <f t="shared" si="114"/>
        <v>#VALUE!</v>
      </c>
      <c r="AA774">
        <v>6.62</v>
      </c>
      <c r="AB774" s="154" t="e">
        <f t="shared" si="115"/>
        <v>#VALUE!</v>
      </c>
      <c r="AC774">
        <v>6.62</v>
      </c>
      <c r="AD774" s="154" t="e">
        <f t="shared" si="116"/>
        <v>#VALUE!</v>
      </c>
      <c r="AE774">
        <v>6.62</v>
      </c>
    </row>
    <row r="775" spans="12:31" ht="15" x14ac:dyDescent="0.2">
      <c r="L775" s="154" t="e">
        <f t="shared" si="107"/>
        <v>#VALUE!</v>
      </c>
      <c r="M775">
        <v>6.63</v>
      </c>
      <c r="N775" s="154" t="e">
        <f t="shared" si="108"/>
        <v>#VALUE!</v>
      </c>
      <c r="O775">
        <v>6.63</v>
      </c>
      <c r="P775" s="154" t="e">
        <f t="shared" si="109"/>
        <v>#VALUE!</v>
      </c>
      <c r="Q775">
        <v>6.63</v>
      </c>
      <c r="R775" s="154" t="e">
        <f t="shared" si="110"/>
        <v>#VALUE!</v>
      </c>
      <c r="S775">
        <v>6.63</v>
      </c>
      <c r="T775" s="154" t="e">
        <f t="shared" si="111"/>
        <v>#VALUE!</v>
      </c>
      <c r="U775">
        <v>6.63</v>
      </c>
      <c r="V775" s="154" t="e">
        <f t="shared" si="112"/>
        <v>#VALUE!</v>
      </c>
      <c r="W775">
        <v>6.63</v>
      </c>
      <c r="X775" s="157" t="e">
        <f t="shared" si="113"/>
        <v>#VALUE!</v>
      </c>
      <c r="Y775">
        <v>6.63</v>
      </c>
      <c r="Z775" s="154" t="e">
        <f t="shared" si="114"/>
        <v>#VALUE!</v>
      </c>
      <c r="AA775">
        <v>6.63</v>
      </c>
      <c r="AB775" s="154" t="e">
        <f t="shared" si="115"/>
        <v>#VALUE!</v>
      </c>
      <c r="AC775">
        <v>6.63</v>
      </c>
      <c r="AD775" s="154" t="e">
        <f t="shared" si="116"/>
        <v>#VALUE!</v>
      </c>
      <c r="AE775">
        <v>6.63</v>
      </c>
    </row>
    <row r="776" spans="12:31" ht="15" x14ac:dyDescent="0.2">
      <c r="L776" s="154" t="e">
        <f t="shared" si="107"/>
        <v>#VALUE!</v>
      </c>
      <c r="M776">
        <v>6.64</v>
      </c>
      <c r="N776" s="154" t="e">
        <f t="shared" si="108"/>
        <v>#VALUE!</v>
      </c>
      <c r="O776">
        <v>6.64</v>
      </c>
      <c r="P776" s="154" t="e">
        <f t="shared" si="109"/>
        <v>#VALUE!</v>
      </c>
      <c r="Q776">
        <v>6.64</v>
      </c>
      <c r="R776" s="154" t="e">
        <f t="shared" si="110"/>
        <v>#VALUE!</v>
      </c>
      <c r="S776">
        <v>6.64</v>
      </c>
      <c r="T776" s="154" t="e">
        <f t="shared" si="111"/>
        <v>#VALUE!</v>
      </c>
      <c r="U776">
        <v>6.64</v>
      </c>
      <c r="V776" s="154" t="e">
        <f t="shared" si="112"/>
        <v>#VALUE!</v>
      </c>
      <c r="W776">
        <v>6.64</v>
      </c>
      <c r="X776" s="157" t="e">
        <f t="shared" si="113"/>
        <v>#VALUE!</v>
      </c>
      <c r="Y776">
        <v>6.64</v>
      </c>
      <c r="Z776" s="154" t="e">
        <f t="shared" si="114"/>
        <v>#VALUE!</v>
      </c>
      <c r="AA776">
        <v>6.64</v>
      </c>
      <c r="AB776" s="154" t="e">
        <f t="shared" si="115"/>
        <v>#VALUE!</v>
      </c>
      <c r="AC776">
        <v>6.64</v>
      </c>
      <c r="AD776" s="154" t="e">
        <f t="shared" si="116"/>
        <v>#VALUE!</v>
      </c>
      <c r="AE776">
        <v>6.64</v>
      </c>
    </row>
    <row r="777" spans="12:31" ht="15" x14ac:dyDescent="0.2">
      <c r="L777" s="154" t="e">
        <f t="shared" si="107"/>
        <v>#VALUE!</v>
      </c>
      <c r="M777">
        <v>6.65</v>
      </c>
      <c r="N777" s="154" t="e">
        <f t="shared" si="108"/>
        <v>#VALUE!</v>
      </c>
      <c r="O777">
        <v>6.65</v>
      </c>
      <c r="P777" s="154" t="e">
        <f t="shared" si="109"/>
        <v>#VALUE!</v>
      </c>
      <c r="Q777">
        <v>6.65</v>
      </c>
      <c r="R777" s="154" t="e">
        <f t="shared" si="110"/>
        <v>#VALUE!</v>
      </c>
      <c r="S777">
        <v>6.65</v>
      </c>
      <c r="T777" s="154" t="e">
        <f t="shared" si="111"/>
        <v>#VALUE!</v>
      </c>
      <c r="U777">
        <v>6.65</v>
      </c>
      <c r="V777" s="154" t="e">
        <f t="shared" si="112"/>
        <v>#VALUE!</v>
      </c>
      <c r="W777">
        <v>6.65</v>
      </c>
      <c r="X777" s="157" t="e">
        <f t="shared" si="113"/>
        <v>#VALUE!</v>
      </c>
      <c r="Y777">
        <v>6.65</v>
      </c>
      <c r="Z777" s="154" t="e">
        <f t="shared" si="114"/>
        <v>#VALUE!</v>
      </c>
      <c r="AA777">
        <v>6.65</v>
      </c>
      <c r="AB777" s="154" t="e">
        <f t="shared" si="115"/>
        <v>#VALUE!</v>
      </c>
      <c r="AC777">
        <v>6.65</v>
      </c>
      <c r="AD777" s="154" t="e">
        <f t="shared" si="116"/>
        <v>#VALUE!</v>
      </c>
      <c r="AE777">
        <v>6.65</v>
      </c>
    </row>
    <row r="778" spans="12:31" ht="15" x14ac:dyDescent="0.2">
      <c r="L778" s="154" t="e">
        <f t="shared" si="107"/>
        <v>#VALUE!</v>
      </c>
      <c r="M778">
        <v>6.66</v>
      </c>
      <c r="N778" s="154" t="e">
        <f t="shared" si="108"/>
        <v>#VALUE!</v>
      </c>
      <c r="O778">
        <v>6.66</v>
      </c>
      <c r="P778" s="154" t="e">
        <f t="shared" si="109"/>
        <v>#VALUE!</v>
      </c>
      <c r="Q778">
        <v>6.66</v>
      </c>
      <c r="R778" s="154" t="e">
        <f t="shared" si="110"/>
        <v>#VALUE!</v>
      </c>
      <c r="S778">
        <v>6.66</v>
      </c>
      <c r="T778" s="154" t="e">
        <f t="shared" si="111"/>
        <v>#VALUE!</v>
      </c>
      <c r="U778">
        <v>6.66</v>
      </c>
      <c r="V778" s="154" t="e">
        <f t="shared" si="112"/>
        <v>#VALUE!</v>
      </c>
      <c r="W778">
        <v>6.66</v>
      </c>
      <c r="X778" s="157" t="e">
        <f t="shared" si="113"/>
        <v>#VALUE!</v>
      </c>
      <c r="Y778">
        <v>6.66</v>
      </c>
      <c r="Z778" s="154" t="e">
        <f t="shared" si="114"/>
        <v>#VALUE!</v>
      </c>
      <c r="AA778">
        <v>6.66</v>
      </c>
      <c r="AB778" s="154" t="e">
        <f t="shared" si="115"/>
        <v>#VALUE!</v>
      </c>
      <c r="AC778">
        <v>6.66</v>
      </c>
      <c r="AD778" s="154" t="e">
        <f t="shared" si="116"/>
        <v>#VALUE!</v>
      </c>
      <c r="AE778">
        <v>6.66</v>
      </c>
    </row>
    <row r="779" spans="12:31" ht="15" x14ac:dyDescent="0.2">
      <c r="L779" s="154" t="e">
        <f t="shared" si="107"/>
        <v>#VALUE!</v>
      </c>
      <c r="M779">
        <v>6.67</v>
      </c>
      <c r="N779" s="154" t="e">
        <f t="shared" si="108"/>
        <v>#VALUE!</v>
      </c>
      <c r="O779">
        <v>6.67</v>
      </c>
      <c r="P779" s="154" t="e">
        <f t="shared" si="109"/>
        <v>#VALUE!</v>
      </c>
      <c r="Q779">
        <v>6.67</v>
      </c>
      <c r="R779" s="154" t="e">
        <f t="shared" si="110"/>
        <v>#VALUE!</v>
      </c>
      <c r="S779">
        <v>6.67</v>
      </c>
      <c r="T779" s="154" t="e">
        <f t="shared" si="111"/>
        <v>#VALUE!</v>
      </c>
      <c r="U779">
        <v>6.67</v>
      </c>
      <c r="V779" s="154" t="e">
        <f t="shared" si="112"/>
        <v>#VALUE!</v>
      </c>
      <c r="W779">
        <v>6.67</v>
      </c>
      <c r="X779" s="157" t="e">
        <f t="shared" si="113"/>
        <v>#VALUE!</v>
      </c>
      <c r="Y779">
        <v>6.67</v>
      </c>
      <c r="Z779" s="154" t="e">
        <f t="shared" si="114"/>
        <v>#VALUE!</v>
      </c>
      <c r="AA779">
        <v>6.67</v>
      </c>
      <c r="AB779" s="154" t="e">
        <f t="shared" si="115"/>
        <v>#VALUE!</v>
      </c>
      <c r="AC779">
        <v>6.67</v>
      </c>
      <c r="AD779" s="154" t="e">
        <f t="shared" si="116"/>
        <v>#VALUE!</v>
      </c>
      <c r="AE779">
        <v>6.67</v>
      </c>
    </row>
    <row r="780" spans="12:31" ht="15" x14ac:dyDescent="0.2">
      <c r="L780" s="154" t="e">
        <f t="shared" si="107"/>
        <v>#VALUE!</v>
      </c>
      <c r="M780">
        <v>6.68</v>
      </c>
      <c r="N780" s="154" t="e">
        <f t="shared" si="108"/>
        <v>#VALUE!</v>
      </c>
      <c r="O780">
        <v>6.68</v>
      </c>
      <c r="P780" s="154" t="e">
        <f t="shared" si="109"/>
        <v>#VALUE!</v>
      </c>
      <c r="Q780">
        <v>6.68</v>
      </c>
      <c r="R780" s="154" t="e">
        <f t="shared" si="110"/>
        <v>#VALUE!</v>
      </c>
      <c r="S780">
        <v>6.68</v>
      </c>
      <c r="T780" s="154" t="e">
        <f t="shared" si="111"/>
        <v>#VALUE!</v>
      </c>
      <c r="U780">
        <v>6.68</v>
      </c>
      <c r="V780" s="154" t="e">
        <f t="shared" si="112"/>
        <v>#VALUE!</v>
      </c>
      <c r="W780">
        <v>6.68</v>
      </c>
      <c r="X780" s="157" t="e">
        <f t="shared" si="113"/>
        <v>#VALUE!</v>
      </c>
      <c r="Y780">
        <v>6.68</v>
      </c>
      <c r="Z780" s="154" t="e">
        <f t="shared" si="114"/>
        <v>#VALUE!</v>
      </c>
      <c r="AA780">
        <v>6.68</v>
      </c>
      <c r="AB780" s="154" t="e">
        <f t="shared" si="115"/>
        <v>#VALUE!</v>
      </c>
      <c r="AC780">
        <v>6.68</v>
      </c>
      <c r="AD780" s="154" t="e">
        <f t="shared" si="116"/>
        <v>#VALUE!</v>
      </c>
      <c r="AE780">
        <v>6.68</v>
      </c>
    </row>
    <row r="781" spans="12:31" ht="15" x14ac:dyDescent="0.2">
      <c r="L781" s="154" t="e">
        <f t="shared" si="107"/>
        <v>#VALUE!</v>
      </c>
      <c r="M781">
        <v>6.69</v>
      </c>
      <c r="N781" s="154" t="e">
        <f t="shared" si="108"/>
        <v>#VALUE!</v>
      </c>
      <c r="O781">
        <v>6.69</v>
      </c>
      <c r="P781" s="154" t="e">
        <f t="shared" si="109"/>
        <v>#VALUE!</v>
      </c>
      <c r="Q781">
        <v>6.69</v>
      </c>
      <c r="R781" s="154" t="e">
        <f t="shared" si="110"/>
        <v>#VALUE!</v>
      </c>
      <c r="S781">
        <v>6.69</v>
      </c>
      <c r="T781" s="154" t="e">
        <f t="shared" si="111"/>
        <v>#VALUE!</v>
      </c>
      <c r="U781">
        <v>6.69</v>
      </c>
      <c r="V781" s="154" t="e">
        <f t="shared" si="112"/>
        <v>#VALUE!</v>
      </c>
      <c r="W781">
        <v>6.69</v>
      </c>
      <c r="X781" s="157" t="e">
        <f t="shared" si="113"/>
        <v>#VALUE!</v>
      </c>
      <c r="Y781">
        <v>6.69</v>
      </c>
      <c r="Z781" s="154" t="e">
        <f t="shared" si="114"/>
        <v>#VALUE!</v>
      </c>
      <c r="AA781">
        <v>6.69</v>
      </c>
      <c r="AB781" s="154" t="e">
        <f t="shared" si="115"/>
        <v>#VALUE!</v>
      </c>
      <c r="AC781">
        <v>6.69</v>
      </c>
      <c r="AD781" s="154" t="e">
        <f t="shared" si="116"/>
        <v>#VALUE!</v>
      </c>
      <c r="AE781">
        <v>6.69</v>
      </c>
    </row>
    <row r="782" spans="12:31" ht="15" x14ac:dyDescent="0.2">
      <c r="L782" s="154" t="e">
        <f t="shared" si="107"/>
        <v>#VALUE!</v>
      </c>
      <c r="M782">
        <v>6.7</v>
      </c>
      <c r="N782" s="154" t="e">
        <f t="shared" si="108"/>
        <v>#VALUE!</v>
      </c>
      <c r="O782">
        <v>6.7</v>
      </c>
      <c r="P782" s="154" t="e">
        <f t="shared" si="109"/>
        <v>#VALUE!</v>
      </c>
      <c r="Q782">
        <v>6.7</v>
      </c>
      <c r="R782" s="154" t="e">
        <f t="shared" si="110"/>
        <v>#VALUE!</v>
      </c>
      <c r="S782">
        <v>6.7</v>
      </c>
      <c r="T782" s="154" t="e">
        <f t="shared" si="111"/>
        <v>#VALUE!</v>
      </c>
      <c r="U782">
        <v>6.7</v>
      </c>
      <c r="V782" s="154" t="e">
        <f t="shared" si="112"/>
        <v>#VALUE!</v>
      </c>
      <c r="W782">
        <v>6.7</v>
      </c>
      <c r="X782" s="157" t="e">
        <f t="shared" si="113"/>
        <v>#VALUE!</v>
      </c>
      <c r="Y782">
        <v>6.7</v>
      </c>
      <c r="Z782" s="154" t="e">
        <f t="shared" si="114"/>
        <v>#VALUE!</v>
      </c>
      <c r="AA782">
        <v>6.7</v>
      </c>
      <c r="AB782" s="154" t="e">
        <f t="shared" si="115"/>
        <v>#VALUE!</v>
      </c>
      <c r="AC782">
        <v>6.7</v>
      </c>
      <c r="AD782" s="154" t="e">
        <f t="shared" si="116"/>
        <v>#VALUE!</v>
      </c>
      <c r="AE782">
        <v>6.7</v>
      </c>
    </row>
    <row r="783" spans="12:31" ht="15" x14ac:dyDescent="0.2">
      <c r="L783" s="154" t="e">
        <f t="shared" si="107"/>
        <v>#VALUE!</v>
      </c>
      <c r="M783">
        <v>6.71</v>
      </c>
      <c r="N783" s="154" t="e">
        <f t="shared" si="108"/>
        <v>#VALUE!</v>
      </c>
      <c r="O783">
        <v>6.71</v>
      </c>
      <c r="P783" s="154" t="e">
        <f t="shared" si="109"/>
        <v>#VALUE!</v>
      </c>
      <c r="Q783">
        <v>6.71</v>
      </c>
      <c r="R783" s="154" t="e">
        <f t="shared" si="110"/>
        <v>#VALUE!</v>
      </c>
      <c r="S783">
        <v>6.71</v>
      </c>
      <c r="T783" s="154" t="e">
        <f t="shared" si="111"/>
        <v>#VALUE!</v>
      </c>
      <c r="U783">
        <v>6.71</v>
      </c>
      <c r="V783" s="154" t="e">
        <f t="shared" si="112"/>
        <v>#VALUE!</v>
      </c>
      <c r="W783">
        <v>6.71</v>
      </c>
      <c r="X783" s="157" t="e">
        <f t="shared" si="113"/>
        <v>#VALUE!</v>
      </c>
      <c r="Y783">
        <v>6.71</v>
      </c>
      <c r="Z783" s="154" t="e">
        <f t="shared" si="114"/>
        <v>#VALUE!</v>
      </c>
      <c r="AA783">
        <v>6.71</v>
      </c>
      <c r="AB783" s="154" t="e">
        <f t="shared" si="115"/>
        <v>#VALUE!</v>
      </c>
      <c r="AC783">
        <v>6.71</v>
      </c>
      <c r="AD783" s="154" t="e">
        <f t="shared" si="116"/>
        <v>#VALUE!</v>
      </c>
      <c r="AE783">
        <v>6.71</v>
      </c>
    </row>
    <row r="784" spans="12:31" ht="15" x14ac:dyDescent="0.2">
      <c r="L784" s="154" t="e">
        <f t="shared" si="107"/>
        <v>#VALUE!</v>
      </c>
      <c r="M784">
        <v>6.72</v>
      </c>
      <c r="N784" s="154" t="e">
        <f t="shared" si="108"/>
        <v>#VALUE!</v>
      </c>
      <c r="O784">
        <v>6.72</v>
      </c>
      <c r="P784" s="154" t="e">
        <f t="shared" si="109"/>
        <v>#VALUE!</v>
      </c>
      <c r="Q784">
        <v>6.72</v>
      </c>
      <c r="R784" s="154" t="e">
        <f t="shared" si="110"/>
        <v>#VALUE!</v>
      </c>
      <c r="S784">
        <v>6.72</v>
      </c>
      <c r="T784" s="154" t="e">
        <f t="shared" si="111"/>
        <v>#VALUE!</v>
      </c>
      <c r="U784">
        <v>6.72</v>
      </c>
      <c r="V784" s="154" t="e">
        <f t="shared" si="112"/>
        <v>#VALUE!</v>
      </c>
      <c r="W784">
        <v>6.72</v>
      </c>
      <c r="X784" s="157" t="e">
        <f t="shared" si="113"/>
        <v>#VALUE!</v>
      </c>
      <c r="Y784">
        <v>6.72</v>
      </c>
      <c r="Z784" s="154" t="e">
        <f t="shared" si="114"/>
        <v>#VALUE!</v>
      </c>
      <c r="AA784">
        <v>6.72</v>
      </c>
      <c r="AB784" s="154" t="e">
        <f t="shared" si="115"/>
        <v>#VALUE!</v>
      </c>
      <c r="AC784">
        <v>6.72</v>
      </c>
      <c r="AD784" s="154" t="e">
        <f t="shared" si="116"/>
        <v>#VALUE!</v>
      </c>
      <c r="AE784">
        <v>6.72</v>
      </c>
    </row>
    <row r="785" spans="12:31" ht="15" x14ac:dyDescent="0.2">
      <c r="L785" s="154" t="e">
        <f t="shared" si="107"/>
        <v>#VALUE!</v>
      </c>
      <c r="M785">
        <v>6.73</v>
      </c>
      <c r="N785" s="154" t="e">
        <f t="shared" si="108"/>
        <v>#VALUE!</v>
      </c>
      <c r="O785">
        <v>6.73</v>
      </c>
      <c r="P785" s="154" t="e">
        <f t="shared" si="109"/>
        <v>#VALUE!</v>
      </c>
      <c r="Q785">
        <v>6.73</v>
      </c>
      <c r="R785" s="154" t="e">
        <f t="shared" si="110"/>
        <v>#VALUE!</v>
      </c>
      <c r="S785">
        <v>6.73</v>
      </c>
      <c r="T785" s="154" t="e">
        <f t="shared" si="111"/>
        <v>#VALUE!</v>
      </c>
      <c r="U785">
        <v>6.73</v>
      </c>
      <c r="V785" s="154" t="e">
        <f t="shared" si="112"/>
        <v>#VALUE!</v>
      </c>
      <c r="W785">
        <v>6.73</v>
      </c>
      <c r="X785" s="157" t="e">
        <f t="shared" si="113"/>
        <v>#VALUE!</v>
      </c>
      <c r="Y785">
        <v>6.73</v>
      </c>
      <c r="Z785" s="154" t="e">
        <f t="shared" si="114"/>
        <v>#VALUE!</v>
      </c>
      <c r="AA785">
        <v>6.73</v>
      </c>
      <c r="AB785" s="154" t="e">
        <f t="shared" si="115"/>
        <v>#VALUE!</v>
      </c>
      <c r="AC785">
        <v>6.73</v>
      </c>
      <c r="AD785" s="154" t="e">
        <f t="shared" si="116"/>
        <v>#VALUE!</v>
      </c>
      <c r="AE785">
        <v>6.73</v>
      </c>
    </row>
    <row r="786" spans="12:31" ht="15" x14ac:dyDescent="0.2">
      <c r="L786" s="154" t="e">
        <f t="shared" si="107"/>
        <v>#VALUE!</v>
      </c>
      <c r="M786">
        <v>6.74</v>
      </c>
      <c r="N786" s="154" t="e">
        <f t="shared" si="108"/>
        <v>#VALUE!</v>
      </c>
      <c r="O786">
        <v>6.74</v>
      </c>
      <c r="P786" s="154" t="e">
        <f t="shared" si="109"/>
        <v>#VALUE!</v>
      </c>
      <c r="Q786">
        <v>6.74</v>
      </c>
      <c r="R786" s="154" t="e">
        <f t="shared" si="110"/>
        <v>#VALUE!</v>
      </c>
      <c r="S786">
        <v>6.74</v>
      </c>
      <c r="T786" s="154" t="e">
        <f t="shared" si="111"/>
        <v>#VALUE!</v>
      </c>
      <c r="U786">
        <v>6.74</v>
      </c>
      <c r="V786" s="154" t="e">
        <f t="shared" si="112"/>
        <v>#VALUE!</v>
      </c>
      <c r="W786">
        <v>6.74</v>
      </c>
      <c r="X786" s="157" t="e">
        <f t="shared" si="113"/>
        <v>#VALUE!</v>
      </c>
      <c r="Y786">
        <v>6.74</v>
      </c>
      <c r="Z786" s="154" t="e">
        <f t="shared" si="114"/>
        <v>#VALUE!</v>
      </c>
      <c r="AA786">
        <v>6.74</v>
      </c>
      <c r="AB786" s="154" t="e">
        <f t="shared" si="115"/>
        <v>#VALUE!</v>
      </c>
      <c r="AC786">
        <v>6.74</v>
      </c>
      <c r="AD786" s="154" t="e">
        <f t="shared" si="116"/>
        <v>#VALUE!</v>
      </c>
      <c r="AE786">
        <v>6.74</v>
      </c>
    </row>
    <row r="787" spans="12:31" ht="15" x14ac:dyDescent="0.2">
      <c r="L787" s="154" t="e">
        <f t="shared" si="107"/>
        <v>#VALUE!</v>
      </c>
      <c r="M787">
        <v>6.75</v>
      </c>
      <c r="N787" s="154" t="e">
        <f t="shared" si="108"/>
        <v>#VALUE!</v>
      </c>
      <c r="O787">
        <v>6.75</v>
      </c>
      <c r="P787" s="154" t="e">
        <f t="shared" si="109"/>
        <v>#VALUE!</v>
      </c>
      <c r="Q787">
        <v>6.75</v>
      </c>
      <c r="R787" s="154" t="e">
        <f t="shared" si="110"/>
        <v>#VALUE!</v>
      </c>
      <c r="S787">
        <v>6.75</v>
      </c>
      <c r="T787" s="154" t="e">
        <f t="shared" si="111"/>
        <v>#VALUE!</v>
      </c>
      <c r="U787">
        <v>6.75</v>
      </c>
      <c r="V787" s="154" t="e">
        <f t="shared" si="112"/>
        <v>#VALUE!</v>
      </c>
      <c r="W787">
        <v>6.75</v>
      </c>
      <c r="X787" s="157" t="e">
        <f t="shared" si="113"/>
        <v>#VALUE!</v>
      </c>
      <c r="Y787">
        <v>6.75</v>
      </c>
      <c r="Z787" s="154" t="e">
        <f t="shared" si="114"/>
        <v>#VALUE!</v>
      </c>
      <c r="AA787">
        <v>6.75</v>
      </c>
      <c r="AB787" s="154" t="e">
        <f t="shared" si="115"/>
        <v>#VALUE!</v>
      </c>
      <c r="AC787">
        <v>6.75</v>
      </c>
      <c r="AD787" s="154" t="e">
        <f t="shared" si="116"/>
        <v>#VALUE!</v>
      </c>
      <c r="AE787">
        <v>6.75</v>
      </c>
    </row>
    <row r="788" spans="12:31" ht="15" x14ac:dyDescent="0.2">
      <c r="L788" s="154" t="e">
        <f t="shared" si="107"/>
        <v>#VALUE!</v>
      </c>
      <c r="M788">
        <v>6.76</v>
      </c>
      <c r="N788" s="154" t="e">
        <f t="shared" si="108"/>
        <v>#VALUE!</v>
      </c>
      <c r="O788">
        <v>6.76</v>
      </c>
      <c r="P788" s="154" t="e">
        <f t="shared" si="109"/>
        <v>#VALUE!</v>
      </c>
      <c r="Q788">
        <v>6.76</v>
      </c>
      <c r="R788" s="154" t="e">
        <f t="shared" si="110"/>
        <v>#VALUE!</v>
      </c>
      <c r="S788">
        <v>6.76</v>
      </c>
      <c r="T788" s="154" t="e">
        <f t="shared" si="111"/>
        <v>#VALUE!</v>
      </c>
      <c r="U788">
        <v>6.76</v>
      </c>
      <c r="V788" s="154" t="e">
        <f t="shared" si="112"/>
        <v>#VALUE!</v>
      </c>
      <c r="W788">
        <v>6.76</v>
      </c>
      <c r="X788" s="157" t="e">
        <f t="shared" si="113"/>
        <v>#VALUE!</v>
      </c>
      <c r="Y788">
        <v>6.76</v>
      </c>
      <c r="Z788" s="154" t="e">
        <f t="shared" si="114"/>
        <v>#VALUE!</v>
      </c>
      <c r="AA788">
        <v>6.76</v>
      </c>
      <c r="AB788" s="154" t="e">
        <f t="shared" si="115"/>
        <v>#VALUE!</v>
      </c>
      <c r="AC788">
        <v>6.76</v>
      </c>
      <c r="AD788" s="154" t="e">
        <f t="shared" si="116"/>
        <v>#VALUE!</v>
      </c>
      <c r="AE788">
        <v>6.76</v>
      </c>
    </row>
    <row r="789" spans="12:31" ht="15" x14ac:dyDescent="0.2">
      <c r="L789" s="154" t="e">
        <f t="shared" si="107"/>
        <v>#VALUE!</v>
      </c>
      <c r="M789">
        <v>6.77</v>
      </c>
      <c r="N789" s="154" t="e">
        <f t="shared" si="108"/>
        <v>#VALUE!</v>
      </c>
      <c r="O789">
        <v>6.77</v>
      </c>
      <c r="P789" s="154" t="e">
        <f t="shared" si="109"/>
        <v>#VALUE!</v>
      </c>
      <c r="Q789">
        <v>6.77</v>
      </c>
      <c r="R789" s="154" t="e">
        <f t="shared" si="110"/>
        <v>#VALUE!</v>
      </c>
      <c r="S789">
        <v>6.77</v>
      </c>
      <c r="T789" s="154" t="e">
        <f t="shared" si="111"/>
        <v>#VALUE!</v>
      </c>
      <c r="U789">
        <v>6.77</v>
      </c>
      <c r="V789" s="154" t="e">
        <f t="shared" si="112"/>
        <v>#VALUE!</v>
      </c>
      <c r="W789">
        <v>6.77</v>
      </c>
      <c r="X789" s="157" t="e">
        <f t="shared" si="113"/>
        <v>#VALUE!</v>
      </c>
      <c r="Y789">
        <v>6.77</v>
      </c>
      <c r="Z789" s="154" t="e">
        <f t="shared" si="114"/>
        <v>#VALUE!</v>
      </c>
      <c r="AA789">
        <v>6.77</v>
      </c>
      <c r="AB789" s="154" t="e">
        <f t="shared" si="115"/>
        <v>#VALUE!</v>
      </c>
      <c r="AC789">
        <v>6.77</v>
      </c>
      <c r="AD789" s="154" t="e">
        <f t="shared" si="116"/>
        <v>#VALUE!</v>
      </c>
      <c r="AE789">
        <v>6.77</v>
      </c>
    </row>
    <row r="790" spans="12:31" ht="15" x14ac:dyDescent="0.2">
      <c r="L790" s="154" t="e">
        <f t="shared" si="107"/>
        <v>#VALUE!</v>
      </c>
      <c r="M790">
        <v>6.78</v>
      </c>
      <c r="N790" s="154" t="e">
        <f t="shared" si="108"/>
        <v>#VALUE!</v>
      </c>
      <c r="O790">
        <v>6.78</v>
      </c>
      <c r="P790" s="154" t="e">
        <f t="shared" si="109"/>
        <v>#VALUE!</v>
      </c>
      <c r="Q790">
        <v>6.78</v>
      </c>
      <c r="R790" s="154" t="e">
        <f t="shared" si="110"/>
        <v>#VALUE!</v>
      </c>
      <c r="S790">
        <v>6.78</v>
      </c>
      <c r="T790" s="154" t="e">
        <f t="shared" si="111"/>
        <v>#VALUE!</v>
      </c>
      <c r="U790">
        <v>6.78</v>
      </c>
      <c r="V790" s="154" t="e">
        <f t="shared" si="112"/>
        <v>#VALUE!</v>
      </c>
      <c r="W790">
        <v>6.78</v>
      </c>
      <c r="X790" s="157" t="e">
        <f t="shared" si="113"/>
        <v>#VALUE!</v>
      </c>
      <c r="Y790">
        <v>6.78</v>
      </c>
      <c r="Z790" s="154" t="e">
        <f t="shared" si="114"/>
        <v>#VALUE!</v>
      </c>
      <c r="AA790">
        <v>6.78</v>
      </c>
      <c r="AB790" s="154" t="e">
        <f t="shared" si="115"/>
        <v>#VALUE!</v>
      </c>
      <c r="AC790">
        <v>6.78</v>
      </c>
      <c r="AD790" s="154" t="e">
        <f t="shared" si="116"/>
        <v>#VALUE!</v>
      </c>
      <c r="AE790">
        <v>6.78</v>
      </c>
    </row>
    <row r="791" spans="12:31" ht="15" x14ac:dyDescent="0.2">
      <c r="L791" s="154" t="e">
        <f t="shared" si="107"/>
        <v>#VALUE!</v>
      </c>
      <c r="M791">
        <v>6.79</v>
      </c>
      <c r="N791" s="154" t="e">
        <f t="shared" si="108"/>
        <v>#VALUE!</v>
      </c>
      <c r="O791">
        <v>6.79</v>
      </c>
      <c r="P791" s="154" t="e">
        <f t="shared" si="109"/>
        <v>#VALUE!</v>
      </c>
      <c r="Q791">
        <v>6.79</v>
      </c>
      <c r="R791" s="154" t="e">
        <f t="shared" si="110"/>
        <v>#VALUE!</v>
      </c>
      <c r="S791">
        <v>6.79</v>
      </c>
      <c r="T791" s="154" t="e">
        <f t="shared" si="111"/>
        <v>#VALUE!</v>
      </c>
      <c r="U791">
        <v>6.79</v>
      </c>
      <c r="V791" s="154" t="e">
        <f t="shared" si="112"/>
        <v>#VALUE!</v>
      </c>
      <c r="W791">
        <v>6.79</v>
      </c>
      <c r="X791" s="157" t="e">
        <f t="shared" si="113"/>
        <v>#VALUE!</v>
      </c>
      <c r="Y791">
        <v>6.79</v>
      </c>
      <c r="Z791" s="154" t="e">
        <f t="shared" si="114"/>
        <v>#VALUE!</v>
      </c>
      <c r="AA791">
        <v>6.79</v>
      </c>
      <c r="AB791" s="154" t="e">
        <f t="shared" si="115"/>
        <v>#VALUE!</v>
      </c>
      <c r="AC791">
        <v>6.79</v>
      </c>
      <c r="AD791" s="154" t="e">
        <f t="shared" si="116"/>
        <v>#VALUE!</v>
      </c>
      <c r="AE791">
        <v>6.79</v>
      </c>
    </row>
    <row r="792" spans="12:31" ht="15" x14ac:dyDescent="0.2">
      <c r="L792" s="154" t="e">
        <f t="shared" si="107"/>
        <v>#VALUE!</v>
      </c>
      <c r="M792">
        <v>6.8</v>
      </c>
      <c r="N792" s="154" t="e">
        <f t="shared" si="108"/>
        <v>#VALUE!</v>
      </c>
      <c r="O792">
        <v>6.8</v>
      </c>
      <c r="P792" s="154" t="e">
        <f t="shared" si="109"/>
        <v>#VALUE!</v>
      </c>
      <c r="Q792">
        <v>6.8</v>
      </c>
      <c r="R792" s="154" t="e">
        <f t="shared" si="110"/>
        <v>#VALUE!</v>
      </c>
      <c r="S792">
        <v>6.8</v>
      </c>
      <c r="T792" s="154" t="e">
        <f t="shared" si="111"/>
        <v>#VALUE!</v>
      </c>
      <c r="U792">
        <v>6.8</v>
      </c>
      <c r="V792" s="154" t="e">
        <f t="shared" si="112"/>
        <v>#VALUE!</v>
      </c>
      <c r="W792">
        <v>6.8</v>
      </c>
      <c r="X792" s="157" t="e">
        <f t="shared" si="113"/>
        <v>#VALUE!</v>
      </c>
      <c r="Y792">
        <v>6.8</v>
      </c>
      <c r="Z792" s="154" t="e">
        <f t="shared" si="114"/>
        <v>#VALUE!</v>
      </c>
      <c r="AA792">
        <v>6.8</v>
      </c>
      <c r="AB792" s="154" t="e">
        <f t="shared" si="115"/>
        <v>#VALUE!</v>
      </c>
      <c r="AC792">
        <v>6.8</v>
      </c>
      <c r="AD792" s="154" t="e">
        <f t="shared" si="116"/>
        <v>#VALUE!</v>
      </c>
      <c r="AE792">
        <v>6.8</v>
      </c>
    </row>
    <row r="793" spans="12:31" ht="15" x14ac:dyDescent="0.2">
      <c r="L793" s="154" t="e">
        <f t="shared" si="107"/>
        <v>#VALUE!</v>
      </c>
      <c r="M793">
        <v>6.81</v>
      </c>
      <c r="N793" s="154" t="e">
        <f t="shared" si="108"/>
        <v>#VALUE!</v>
      </c>
      <c r="O793">
        <v>6.81</v>
      </c>
      <c r="P793" s="154" t="e">
        <f t="shared" si="109"/>
        <v>#VALUE!</v>
      </c>
      <c r="Q793">
        <v>6.81</v>
      </c>
      <c r="R793" s="154" t="e">
        <f t="shared" si="110"/>
        <v>#VALUE!</v>
      </c>
      <c r="S793">
        <v>6.81</v>
      </c>
      <c r="T793" s="154" t="e">
        <f t="shared" si="111"/>
        <v>#VALUE!</v>
      </c>
      <c r="U793">
        <v>6.81</v>
      </c>
      <c r="V793" s="154" t="e">
        <f t="shared" si="112"/>
        <v>#VALUE!</v>
      </c>
      <c r="W793">
        <v>6.81</v>
      </c>
      <c r="X793" s="157" t="e">
        <f t="shared" si="113"/>
        <v>#VALUE!</v>
      </c>
      <c r="Y793">
        <v>6.81</v>
      </c>
      <c r="Z793" s="154" t="e">
        <f t="shared" si="114"/>
        <v>#VALUE!</v>
      </c>
      <c r="AA793">
        <v>6.81</v>
      </c>
      <c r="AB793" s="154" t="e">
        <f t="shared" si="115"/>
        <v>#VALUE!</v>
      </c>
      <c r="AC793">
        <v>6.81</v>
      </c>
      <c r="AD793" s="154" t="e">
        <f t="shared" si="116"/>
        <v>#VALUE!</v>
      </c>
      <c r="AE793">
        <v>6.81</v>
      </c>
    </row>
    <row r="794" spans="12:31" ht="15" x14ac:dyDescent="0.2">
      <c r="L794" s="154" t="e">
        <f t="shared" si="107"/>
        <v>#VALUE!</v>
      </c>
      <c r="M794">
        <v>6.82</v>
      </c>
      <c r="N794" s="154" t="e">
        <f t="shared" si="108"/>
        <v>#VALUE!</v>
      </c>
      <c r="O794">
        <v>6.82</v>
      </c>
      <c r="P794" s="154" t="e">
        <f t="shared" si="109"/>
        <v>#VALUE!</v>
      </c>
      <c r="Q794">
        <v>6.82</v>
      </c>
      <c r="R794" s="154" t="e">
        <f t="shared" si="110"/>
        <v>#VALUE!</v>
      </c>
      <c r="S794">
        <v>6.82</v>
      </c>
      <c r="T794" s="154" t="e">
        <f t="shared" si="111"/>
        <v>#VALUE!</v>
      </c>
      <c r="U794">
        <v>6.82</v>
      </c>
      <c r="V794" s="154" t="e">
        <f t="shared" si="112"/>
        <v>#VALUE!</v>
      </c>
      <c r="W794">
        <v>6.82</v>
      </c>
      <c r="X794" s="157" t="e">
        <f t="shared" si="113"/>
        <v>#VALUE!</v>
      </c>
      <c r="Y794">
        <v>6.82</v>
      </c>
      <c r="Z794" s="154" t="e">
        <f t="shared" si="114"/>
        <v>#VALUE!</v>
      </c>
      <c r="AA794">
        <v>6.82</v>
      </c>
      <c r="AB794" s="154" t="e">
        <f t="shared" si="115"/>
        <v>#VALUE!</v>
      </c>
      <c r="AC794">
        <v>6.82</v>
      </c>
      <c r="AD794" s="154" t="e">
        <f t="shared" si="116"/>
        <v>#VALUE!</v>
      </c>
      <c r="AE794">
        <v>6.82</v>
      </c>
    </row>
    <row r="795" spans="12:31" ht="15" x14ac:dyDescent="0.2">
      <c r="L795" s="154" t="e">
        <f t="shared" si="107"/>
        <v>#VALUE!</v>
      </c>
      <c r="M795">
        <v>6.83</v>
      </c>
      <c r="N795" s="154" t="e">
        <f t="shared" si="108"/>
        <v>#VALUE!</v>
      </c>
      <c r="O795">
        <v>6.83</v>
      </c>
      <c r="P795" s="154" t="e">
        <f t="shared" si="109"/>
        <v>#VALUE!</v>
      </c>
      <c r="Q795">
        <v>6.83</v>
      </c>
      <c r="R795" s="154" t="e">
        <f t="shared" si="110"/>
        <v>#VALUE!</v>
      </c>
      <c r="S795">
        <v>6.83</v>
      </c>
      <c r="T795" s="154" t="e">
        <f t="shared" si="111"/>
        <v>#VALUE!</v>
      </c>
      <c r="U795">
        <v>6.83</v>
      </c>
      <c r="V795" s="154" t="e">
        <f t="shared" si="112"/>
        <v>#VALUE!</v>
      </c>
      <c r="W795">
        <v>6.83</v>
      </c>
      <c r="X795" s="157" t="e">
        <f t="shared" si="113"/>
        <v>#VALUE!</v>
      </c>
      <c r="Y795">
        <v>6.83</v>
      </c>
      <c r="Z795" s="154" t="e">
        <f t="shared" si="114"/>
        <v>#VALUE!</v>
      </c>
      <c r="AA795">
        <v>6.83</v>
      </c>
      <c r="AB795" s="154" t="e">
        <f t="shared" si="115"/>
        <v>#VALUE!</v>
      </c>
      <c r="AC795">
        <v>6.83</v>
      </c>
      <c r="AD795" s="154" t="e">
        <f t="shared" si="116"/>
        <v>#VALUE!</v>
      </c>
      <c r="AE795">
        <v>6.83</v>
      </c>
    </row>
    <row r="796" spans="12:31" ht="15" x14ac:dyDescent="0.2">
      <c r="L796" s="154" t="e">
        <f t="shared" si="107"/>
        <v>#VALUE!</v>
      </c>
      <c r="M796">
        <v>6.84</v>
      </c>
      <c r="N796" s="154" t="e">
        <f t="shared" si="108"/>
        <v>#VALUE!</v>
      </c>
      <c r="O796">
        <v>6.84</v>
      </c>
      <c r="P796" s="154" t="e">
        <f t="shared" si="109"/>
        <v>#VALUE!</v>
      </c>
      <c r="Q796">
        <v>6.84</v>
      </c>
      <c r="R796" s="154" t="e">
        <f t="shared" si="110"/>
        <v>#VALUE!</v>
      </c>
      <c r="S796">
        <v>6.84</v>
      </c>
      <c r="T796" s="154" t="e">
        <f t="shared" si="111"/>
        <v>#VALUE!</v>
      </c>
      <c r="U796">
        <v>6.84</v>
      </c>
      <c r="V796" s="154" t="e">
        <f t="shared" si="112"/>
        <v>#VALUE!</v>
      </c>
      <c r="W796">
        <v>6.84</v>
      </c>
      <c r="X796" s="157" t="e">
        <f t="shared" si="113"/>
        <v>#VALUE!</v>
      </c>
      <c r="Y796">
        <v>6.84</v>
      </c>
      <c r="Z796" s="154" t="e">
        <f t="shared" si="114"/>
        <v>#VALUE!</v>
      </c>
      <c r="AA796">
        <v>6.84</v>
      </c>
      <c r="AB796" s="154" t="e">
        <f t="shared" si="115"/>
        <v>#VALUE!</v>
      </c>
      <c r="AC796">
        <v>6.84</v>
      </c>
      <c r="AD796" s="154" t="e">
        <f t="shared" si="116"/>
        <v>#VALUE!</v>
      </c>
      <c r="AE796">
        <v>6.84</v>
      </c>
    </row>
    <row r="797" spans="12:31" ht="15" x14ac:dyDescent="0.2">
      <c r="L797" s="154" t="e">
        <f t="shared" si="107"/>
        <v>#VALUE!</v>
      </c>
      <c r="M797">
        <v>6.85</v>
      </c>
      <c r="N797" s="154" t="e">
        <f t="shared" si="108"/>
        <v>#VALUE!</v>
      </c>
      <c r="O797">
        <v>6.85</v>
      </c>
      <c r="P797" s="154" t="e">
        <f t="shared" si="109"/>
        <v>#VALUE!</v>
      </c>
      <c r="Q797">
        <v>6.85</v>
      </c>
      <c r="R797" s="154" t="e">
        <f t="shared" si="110"/>
        <v>#VALUE!</v>
      </c>
      <c r="S797">
        <v>6.85</v>
      </c>
      <c r="T797" s="154" t="e">
        <f t="shared" si="111"/>
        <v>#VALUE!</v>
      </c>
      <c r="U797">
        <v>6.85</v>
      </c>
      <c r="V797" s="154" t="e">
        <f t="shared" si="112"/>
        <v>#VALUE!</v>
      </c>
      <c r="W797">
        <v>6.85</v>
      </c>
      <c r="X797" s="157" t="e">
        <f t="shared" si="113"/>
        <v>#VALUE!</v>
      </c>
      <c r="Y797">
        <v>6.85</v>
      </c>
      <c r="Z797" s="154" t="e">
        <f t="shared" si="114"/>
        <v>#VALUE!</v>
      </c>
      <c r="AA797">
        <v>6.85</v>
      </c>
      <c r="AB797" s="154" t="e">
        <f t="shared" si="115"/>
        <v>#VALUE!</v>
      </c>
      <c r="AC797">
        <v>6.85</v>
      </c>
      <c r="AD797" s="154" t="e">
        <f t="shared" si="116"/>
        <v>#VALUE!</v>
      </c>
      <c r="AE797">
        <v>6.85</v>
      </c>
    </row>
    <row r="798" spans="12:31" ht="15" x14ac:dyDescent="0.2">
      <c r="L798" s="154" t="e">
        <f t="shared" si="107"/>
        <v>#VALUE!</v>
      </c>
      <c r="M798">
        <v>6.86</v>
      </c>
      <c r="N798" s="154" t="e">
        <f t="shared" si="108"/>
        <v>#VALUE!</v>
      </c>
      <c r="O798">
        <v>6.86</v>
      </c>
      <c r="P798" s="154" t="e">
        <f t="shared" si="109"/>
        <v>#VALUE!</v>
      </c>
      <c r="Q798">
        <v>6.86</v>
      </c>
      <c r="R798" s="154" t="e">
        <f t="shared" si="110"/>
        <v>#VALUE!</v>
      </c>
      <c r="S798">
        <v>6.86</v>
      </c>
      <c r="T798" s="154" t="e">
        <f t="shared" si="111"/>
        <v>#VALUE!</v>
      </c>
      <c r="U798">
        <v>6.86</v>
      </c>
      <c r="V798" s="154" t="e">
        <f t="shared" si="112"/>
        <v>#VALUE!</v>
      </c>
      <c r="W798">
        <v>6.86</v>
      </c>
      <c r="X798" s="157" t="e">
        <f t="shared" si="113"/>
        <v>#VALUE!</v>
      </c>
      <c r="Y798">
        <v>6.86</v>
      </c>
      <c r="Z798" s="154" t="e">
        <f t="shared" si="114"/>
        <v>#VALUE!</v>
      </c>
      <c r="AA798">
        <v>6.86</v>
      </c>
      <c r="AB798" s="154" t="e">
        <f t="shared" si="115"/>
        <v>#VALUE!</v>
      </c>
      <c r="AC798">
        <v>6.86</v>
      </c>
      <c r="AD798" s="154" t="e">
        <f t="shared" si="116"/>
        <v>#VALUE!</v>
      </c>
      <c r="AE798">
        <v>6.86</v>
      </c>
    </row>
    <row r="799" spans="12:31" ht="15" x14ac:dyDescent="0.2">
      <c r="L799" s="154" t="e">
        <f t="shared" si="107"/>
        <v>#VALUE!</v>
      </c>
      <c r="M799">
        <v>6.87</v>
      </c>
      <c r="N799" s="154" t="e">
        <f t="shared" si="108"/>
        <v>#VALUE!</v>
      </c>
      <c r="O799">
        <v>6.87</v>
      </c>
      <c r="P799" s="154" t="e">
        <f t="shared" si="109"/>
        <v>#VALUE!</v>
      </c>
      <c r="Q799">
        <v>6.87</v>
      </c>
      <c r="R799" s="154" t="e">
        <f t="shared" si="110"/>
        <v>#VALUE!</v>
      </c>
      <c r="S799">
        <v>6.87</v>
      </c>
      <c r="T799" s="154" t="e">
        <f t="shared" si="111"/>
        <v>#VALUE!</v>
      </c>
      <c r="U799">
        <v>6.87</v>
      </c>
      <c r="V799" s="154" t="e">
        <f t="shared" si="112"/>
        <v>#VALUE!</v>
      </c>
      <c r="W799">
        <v>6.87</v>
      </c>
      <c r="X799" s="157" t="e">
        <f t="shared" si="113"/>
        <v>#VALUE!</v>
      </c>
      <c r="Y799">
        <v>6.87</v>
      </c>
      <c r="Z799" s="154" t="e">
        <f t="shared" si="114"/>
        <v>#VALUE!</v>
      </c>
      <c r="AA799">
        <v>6.87</v>
      </c>
      <c r="AB799" s="154" t="e">
        <f t="shared" si="115"/>
        <v>#VALUE!</v>
      </c>
      <c r="AC799">
        <v>6.87</v>
      </c>
      <c r="AD799" s="154" t="e">
        <f t="shared" si="116"/>
        <v>#VALUE!</v>
      </c>
      <c r="AE799">
        <v>6.87</v>
      </c>
    </row>
    <row r="800" spans="12:31" ht="15" x14ac:dyDescent="0.2">
      <c r="L800" s="154" t="e">
        <f t="shared" si="107"/>
        <v>#VALUE!</v>
      </c>
      <c r="M800">
        <v>6.88</v>
      </c>
      <c r="N800" s="154" t="e">
        <f t="shared" si="108"/>
        <v>#VALUE!</v>
      </c>
      <c r="O800">
        <v>6.88</v>
      </c>
      <c r="P800" s="154" t="e">
        <f t="shared" si="109"/>
        <v>#VALUE!</v>
      </c>
      <c r="Q800">
        <v>6.88</v>
      </c>
      <c r="R800" s="154" t="e">
        <f t="shared" si="110"/>
        <v>#VALUE!</v>
      </c>
      <c r="S800">
        <v>6.88</v>
      </c>
      <c r="T800" s="154" t="e">
        <f t="shared" si="111"/>
        <v>#VALUE!</v>
      </c>
      <c r="U800">
        <v>6.88</v>
      </c>
      <c r="V800" s="154" t="e">
        <f t="shared" si="112"/>
        <v>#VALUE!</v>
      </c>
      <c r="W800">
        <v>6.88</v>
      </c>
      <c r="X800" s="157" t="e">
        <f t="shared" si="113"/>
        <v>#VALUE!</v>
      </c>
      <c r="Y800">
        <v>6.88</v>
      </c>
      <c r="Z800" s="154" t="e">
        <f t="shared" si="114"/>
        <v>#VALUE!</v>
      </c>
      <c r="AA800">
        <v>6.88</v>
      </c>
      <c r="AB800" s="154" t="e">
        <f t="shared" si="115"/>
        <v>#VALUE!</v>
      </c>
      <c r="AC800">
        <v>6.88</v>
      </c>
      <c r="AD800" s="154" t="e">
        <f t="shared" si="116"/>
        <v>#VALUE!</v>
      </c>
      <c r="AE800">
        <v>6.88</v>
      </c>
    </row>
    <row r="801" spans="12:31" ht="15" x14ac:dyDescent="0.2">
      <c r="L801" s="154" t="e">
        <f t="shared" si="107"/>
        <v>#VALUE!</v>
      </c>
      <c r="M801">
        <v>6.89</v>
      </c>
      <c r="N801" s="154" t="e">
        <f t="shared" si="108"/>
        <v>#VALUE!</v>
      </c>
      <c r="O801">
        <v>6.89</v>
      </c>
      <c r="P801" s="154" t="e">
        <f t="shared" si="109"/>
        <v>#VALUE!</v>
      </c>
      <c r="Q801">
        <v>6.89</v>
      </c>
      <c r="R801" s="154" t="e">
        <f t="shared" si="110"/>
        <v>#VALUE!</v>
      </c>
      <c r="S801">
        <v>6.89</v>
      </c>
      <c r="T801" s="154" t="e">
        <f t="shared" si="111"/>
        <v>#VALUE!</v>
      </c>
      <c r="U801">
        <v>6.89</v>
      </c>
      <c r="V801" s="154" t="e">
        <f t="shared" si="112"/>
        <v>#VALUE!</v>
      </c>
      <c r="W801">
        <v>6.89</v>
      </c>
      <c r="X801" s="157" t="e">
        <f t="shared" si="113"/>
        <v>#VALUE!</v>
      </c>
      <c r="Y801">
        <v>6.89</v>
      </c>
      <c r="Z801" s="154" t="e">
        <f t="shared" si="114"/>
        <v>#VALUE!</v>
      </c>
      <c r="AA801">
        <v>6.89</v>
      </c>
      <c r="AB801" s="154" t="e">
        <f t="shared" si="115"/>
        <v>#VALUE!</v>
      </c>
      <c r="AC801">
        <v>6.89</v>
      </c>
      <c r="AD801" s="154" t="e">
        <f t="shared" si="116"/>
        <v>#VALUE!</v>
      </c>
      <c r="AE801">
        <v>6.89</v>
      </c>
    </row>
    <row r="802" spans="12:31" ht="15" x14ac:dyDescent="0.2">
      <c r="L802" s="154" t="e">
        <f t="shared" si="107"/>
        <v>#VALUE!</v>
      </c>
      <c r="M802">
        <v>6.9</v>
      </c>
      <c r="N802" s="154" t="e">
        <f t="shared" si="108"/>
        <v>#VALUE!</v>
      </c>
      <c r="O802">
        <v>6.9</v>
      </c>
      <c r="P802" s="154" t="e">
        <f t="shared" si="109"/>
        <v>#VALUE!</v>
      </c>
      <c r="Q802">
        <v>6.9</v>
      </c>
      <c r="R802" s="154" t="e">
        <f t="shared" si="110"/>
        <v>#VALUE!</v>
      </c>
      <c r="S802">
        <v>6.9</v>
      </c>
      <c r="T802" s="154" t="e">
        <f t="shared" si="111"/>
        <v>#VALUE!</v>
      </c>
      <c r="U802">
        <v>6.9</v>
      </c>
      <c r="V802" s="154" t="e">
        <f t="shared" si="112"/>
        <v>#VALUE!</v>
      </c>
      <c r="W802">
        <v>6.9</v>
      </c>
      <c r="X802" s="157" t="e">
        <f t="shared" si="113"/>
        <v>#VALUE!</v>
      </c>
      <c r="Y802">
        <v>6.9</v>
      </c>
      <c r="Z802" s="154" t="e">
        <f t="shared" si="114"/>
        <v>#VALUE!</v>
      </c>
      <c r="AA802">
        <v>6.9</v>
      </c>
      <c r="AB802" s="154" t="e">
        <f t="shared" si="115"/>
        <v>#VALUE!</v>
      </c>
      <c r="AC802">
        <v>6.9</v>
      </c>
      <c r="AD802" s="154" t="e">
        <f t="shared" si="116"/>
        <v>#VALUE!</v>
      </c>
      <c r="AE802">
        <v>6.9</v>
      </c>
    </row>
    <row r="803" spans="12:31" ht="15" x14ac:dyDescent="0.2">
      <c r="L803" s="154" t="e">
        <f t="shared" si="107"/>
        <v>#VALUE!</v>
      </c>
      <c r="M803">
        <v>6.91</v>
      </c>
      <c r="N803" s="154" t="e">
        <f t="shared" si="108"/>
        <v>#VALUE!</v>
      </c>
      <c r="O803">
        <v>6.91</v>
      </c>
      <c r="P803" s="154" t="e">
        <f t="shared" si="109"/>
        <v>#VALUE!</v>
      </c>
      <c r="Q803">
        <v>6.91</v>
      </c>
      <c r="R803" s="154" t="e">
        <f t="shared" si="110"/>
        <v>#VALUE!</v>
      </c>
      <c r="S803">
        <v>6.91</v>
      </c>
      <c r="T803" s="154" t="e">
        <f t="shared" si="111"/>
        <v>#VALUE!</v>
      </c>
      <c r="U803">
        <v>6.91</v>
      </c>
      <c r="V803" s="154" t="e">
        <f t="shared" si="112"/>
        <v>#VALUE!</v>
      </c>
      <c r="W803">
        <v>6.91</v>
      </c>
      <c r="X803" s="157" t="e">
        <f t="shared" si="113"/>
        <v>#VALUE!</v>
      </c>
      <c r="Y803">
        <v>6.91</v>
      </c>
      <c r="Z803" s="154" t="e">
        <f t="shared" si="114"/>
        <v>#VALUE!</v>
      </c>
      <c r="AA803">
        <v>6.91</v>
      </c>
      <c r="AB803" s="154" t="e">
        <f t="shared" si="115"/>
        <v>#VALUE!</v>
      </c>
      <c r="AC803">
        <v>6.91</v>
      </c>
      <c r="AD803" s="154" t="e">
        <f t="shared" si="116"/>
        <v>#VALUE!</v>
      </c>
      <c r="AE803">
        <v>6.91</v>
      </c>
    </row>
    <row r="804" spans="12:31" ht="15" x14ac:dyDescent="0.2">
      <c r="L804" s="154" t="e">
        <f t="shared" si="107"/>
        <v>#VALUE!</v>
      </c>
      <c r="M804">
        <v>6.92</v>
      </c>
      <c r="N804" s="154" t="e">
        <f t="shared" si="108"/>
        <v>#VALUE!</v>
      </c>
      <c r="O804">
        <v>6.92</v>
      </c>
      <c r="P804" s="154" t="e">
        <f t="shared" si="109"/>
        <v>#VALUE!</v>
      </c>
      <c r="Q804">
        <v>6.92</v>
      </c>
      <c r="R804" s="154" t="e">
        <f t="shared" si="110"/>
        <v>#VALUE!</v>
      </c>
      <c r="S804">
        <v>6.92</v>
      </c>
      <c r="T804" s="154" t="e">
        <f t="shared" si="111"/>
        <v>#VALUE!</v>
      </c>
      <c r="U804">
        <v>6.92</v>
      </c>
      <c r="V804" s="154" t="e">
        <f t="shared" si="112"/>
        <v>#VALUE!</v>
      </c>
      <c r="W804">
        <v>6.92</v>
      </c>
      <c r="X804" s="157" t="e">
        <f t="shared" si="113"/>
        <v>#VALUE!</v>
      </c>
      <c r="Y804">
        <v>6.92</v>
      </c>
      <c r="Z804" s="154" t="e">
        <f t="shared" si="114"/>
        <v>#VALUE!</v>
      </c>
      <c r="AA804">
        <v>6.92</v>
      </c>
      <c r="AB804" s="154" t="e">
        <f t="shared" si="115"/>
        <v>#VALUE!</v>
      </c>
      <c r="AC804">
        <v>6.92</v>
      </c>
      <c r="AD804" s="154" t="e">
        <f t="shared" si="116"/>
        <v>#VALUE!</v>
      </c>
      <c r="AE804">
        <v>6.92</v>
      </c>
    </row>
    <row r="805" spans="12:31" ht="15" x14ac:dyDescent="0.2">
      <c r="L805" s="154" t="e">
        <f t="shared" si="107"/>
        <v>#VALUE!</v>
      </c>
      <c r="M805">
        <v>6.93</v>
      </c>
      <c r="N805" s="154" t="e">
        <f t="shared" si="108"/>
        <v>#VALUE!</v>
      </c>
      <c r="O805">
        <v>6.93</v>
      </c>
      <c r="P805" s="154" t="e">
        <f t="shared" si="109"/>
        <v>#VALUE!</v>
      </c>
      <c r="Q805">
        <v>6.93</v>
      </c>
      <c r="R805" s="154" t="e">
        <f t="shared" si="110"/>
        <v>#VALUE!</v>
      </c>
      <c r="S805">
        <v>6.93</v>
      </c>
      <c r="T805" s="154" t="e">
        <f t="shared" si="111"/>
        <v>#VALUE!</v>
      </c>
      <c r="U805">
        <v>6.93</v>
      </c>
      <c r="V805" s="154" t="e">
        <f t="shared" si="112"/>
        <v>#VALUE!</v>
      </c>
      <c r="W805">
        <v>6.93</v>
      </c>
      <c r="X805" s="157" t="e">
        <f t="shared" si="113"/>
        <v>#VALUE!</v>
      </c>
      <c r="Y805">
        <v>6.93</v>
      </c>
      <c r="Z805" s="154" t="e">
        <f t="shared" si="114"/>
        <v>#VALUE!</v>
      </c>
      <c r="AA805">
        <v>6.93</v>
      </c>
      <c r="AB805" s="154" t="e">
        <f t="shared" si="115"/>
        <v>#VALUE!</v>
      </c>
      <c r="AC805">
        <v>6.93</v>
      </c>
      <c r="AD805" s="154" t="e">
        <f t="shared" si="116"/>
        <v>#VALUE!</v>
      </c>
      <c r="AE805">
        <v>6.93</v>
      </c>
    </row>
    <row r="806" spans="12:31" ht="15" x14ac:dyDescent="0.2">
      <c r="L806" s="154" t="e">
        <f t="shared" si="107"/>
        <v>#VALUE!</v>
      </c>
      <c r="M806">
        <v>6.94</v>
      </c>
      <c r="N806" s="154" t="e">
        <f t="shared" si="108"/>
        <v>#VALUE!</v>
      </c>
      <c r="O806">
        <v>6.94</v>
      </c>
      <c r="P806" s="154" t="e">
        <f t="shared" si="109"/>
        <v>#VALUE!</v>
      </c>
      <c r="Q806">
        <v>6.94</v>
      </c>
      <c r="R806" s="154" t="e">
        <f t="shared" si="110"/>
        <v>#VALUE!</v>
      </c>
      <c r="S806">
        <v>6.94</v>
      </c>
      <c r="T806" s="154" t="e">
        <f t="shared" si="111"/>
        <v>#VALUE!</v>
      </c>
      <c r="U806">
        <v>6.94</v>
      </c>
      <c r="V806" s="154" t="e">
        <f t="shared" si="112"/>
        <v>#VALUE!</v>
      </c>
      <c r="W806">
        <v>6.94</v>
      </c>
      <c r="X806" s="157" t="e">
        <f t="shared" si="113"/>
        <v>#VALUE!</v>
      </c>
      <c r="Y806">
        <v>6.94</v>
      </c>
      <c r="Z806" s="154" t="e">
        <f t="shared" si="114"/>
        <v>#VALUE!</v>
      </c>
      <c r="AA806">
        <v>6.94</v>
      </c>
      <c r="AB806" s="154" t="e">
        <f t="shared" si="115"/>
        <v>#VALUE!</v>
      </c>
      <c r="AC806">
        <v>6.94</v>
      </c>
      <c r="AD806" s="154" t="e">
        <f t="shared" si="116"/>
        <v>#VALUE!</v>
      </c>
      <c r="AE806">
        <v>6.94</v>
      </c>
    </row>
    <row r="807" spans="12:31" ht="15" x14ac:dyDescent="0.2">
      <c r="L807" s="154" t="e">
        <f t="shared" si="107"/>
        <v>#VALUE!</v>
      </c>
      <c r="M807">
        <v>6.95</v>
      </c>
      <c r="N807" s="154" t="e">
        <f t="shared" si="108"/>
        <v>#VALUE!</v>
      </c>
      <c r="O807">
        <v>6.95</v>
      </c>
      <c r="P807" s="154" t="e">
        <f t="shared" si="109"/>
        <v>#VALUE!</v>
      </c>
      <c r="Q807">
        <v>6.95</v>
      </c>
      <c r="R807" s="154" t="e">
        <f t="shared" si="110"/>
        <v>#VALUE!</v>
      </c>
      <c r="S807">
        <v>6.95</v>
      </c>
      <c r="T807" s="154" t="e">
        <f t="shared" si="111"/>
        <v>#VALUE!</v>
      </c>
      <c r="U807">
        <v>6.95</v>
      </c>
      <c r="V807" s="154" t="e">
        <f t="shared" si="112"/>
        <v>#VALUE!</v>
      </c>
      <c r="W807">
        <v>6.95</v>
      </c>
      <c r="X807" s="157" t="e">
        <f t="shared" si="113"/>
        <v>#VALUE!</v>
      </c>
      <c r="Y807">
        <v>6.95</v>
      </c>
      <c r="Z807" s="154" t="e">
        <f t="shared" si="114"/>
        <v>#VALUE!</v>
      </c>
      <c r="AA807">
        <v>6.95</v>
      </c>
      <c r="AB807" s="154" t="e">
        <f t="shared" si="115"/>
        <v>#VALUE!</v>
      </c>
      <c r="AC807">
        <v>6.95</v>
      </c>
      <c r="AD807" s="154" t="e">
        <f t="shared" si="116"/>
        <v>#VALUE!</v>
      </c>
      <c r="AE807">
        <v>6.95</v>
      </c>
    </row>
    <row r="808" spans="12:31" ht="15" x14ac:dyDescent="0.2">
      <c r="L808" s="154" t="e">
        <f t="shared" si="107"/>
        <v>#VALUE!</v>
      </c>
      <c r="M808">
        <v>6.96</v>
      </c>
      <c r="N808" s="154" t="e">
        <f t="shared" si="108"/>
        <v>#VALUE!</v>
      </c>
      <c r="O808">
        <v>6.96</v>
      </c>
      <c r="P808" s="154" t="e">
        <f t="shared" si="109"/>
        <v>#VALUE!</v>
      </c>
      <c r="Q808">
        <v>6.96</v>
      </c>
      <c r="R808" s="154" t="e">
        <f t="shared" si="110"/>
        <v>#VALUE!</v>
      </c>
      <c r="S808">
        <v>6.96</v>
      </c>
      <c r="T808" s="154" t="e">
        <f t="shared" si="111"/>
        <v>#VALUE!</v>
      </c>
      <c r="U808">
        <v>6.96</v>
      </c>
      <c r="V808" s="154" t="e">
        <f t="shared" si="112"/>
        <v>#VALUE!</v>
      </c>
      <c r="W808">
        <v>6.96</v>
      </c>
      <c r="X808" s="157" t="e">
        <f t="shared" si="113"/>
        <v>#VALUE!</v>
      </c>
      <c r="Y808">
        <v>6.96</v>
      </c>
      <c r="Z808" s="154" t="e">
        <f t="shared" si="114"/>
        <v>#VALUE!</v>
      </c>
      <c r="AA808">
        <v>6.96</v>
      </c>
      <c r="AB808" s="154" t="e">
        <f t="shared" si="115"/>
        <v>#VALUE!</v>
      </c>
      <c r="AC808">
        <v>6.96</v>
      </c>
      <c r="AD808" s="154" t="e">
        <f t="shared" si="116"/>
        <v>#VALUE!</v>
      </c>
      <c r="AE808">
        <v>6.96</v>
      </c>
    </row>
    <row r="809" spans="12:31" ht="15" x14ac:dyDescent="0.2">
      <c r="L809" s="154" t="e">
        <f t="shared" si="107"/>
        <v>#VALUE!</v>
      </c>
      <c r="M809">
        <v>6.97</v>
      </c>
      <c r="N809" s="154" t="e">
        <f t="shared" si="108"/>
        <v>#VALUE!</v>
      </c>
      <c r="O809">
        <v>6.97</v>
      </c>
      <c r="P809" s="154" t="e">
        <f t="shared" si="109"/>
        <v>#VALUE!</v>
      </c>
      <c r="Q809">
        <v>6.97</v>
      </c>
      <c r="R809" s="154" t="e">
        <f t="shared" si="110"/>
        <v>#VALUE!</v>
      </c>
      <c r="S809">
        <v>6.97</v>
      </c>
      <c r="T809" s="154" t="e">
        <f t="shared" si="111"/>
        <v>#VALUE!</v>
      </c>
      <c r="U809">
        <v>6.97</v>
      </c>
      <c r="V809" s="154" t="e">
        <f t="shared" si="112"/>
        <v>#VALUE!</v>
      </c>
      <c r="W809">
        <v>6.97</v>
      </c>
      <c r="X809" s="157" t="e">
        <f t="shared" si="113"/>
        <v>#VALUE!</v>
      </c>
      <c r="Y809">
        <v>6.97</v>
      </c>
      <c r="Z809" s="154" t="e">
        <f t="shared" si="114"/>
        <v>#VALUE!</v>
      </c>
      <c r="AA809">
        <v>6.97</v>
      </c>
      <c r="AB809" s="154" t="e">
        <f t="shared" si="115"/>
        <v>#VALUE!</v>
      </c>
      <c r="AC809">
        <v>6.97</v>
      </c>
      <c r="AD809" s="154" t="e">
        <f t="shared" si="116"/>
        <v>#VALUE!</v>
      </c>
      <c r="AE809">
        <v>6.97</v>
      </c>
    </row>
    <row r="810" spans="12:31" ht="15" x14ac:dyDescent="0.2">
      <c r="L810" s="154" t="e">
        <f t="shared" si="107"/>
        <v>#VALUE!</v>
      </c>
      <c r="M810">
        <v>6.98</v>
      </c>
      <c r="N810" s="154" t="e">
        <f t="shared" si="108"/>
        <v>#VALUE!</v>
      </c>
      <c r="O810">
        <v>6.98</v>
      </c>
      <c r="P810" s="154" t="e">
        <f t="shared" si="109"/>
        <v>#VALUE!</v>
      </c>
      <c r="Q810">
        <v>6.98</v>
      </c>
      <c r="R810" s="154" t="e">
        <f t="shared" si="110"/>
        <v>#VALUE!</v>
      </c>
      <c r="S810">
        <v>6.98</v>
      </c>
      <c r="T810" s="154" t="e">
        <f t="shared" si="111"/>
        <v>#VALUE!</v>
      </c>
      <c r="U810">
        <v>6.98</v>
      </c>
      <c r="V810" s="154" t="e">
        <f t="shared" si="112"/>
        <v>#VALUE!</v>
      </c>
      <c r="W810">
        <v>6.98</v>
      </c>
      <c r="X810" s="157" t="e">
        <f t="shared" si="113"/>
        <v>#VALUE!</v>
      </c>
      <c r="Y810">
        <v>6.98</v>
      </c>
      <c r="Z810" s="154" t="e">
        <f t="shared" si="114"/>
        <v>#VALUE!</v>
      </c>
      <c r="AA810">
        <v>6.98</v>
      </c>
      <c r="AB810" s="154" t="e">
        <f t="shared" si="115"/>
        <v>#VALUE!</v>
      </c>
      <c r="AC810">
        <v>6.98</v>
      </c>
      <c r="AD810" s="154" t="e">
        <f t="shared" si="116"/>
        <v>#VALUE!</v>
      </c>
      <c r="AE810">
        <v>6.98</v>
      </c>
    </row>
    <row r="811" spans="12:31" ht="15" x14ac:dyDescent="0.2">
      <c r="L811" s="154" t="e">
        <f t="shared" si="107"/>
        <v>#VALUE!</v>
      </c>
      <c r="M811">
        <v>6.99</v>
      </c>
      <c r="N811" s="154" t="e">
        <f t="shared" si="108"/>
        <v>#VALUE!</v>
      </c>
      <c r="O811">
        <v>6.99</v>
      </c>
      <c r="P811" s="154" t="e">
        <f t="shared" si="109"/>
        <v>#VALUE!</v>
      </c>
      <c r="Q811">
        <v>6.99</v>
      </c>
      <c r="R811" s="154" t="e">
        <f t="shared" si="110"/>
        <v>#VALUE!</v>
      </c>
      <c r="S811">
        <v>6.99</v>
      </c>
      <c r="T811" s="154" t="e">
        <f t="shared" si="111"/>
        <v>#VALUE!</v>
      </c>
      <c r="U811">
        <v>6.99</v>
      </c>
      <c r="V811" s="154" t="e">
        <f t="shared" si="112"/>
        <v>#VALUE!</v>
      </c>
      <c r="W811">
        <v>6.99</v>
      </c>
      <c r="X811" s="157" t="e">
        <f t="shared" si="113"/>
        <v>#VALUE!</v>
      </c>
      <c r="Y811">
        <v>6.99</v>
      </c>
      <c r="Z811" s="154" t="e">
        <f t="shared" si="114"/>
        <v>#VALUE!</v>
      </c>
      <c r="AA811">
        <v>6.99</v>
      </c>
      <c r="AB811" s="154" t="e">
        <f t="shared" si="115"/>
        <v>#VALUE!</v>
      </c>
      <c r="AC811">
        <v>6.99</v>
      </c>
      <c r="AD811" s="154" t="e">
        <f t="shared" si="116"/>
        <v>#VALUE!</v>
      </c>
      <c r="AE811">
        <v>6.99</v>
      </c>
    </row>
    <row r="812" spans="12:31" ht="15" x14ac:dyDescent="0.2">
      <c r="L812" s="154" t="e">
        <f t="shared" si="107"/>
        <v>#VALUE!</v>
      </c>
      <c r="M812">
        <v>7</v>
      </c>
      <c r="N812" s="154" t="e">
        <f t="shared" si="108"/>
        <v>#VALUE!</v>
      </c>
      <c r="O812">
        <v>7</v>
      </c>
      <c r="P812" s="154" t="e">
        <f t="shared" si="109"/>
        <v>#VALUE!</v>
      </c>
      <c r="Q812">
        <v>7</v>
      </c>
      <c r="R812" s="154" t="e">
        <f t="shared" si="110"/>
        <v>#VALUE!</v>
      </c>
      <c r="S812">
        <v>7</v>
      </c>
      <c r="T812" s="154" t="e">
        <f t="shared" si="111"/>
        <v>#VALUE!</v>
      </c>
      <c r="U812">
        <v>7</v>
      </c>
      <c r="V812" s="154" t="e">
        <f t="shared" si="112"/>
        <v>#VALUE!</v>
      </c>
      <c r="W812">
        <v>7</v>
      </c>
      <c r="X812" s="157" t="e">
        <f t="shared" si="113"/>
        <v>#VALUE!</v>
      </c>
      <c r="Y812">
        <v>7</v>
      </c>
      <c r="Z812" s="154" t="e">
        <f t="shared" si="114"/>
        <v>#VALUE!</v>
      </c>
      <c r="AA812">
        <v>7</v>
      </c>
      <c r="AB812" s="154" t="e">
        <f t="shared" si="115"/>
        <v>#VALUE!</v>
      </c>
      <c r="AC812">
        <v>7</v>
      </c>
      <c r="AD812" s="154" t="e">
        <f t="shared" si="116"/>
        <v>#VALUE!</v>
      </c>
      <c r="AE812">
        <v>7</v>
      </c>
    </row>
    <row r="813" spans="12:31" ht="15" x14ac:dyDescent="0.2">
      <c r="L813" s="154" t="e">
        <f t="shared" si="107"/>
        <v>#VALUE!</v>
      </c>
      <c r="M813">
        <v>7.01</v>
      </c>
      <c r="N813" s="154" t="e">
        <f t="shared" si="108"/>
        <v>#VALUE!</v>
      </c>
      <c r="O813">
        <v>7.01</v>
      </c>
      <c r="P813" s="154" t="e">
        <f t="shared" si="109"/>
        <v>#VALUE!</v>
      </c>
      <c r="Q813">
        <v>7.01</v>
      </c>
      <c r="R813" s="154" t="e">
        <f t="shared" si="110"/>
        <v>#VALUE!</v>
      </c>
      <c r="S813">
        <v>7.01</v>
      </c>
      <c r="T813" s="154" t="e">
        <f t="shared" si="111"/>
        <v>#VALUE!</v>
      </c>
      <c r="U813">
        <v>7.01</v>
      </c>
      <c r="V813" s="154" t="e">
        <f t="shared" si="112"/>
        <v>#VALUE!</v>
      </c>
      <c r="W813">
        <v>7.01</v>
      </c>
      <c r="X813" s="157" t="e">
        <f t="shared" si="113"/>
        <v>#VALUE!</v>
      </c>
      <c r="Y813">
        <v>7.01</v>
      </c>
      <c r="Z813" s="154" t="e">
        <f t="shared" si="114"/>
        <v>#VALUE!</v>
      </c>
      <c r="AA813">
        <v>7.01</v>
      </c>
      <c r="AB813" s="154" t="e">
        <f t="shared" si="115"/>
        <v>#VALUE!</v>
      </c>
      <c r="AC813">
        <v>7.01</v>
      </c>
      <c r="AD813" s="154" t="e">
        <f t="shared" si="116"/>
        <v>#VALUE!</v>
      </c>
      <c r="AE813">
        <v>7.01</v>
      </c>
    </row>
    <row r="814" spans="12:31" ht="15" x14ac:dyDescent="0.2">
      <c r="L814" s="154" t="e">
        <f t="shared" si="107"/>
        <v>#VALUE!</v>
      </c>
      <c r="M814">
        <v>7.02</v>
      </c>
      <c r="N814" s="154" t="e">
        <f t="shared" si="108"/>
        <v>#VALUE!</v>
      </c>
      <c r="O814">
        <v>7.02</v>
      </c>
      <c r="P814" s="154" t="e">
        <f t="shared" si="109"/>
        <v>#VALUE!</v>
      </c>
      <c r="Q814">
        <v>7.02</v>
      </c>
      <c r="R814" s="154" t="e">
        <f t="shared" si="110"/>
        <v>#VALUE!</v>
      </c>
      <c r="S814">
        <v>7.02</v>
      </c>
      <c r="T814" s="154" t="e">
        <f t="shared" si="111"/>
        <v>#VALUE!</v>
      </c>
      <c r="U814">
        <v>7.02</v>
      </c>
      <c r="V814" s="154" t="e">
        <f t="shared" si="112"/>
        <v>#VALUE!</v>
      </c>
      <c r="W814">
        <v>7.02</v>
      </c>
      <c r="X814" s="157" t="e">
        <f t="shared" si="113"/>
        <v>#VALUE!</v>
      </c>
      <c r="Y814">
        <v>7.02</v>
      </c>
      <c r="Z814" s="154" t="e">
        <f t="shared" si="114"/>
        <v>#VALUE!</v>
      </c>
      <c r="AA814">
        <v>7.02</v>
      </c>
      <c r="AB814" s="154" t="e">
        <f t="shared" si="115"/>
        <v>#VALUE!</v>
      </c>
      <c r="AC814">
        <v>7.02</v>
      </c>
      <c r="AD814" s="154" t="e">
        <f t="shared" si="116"/>
        <v>#VALUE!</v>
      </c>
      <c r="AE814">
        <v>7.02</v>
      </c>
    </row>
    <row r="815" spans="12:31" ht="15" x14ac:dyDescent="0.2">
      <c r="L815" s="154" t="e">
        <f t="shared" si="107"/>
        <v>#VALUE!</v>
      </c>
      <c r="M815">
        <v>7.03</v>
      </c>
      <c r="N815" s="154" t="e">
        <f t="shared" si="108"/>
        <v>#VALUE!</v>
      </c>
      <c r="O815">
        <v>7.03</v>
      </c>
      <c r="P815" s="154" t="e">
        <f t="shared" si="109"/>
        <v>#VALUE!</v>
      </c>
      <c r="Q815">
        <v>7.03</v>
      </c>
      <c r="R815" s="154" t="e">
        <f t="shared" si="110"/>
        <v>#VALUE!</v>
      </c>
      <c r="S815">
        <v>7.03</v>
      </c>
      <c r="T815" s="154" t="e">
        <f t="shared" si="111"/>
        <v>#VALUE!</v>
      </c>
      <c r="U815">
        <v>7.03</v>
      </c>
      <c r="V815" s="154" t="e">
        <f t="shared" si="112"/>
        <v>#VALUE!</v>
      </c>
      <c r="W815">
        <v>7.03</v>
      </c>
      <c r="X815" s="157" t="e">
        <f t="shared" si="113"/>
        <v>#VALUE!</v>
      </c>
      <c r="Y815">
        <v>7.03</v>
      </c>
      <c r="Z815" s="154" t="e">
        <f t="shared" si="114"/>
        <v>#VALUE!</v>
      </c>
      <c r="AA815">
        <v>7.03</v>
      </c>
      <c r="AB815" s="154" t="e">
        <f t="shared" si="115"/>
        <v>#VALUE!</v>
      </c>
      <c r="AC815">
        <v>7.03</v>
      </c>
      <c r="AD815" s="154" t="e">
        <f t="shared" si="116"/>
        <v>#VALUE!</v>
      </c>
      <c r="AE815">
        <v>7.03</v>
      </c>
    </row>
    <row r="816" spans="12:31" ht="15" x14ac:dyDescent="0.2">
      <c r="L816" s="154" t="e">
        <f t="shared" si="107"/>
        <v>#VALUE!</v>
      </c>
      <c r="M816">
        <v>7.04</v>
      </c>
      <c r="N816" s="154" t="e">
        <f t="shared" si="108"/>
        <v>#VALUE!</v>
      </c>
      <c r="O816">
        <v>7.04</v>
      </c>
      <c r="P816" s="154" t="e">
        <f t="shared" si="109"/>
        <v>#VALUE!</v>
      </c>
      <c r="Q816">
        <v>7.04</v>
      </c>
      <c r="R816" s="154" t="e">
        <f t="shared" si="110"/>
        <v>#VALUE!</v>
      </c>
      <c r="S816">
        <v>7.04</v>
      </c>
      <c r="T816" s="154" t="e">
        <f t="shared" si="111"/>
        <v>#VALUE!</v>
      </c>
      <c r="U816">
        <v>7.04</v>
      </c>
      <c r="V816" s="154" t="e">
        <f t="shared" si="112"/>
        <v>#VALUE!</v>
      </c>
      <c r="W816">
        <v>7.04</v>
      </c>
      <c r="X816" s="157" t="e">
        <f t="shared" si="113"/>
        <v>#VALUE!</v>
      </c>
      <c r="Y816">
        <v>7.04</v>
      </c>
      <c r="Z816" s="154" t="e">
        <f t="shared" si="114"/>
        <v>#VALUE!</v>
      </c>
      <c r="AA816">
        <v>7.04</v>
      </c>
      <c r="AB816" s="154" t="e">
        <f t="shared" si="115"/>
        <v>#VALUE!</v>
      </c>
      <c r="AC816">
        <v>7.04</v>
      </c>
      <c r="AD816" s="154" t="e">
        <f t="shared" si="116"/>
        <v>#VALUE!</v>
      </c>
      <c r="AE816">
        <v>7.04</v>
      </c>
    </row>
    <row r="817" spans="12:31" ht="15" x14ac:dyDescent="0.2">
      <c r="L817" s="154" t="e">
        <f t="shared" ref="L817:L880" si="117">((1.486/$D$33)*((((PI()*($D$46/12)^2)/4)-((($D$46/12)/2)^2*((2*ACOS(((($D$46/12)/2)-(($D$46/12)-(M817/12)))/(($D$46/12)/2)))-SIN(2*ACOS(((($D$46/12)/2)-(($D$46/12)-(M817/12)))/(($D$46/12)/2))))/2))/((PI()*($D$46/12))-((2*ACOS(((($D$46/12)/2)-(($D$46/12)-(M817/12)))/(($D$46/12)/2)))*(($D$46/12)/2))))^(2/3)*$H$17^0.5)*(((PI()*($D$46/12)^2)/4)-((($D$46/12)/2)^2*((2*ACOS(((($D$46/12)/2)-(($D$46/12)-(M817/12)))/(($D$46/12)/2)))-SIN(2*ACOS(((($D$46/12)/2)-(($D$46/12)-(M817/12)))/(($D$46/12)/2))))/2))</f>
        <v>#VALUE!</v>
      </c>
      <c r="M817">
        <v>7.05</v>
      </c>
      <c r="N817" s="154" t="e">
        <f t="shared" ref="N817:N880" si="118">((1.486/$D$34)*((((PI()*($D$47/12)^2)/4)-((($D$47/12)/2)^2*((2*ACOS(((($D$47/12)/2)-(($D$47/12)-(O817/12)))/(($D$47/12)/2)))-SIN(2*ACOS(((($D$47/12)/2)-(($D$47/12)-(O817/12)))/(($D$47/12)/2))))/2))/((PI()*($D$47/12))-((2*ACOS(((($D$47/12)/2)-(($D$47/12)-(O817/12)))/(($D$47/12)/2)))*(($D$47/12)/2))))^(2/3)*$H$18^0.5)*(((PI()*($D$47/12)^2)/4)-((($D$47/12)/2)^2*((2*ACOS(((($D$47/12)/2)-(($D$47/12)-(O817/12)))/(($D$47/12)/2)))-SIN(2*ACOS(((($D$47/12)/2)-(($D$47/12)-(O817/12)))/(($D$47/12)/2))))/2))</f>
        <v>#VALUE!</v>
      </c>
      <c r="O817">
        <v>7.05</v>
      </c>
      <c r="P817" s="154" t="e">
        <f t="shared" ref="P817:P880" si="119">((1.486/$D$35)*((((PI()*($D$48/12)^2)/4)-((($D$48/12)/2)^2*((2*ACOS(((($D$48/12)/2)-(($D$48/12)-(Q817/12)))/(($D$48/12)/2)))-SIN(2*ACOS(((($D$48/12)/2)-(($D$48/12)-(Q817/12)))/(($D$48/12)/2))))/2))/((PI()*($D$48/12))-((2*ACOS(((($D$48/12)/2)-(($D$48/12)-(Q817/12)))/(($D$48/12)/2)))*(($D$48/12)/2))))^(2/3)*$H$19^0.5)*(((PI()*($D$48/12)^2)/4)-((($D$48/12)/2)^2*((2*ACOS(((($D$48/12)/2)-(($D$48/12)-(Q817/12)))/(($D$48/12)/2)))-SIN(2*ACOS(((($D$48/12)/2)-(($D$48/12)-(Q817/12)))/(($D$48/12)/2))))/2))</f>
        <v>#VALUE!</v>
      </c>
      <c r="Q817">
        <v>7.05</v>
      </c>
      <c r="R817" s="154" t="e">
        <f t="shared" ref="R817:R880" si="120">((1.486/$D$36)*((((PI()*($D$49/12)^2)/4)-((($D$49/12)/2)^2*((2*ACOS(((($D$49/12)/2)-(($D$49/12)-(S817/12)))/(($D$49/12)/2)))-SIN(2*ACOS(((($D$49/12)/2)-(($D$49/12)-(S817/12)))/(($D$49/12)/2))))/2))/((PI()*($D$49/12))-((2*ACOS(((($D$49/12)/2)-(($D$49/12)-(S817/12)))/(($D$49/12)/2)))*(($D$49/12)/2))))^(2/3)*$H$20^0.5)*(((PI()*($D$49/12)^2)/4)-((($D$49/12)/2)^2*((2*ACOS(((($D$49/12)/2)-(($D$49/12)-(S817/12)))/(($D$49/12)/2)))-SIN(2*ACOS(((($D$49/12)/2)-(($D$49/12)-(S817/12)))/(($D$49/12)/2))))/2))</f>
        <v>#VALUE!</v>
      </c>
      <c r="S817">
        <v>7.05</v>
      </c>
      <c r="T817" s="154" t="e">
        <f t="shared" ref="T817:T880" si="121">((1.486/$D$37)*((((PI()*($D$50/12)^2)/4)-((($D$50/12)/2)^2*((2*ACOS(((($D$50/12)/2)-(($D$50/12)-(U817/12)))/(($D$50/12)/2)))-SIN(2*ACOS(((($D$50/12)/2)-(($D$50/12)-(U817/12)))/(($D$50/12)/2))))/2))/((PI()*($D$50/12))-((2*ACOS(((($D$50/12)/2)-(($D$50/12)-(U817/12)))/(($D$50/12)/2)))*(($D$50/12)/2))))^(2/3)*$H$21^0.5)*(((PI()*($D$50/12)^2)/4)-((($D$50/12)/2)^2*((2*ACOS(((($D$50/12)/2)-(($D$50/12)-(U817/12)))/(($D$50/12)/2)))-SIN(2*ACOS(((($D$50/12)/2)-(($D$50/12)-(U817/12)))/(($D$50/12)/2))))/2))</f>
        <v>#VALUE!</v>
      </c>
      <c r="U817">
        <v>7.05</v>
      </c>
      <c r="V817" s="154" t="e">
        <f t="shared" ref="V817:V880" si="122">((1.486/$D$38)*((((PI()*($D$51/12)^2)/4)-((($D$51/12)/2)^2*((2*ACOS(((($D$51/12)/2)-(($D$51/12)-(W817/12)))/(($D$51/12)/2)))-SIN(2*ACOS(((($D$51/12)/2)-(($D$51/12)-(W817/12)))/(($D$51/12)/2))))/2))/((PI()*($D$51/12))-((2*ACOS(((($D$51/12)/2)-(($D$51/12)-(W817/12)))/(($D$51/12)/2)))*(($D$51/12)/2))))^(2/3)*$H$22^0.5)*(((PI()*($D$51/12)^2)/4)-((($D$51/12)/2)^2*((2*ACOS(((($D$51/12)/2)-(($D$51/12)-(W817/12)))/(($D$51/12)/2)))-SIN(2*ACOS(((($D$51/12)/2)-(($D$51/12)-(W817/12)))/(($D$51/12)/2))))/2))</f>
        <v>#VALUE!</v>
      </c>
      <c r="W817">
        <v>7.05</v>
      </c>
      <c r="X817" s="157" t="e">
        <f t="shared" ref="X817:X880" si="123">((1.486/$D$39)*((((PI()*($D$52/12)^2)/4)-((($D$52/12)/2)^2*((2*ACOS(((($D$52/12)/2)-(($D$52/12)-(Y817/12)))/(($D$52/12)/2)))-SIN(2*ACOS(((($D$52/12)/2)-(($D$52/12)-(Y817/12)))/(($D$52/12)/2))))/2))/((PI()*($D$52/12))-((2*ACOS(((($D$52/12)/2)-(($D$52/12)-(Y817/12)))/(($D$52/12)/2)))*(($D$52/12)/2))))^(2/3)*$H$23^0.5)*(((PI()*($D$52/12)^2)/4)-((($D$52/12)/2)^2*((2*ACOS(((($D$52/12)/2)-(($D$52/12)-(Y817/12)))/(($D$52/12)/2)))-SIN(2*ACOS(((($D$52/12)/2)-(($D$52/12)-(Y817/12)))/(($D$52/12)/2))))/2))</f>
        <v>#VALUE!</v>
      </c>
      <c r="Y817">
        <v>7.05</v>
      </c>
      <c r="Z817" s="154" t="e">
        <f t="shared" ref="Z817:Z880" si="124">((1.486/$D$40)*((((PI()*($D$53/12)^2)/4)-((($D$53/12)/2)^2*((2*ACOS(((($D$53/12)/2)-(($D$53/12)-(AA817/12)))/(($D$53/12)/2)))-SIN(2*ACOS(((($D$53/12)/2)-(($D$53/12)-(AA817/12)))/(($D$53/12)/2))))/2))/((PI()*($D$53/12))-((2*ACOS(((($D$53/12)/2)-(($D$53/12)-(AA817/12)))/(($D$53/12)/2)))*(($D$53/12)/2))))^(2/3)*$H$24^0.5)*(((PI()*($D$53/12)^2)/4)-((($D$53/12)/2)^2*((2*ACOS(((($D$53/12)/2)-(($D$53/12)-(AA817/12)))/(($D$53/12)/2)))-SIN(2*ACOS(((($D$53/12)/2)-(($D$53/12)-(AA817/12)))/(($D$53/12)/2))))/2))</f>
        <v>#VALUE!</v>
      </c>
      <c r="AA817">
        <v>7.05</v>
      </c>
      <c r="AB817" s="154" t="e">
        <f t="shared" ref="AB817:AB880" si="125">((1.486/$D$41)*((((PI()*($D$54/12)^2)/4)-((($D$54/12)/2)^2*((2*ACOS(((($D$54/12)/2)-(($D$54/12)-(AC817/12)))/(($D$54/12)/2)))-SIN(2*ACOS(((($D$54/12)/2)-(($D$54/12)-(AC817/12)))/(($D$54/12)/2))))/2))/((PI()*($D$54/12))-((2*ACOS(((($D$54/12)/2)-(($D$54/12)-(AC817/12)))/(($D$54/12)/2)))*(($D$54/12)/2))))^(2/3)*$H$25^0.5)*(((PI()*($D$54/12)^2)/4)-((($D$54/12)/2)^2*((2*ACOS(((($D$54/12)/2)-(($D$54/12)-(AC817/12)))/(($D$54/12)/2)))-SIN(2*ACOS(((($D$54/12)/2)-(($D$54/12)-(AC817/12)))/(($D$54/12)/2))))/2))</f>
        <v>#VALUE!</v>
      </c>
      <c r="AC817">
        <v>7.05</v>
      </c>
      <c r="AD817" s="154" t="e">
        <f t="shared" ref="AD817:AD880" si="126">((1.486/$D$42)*((((PI()*($D$55/12)^2)/4)-((($D$55/12)/2)^2*((2*ACOS(((($D$55/12)/2)-(($D$55/12)-(AE817/12)))/(($D$55/12)/2)))-SIN(2*ACOS(((($D$55/12)/2)-(($D$55/12)-(AE817/12)))/(($D$55/12)/2))))/2))/((PI()*($D$55/12))-((2*ACOS(((($D$55/12)/2)-(($D$55/12)-(AE817/12)))/(($D$55/12)/2)))*(($D$55/12)/2))))^(2/3)*$H$26^0.5)*(((PI()*($D$55/12)^2)/4)-((($D$55/12)/2)^2*((2*ACOS(((($D$55/12)/2)-(($D$55/12)-(AE817/12)))/(($D$55/12)/2)))-SIN(2*ACOS(((($D$55/12)/2)-(($D$55/12)-(AE817/12)))/(($D$55/12)/2))))/2))</f>
        <v>#VALUE!</v>
      </c>
      <c r="AE817">
        <v>7.05</v>
      </c>
    </row>
    <row r="818" spans="12:31" ht="15" x14ac:dyDescent="0.2">
      <c r="L818" s="154" t="e">
        <f t="shared" si="117"/>
        <v>#VALUE!</v>
      </c>
      <c r="M818">
        <v>7.06</v>
      </c>
      <c r="N818" s="154" t="e">
        <f t="shared" si="118"/>
        <v>#VALUE!</v>
      </c>
      <c r="O818">
        <v>7.06</v>
      </c>
      <c r="P818" s="154" t="e">
        <f t="shared" si="119"/>
        <v>#VALUE!</v>
      </c>
      <c r="Q818">
        <v>7.06</v>
      </c>
      <c r="R818" s="154" t="e">
        <f t="shared" si="120"/>
        <v>#VALUE!</v>
      </c>
      <c r="S818">
        <v>7.06</v>
      </c>
      <c r="T818" s="154" t="e">
        <f t="shared" si="121"/>
        <v>#VALUE!</v>
      </c>
      <c r="U818">
        <v>7.06</v>
      </c>
      <c r="V818" s="154" t="e">
        <f t="shared" si="122"/>
        <v>#VALUE!</v>
      </c>
      <c r="W818">
        <v>7.06</v>
      </c>
      <c r="X818" s="157" t="e">
        <f t="shared" si="123"/>
        <v>#VALUE!</v>
      </c>
      <c r="Y818">
        <v>7.06</v>
      </c>
      <c r="Z818" s="154" t="e">
        <f t="shared" si="124"/>
        <v>#VALUE!</v>
      </c>
      <c r="AA818">
        <v>7.06</v>
      </c>
      <c r="AB818" s="154" t="e">
        <f t="shared" si="125"/>
        <v>#VALUE!</v>
      </c>
      <c r="AC818">
        <v>7.06</v>
      </c>
      <c r="AD818" s="154" t="e">
        <f t="shared" si="126"/>
        <v>#VALUE!</v>
      </c>
      <c r="AE818">
        <v>7.06</v>
      </c>
    </row>
    <row r="819" spans="12:31" ht="15" x14ac:dyDescent="0.2">
      <c r="L819" s="154" t="e">
        <f t="shared" si="117"/>
        <v>#VALUE!</v>
      </c>
      <c r="M819">
        <v>7.07</v>
      </c>
      <c r="N819" s="154" t="e">
        <f t="shared" si="118"/>
        <v>#VALUE!</v>
      </c>
      <c r="O819">
        <v>7.07</v>
      </c>
      <c r="P819" s="154" t="e">
        <f t="shared" si="119"/>
        <v>#VALUE!</v>
      </c>
      <c r="Q819">
        <v>7.07</v>
      </c>
      <c r="R819" s="154" t="e">
        <f t="shared" si="120"/>
        <v>#VALUE!</v>
      </c>
      <c r="S819">
        <v>7.07</v>
      </c>
      <c r="T819" s="154" t="e">
        <f t="shared" si="121"/>
        <v>#VALUE!</v>
      </c>
      <c r="U819">
        <v>7.07</v>
      </c>
      <c r="V819" s="154" t="e">
        <f t="shared" si="122"/>
        <v>#VALUE!</v>
      </c>
      <c r="W819">
        <v>7.07</v>
      </c>
      <c r="X819" s="157" t="e">
        <f t="shared" si="123"/>
        <v>#VALUE!</v>
      </c>
      <c r="Y819">
        <v>7.07</v>
      </c>
      <c r="Z819" s="154" t="e">
        <f t="shared" si="124"/>
        <v>#VALUE!</v>
      </c>
      <c r="AA819">
        <v>7.07</v>
      </c>
      <c r="AB819" s="154" t="e">
        <f t="shared" si="125"/>
        <v>#VALUE!</v>
      </c>
      <c r="AC819">
        <v>7.07</v>
      </c>
      <c r="AD819" s="154" t="e">
        <f t="shared" si="126"/>
        <v>#VALUE!</v>
      </c>
      <c r="AE819">
        <v>7.07</v>
      </c>
    </row>
    <row r="820" spans="12:31" ht="15" x14ac:dyDescent="0.2">
      <c r="L820" s="154" t="e">
        <f t="shared" si="117"/>
        <v>#VALUE!</v>
      </c>
      <c r="M820">
        <v>7.08</v>
      </c>
      <c r="N820" s="154" t="e">
        <f t="shared" si="118"/>
        <v>#VALUE!</v>
      </c>
      <c r="O820">
        <v>7.08</v>
      </c>
      <c r="P820" s="154" t="e">
        <f t="shared" si="119"/>
        <v>#VALUE!</v>
      </c>
      <c r="Q820">
        <v>7.08</v>
      </c>
      <c r="R820" s="154" t="e">
        <f t="shared" si="120"/>
        <v>#VALUE!</v>
      </c>
      <c r="S820">
        <v>7.08</v>
      </c>
      <c r="T820" s="154" t="e">
        <f t="shared" si="121"/>
        <v>#VALUE!</v>
      </c>
      <c r="U820">
        <v>7.08</v>
      </c>
      <c r="V820" s="154" t="e">
        <f t="shared" si="122"/>
        <v>#VALUE!</v>
      </c>
      <c r="W820">
        <v>7.08</v>
      </c>
      <c r="X820" s="157" t="e">
        <f t="shared" si="123"/>
        <v>#VALUE!</v>
      </c>
      <c r="Y820">
        <v>7.08</v>
      </c>
      <c r="Z820" s="154" t="e">
        <f t="shared" si="124"/>
        <v>#VALUE!</v>
      </c>
      <c r="AA820">
        <v>7.08</v>
      </c>
      <c r="AB820" s="154" t="e">
        <f t="shared" si="125"/>
        <v>#VALUE!</v>
      </c>
      <c r="AC820">
        <v>7.08</v>
      </c>
      <c r="AD820" s="154" t="e">
        <f t="shared" si="126"/>
        <v>#VALUE!</v>
      </c>
      <c r="AE820">
        <v>7.08</v>
      </c>
    </row>
    <row r="821" spans="12:31" ht="15" x14ac:dyDescent="0.2">
      <c r="L821" s="154" t="e">
        <f t="shared" si="117"/>
        <v>#VALUE!</v>
      </c>
      <c r="M821">
        <v>7.09</v>
      </c>
      <c r="N821" s="154" t="e">
        <f t="shared" si="118"/>
        <v>#VALUE!</v>
      </c>
      <c r="O821">
        <v>7.09</v>
      </c>
      <c r="P821" s="154" t="e">
        <f t="shared" si="119"/>
        <v>#VALUE!</v>
      </c>
      <c r="Q821">
        <v>7.09</v>
      </c>
      <c r="R821" s="154" t="e">
        <f t="shared" si="120"/>
        <v>#VALUE!</v>
      </c>
      <c r="S821">
        <v>7.09</v>
      </c>
      <c r="T821" s="154" t="e">
        <f t="shared" si="121"/>
        <v>#VALUE!</v>
      </c>
      <c r="U821">
        <v>7.09</v>
      </c>
      <c r="V821" s="154" t="e">
        <f t="shared" si="122"/>
        <v>#VALUE!</v>
      </c>
      <c r="W821">
        <v>7.09</v>
      </c>
      <c r="X821" s="157" t="e">
        <f t="shared" si="123"/>
        <v>#VALUE!</v>
      </c>
      <c r="Y821">
        <v>7.09</v>
      </c>
      <c r="Z821" s="154" t="e">
        <f t="shared" si="124"/>
        <v>#VALUE!</v>
      </c>
      <c r="AA821">
        <v>7.09</v>
      </c>
      <c r="AB821" s="154" t="e">
        <f t="shared" si="125"/>
        <v>#VALUE!</v>
      </c>
      <c r="AC821">
        <v>7.09</v>
      </c>
      <c r="AD821" s="154" t="e">
        <f t="shared" si="126"/>
        <v>#VALUE!</v>
      </c>
      <c r="AE821">
        <v>7.09</v>
      </c>
    </row>
    <row r="822" spans="12:31" ht="15" x14ac:dyDescent="0.2">
      <c r="L822" s="154" t="e">
        <f t="shared" si="117"/>
        <v>#VALUE!</v>
      </c>
      <c r="M822">
        <v>7.1</v>
      </c>
      <c r="N822" s="154" t="e">
        <f t="shared" si="118"/>
        <v>#VALUE!</v>
      </c>
      <c r="O822">
        <v>7.1</v>
      </c>
      <c r="P822" s="154" t="e">
        <f t="shared" si="119"/>
        <v>#VALUE!</v>
      </c>
      <c r="Q822">
        <v>7.1</v>
      </c>
      <c r="R822" s="154" t="e">
        <f t="shared" si="120"/>
        <v>#VALUE!</v>
      </c>
      <c r="S822">
        <v>7.1</v>
      </c>
      <c r="T822" s="154" t="e">
        <f t="shared" si="121"/>
        <v>#VALUE!</v>
      </c>
      <c r="U822">
        <v>7.1</v>
      </c>
      <c r="V822" s="154" t="e">
        <f t="shared" si="122"/>
        <v>#VALUE!</v>
      </c>
      <c r="W822">
        <v>7.1</v>
      </c>
      <c r="X822" s="157" t="e">
        <f t="shared" si="123"/>
        <v>#VALUE!</v>
      </c>
      <c r="Y822">
        <v>7.1</v>
      </c>
      <c r="Z822" s="154" t="e">
        <f t="shared" si="124"/>
        <v>#VALUE!</v>
      </c>
      <c r="AA822">
        <v>7.1</v>
      </c>
      <c r="AB822" s="154" t="e">
        <f t="shared" si="125"/>
        <v>#VALUE!</v>
      </c>
      <c r="AC822">
        <v>7.1</v>
      </c>
      <c r="AD822" s="154" t="e">
        <f t="shared" si="126"/>
        <v>#VALUE!</v>
      </c>
      <c r="AE822">
        <v>7.1</v>
      </c>
    </row>
    <row r="823" spans="12:31" ht="15" x14ac:dyDescent="0.2">
      <c r="L823" s="154" t="e">
        <f t="shared" si="117"/>
        <v>#VALUE!</v>
      </c>
      <c r="M823">
        <v>7.11</v>
      </c>
      <c r="N823" s="154" t="e">
        <f t="shared" si="118"/>
        <v>#VALUE!</v>
      </c>
      <c r="O823">
        <v>7.11</v>
      </c>
      <c r="P823" s="154" t="e">
        <f t="shared" si="119"/>
        <v>#VALUE!</v>
      </c>
      <c r="Q823">
        <v>7.11</v>
      </c>
      <c r="R823" s="154" t="e">
        <f t="shared" si="120"/>
        <v>#VALUE!</v>
      </c>
      <c r="S823">
        <v>7.11</v>
      </c>
      <c r="T823" s="154" t="e">
        <f t="shared" si="121"/>
        <v>#VALUE!</v>
      </c>
      <c r="U823">
        <v>7.11</v>
      </c>
      <c r="V823" s="154" t="e">
        <f t="shared" si="122"/>
        <v>#VALUE!</v>
      </c>
      <c r="W823">
        <v>7.11</v>
      </c>
      <c r="X823" s="157" t="e">
        <f t="shared" si="123"/>
        <v>#VALUE!</v>
      </c>
      <c r="Y823">
        <v>7.11</v>
      </c>
      <c r="Z823" s="154" t="e">
        <f t="shared" si="124"/>
        <v>#VALUE!</v>
      </c>
      <c r="AA823">
        <v>7.11</v>
      </c>
      <c r="AB823" s="154" t="e">
        <f t="shared" si="125"/>
        <v>#VALUE!</v>
      </c>
      <c r="AC823">
        <v>7.11</v>
      </c>
      <c r="AD823" s="154" t="e">
        <f t="shared" si="126"/>
        <v>#VALUE!</v>
      </c>
      <c r="AE823">
        <v>7.11</v>
      </c>
    </row>
    <row r="824" spans="12:31" ht="15" x14ac:dyDescent="0.2">
      <c r="L824" s="154" t="e">
        <f t="shared" si="117"/>
        <v>#VALUE!</v>
      </c>
      <c r="M824">
        <v>7.12</v>
      </c>
      <c r="N824" s="154" t="e">
        <f t="shared" si="118"/>
        <v>#VALUE!</v>
      </c>
      <c r="O824">
        <v>7.12</v>
      </c>
      <c r="P824" s="154" t="e">
        <f t="shared" si="119"/>
        <v>#VALUE!</v>
      </c>
      <c r="Q824">
        <v>7.12</v>
      </c>
      <c r="R824" s="154" t="e">
        <f t="shared" si="120"/>
        <v>#VALUE!</v>
      </c>
      <c r="S824">
        <v>7.12</v>
      </c>
      <c r="T824" s="154" t="e">
        <f t="shared" si="121"/>
        <v>#VALUE!</v>
      </c>
      <c r="U824">
        <v>7.12</v>
      </c>
      <c r="V824" s="154" t="e">
        <f t="shared" si="122"/>
        <v>#VALUE!</v>
      </c>
      <c r="W824">
        <v>7.12</v>
      </c>
      <c r="X824" s="157" t="e">
        <f t="shared" si="123"/>
        <v>#VALUE!</v>
      </c>
      <c r="Y824">
        <v>7.12</v>
      </c>
      <c r="Z824" s="154" t="e">
        <f t="shared" si="124"/>
        <v>#VALUE!</v>
      </c>
      <c r="AA824">
        <v>7.12</v>
      </c>
      <c r="AB824" s="154" t="e">
        <f t="shared" si="125"/>
        <v>#VALUE!</v>
      </c>
      <c r="AC824">
        <v>7.12</v>
      </c>
      <c r="AD824" s="154" t="e">
        <f t="shared" si="126"/>
        <v>#VALUE!</v>
      </c>
      <c r="AE824">
        <v>7.12</v>
      </c>
    </row>
    <row r="825" spans="12:31" ht="15" x14ac:dyDescent="0.2">
      <c r="L825" s="154" t="e">
        <f t="shared" si="117"/>
        <v>#VALUE!</v>
      </c>
      <c r="M825">
        <v>7.13</v>
      </c>
      <c r="N825" s="154" t="e">
        <f t="shared" si="118"/>
        <v>#VALUE!</v>
      </c>
      <c r="O825">
        <v>7.13</v>
      </c>
      <c r="P825" s="154" t="e">
        <f t="shared" si="119"/>
        <v>#VALUE!</v>
      </c>
      <c r="Q825">
        <v>7.13</v>
      </c>
      <c r="R825" s="154" t="e">
        <f t="shared" si="120"/>
        <v>#VALUE!</v>
      </c>
      <c r="S825">
        <v>7.13</v>
      </c>
      <c r="T825" s="154" t="e">
        <f t="shared" si="121"/>
        <v>#VALUE!</v>
      </c>
      <c r="U825">
        <v>7.13</v>
      </c>
      <c r="V825" s="154" t="e">
        <f t="shared" si="122"/>
        <v>#VALUE!</v>
      </c>
      <c r="W825">
        <v>7.13</v>
      </c>
      <c r="X825" s="157" t="e">
        <f t="shared" si="123"/>
        <v>#VALUE!</v>
      </c>
      <c r="Y825">
        <v>7.13</v>
      </c>
      <c r="Z825" s="154" t="e">
        <f t="shared" si="124"/>
        <v>#VALUE!</v>
      </c>
      <c r="AA825">
        <v>7.13</v>
      </c>
      <c r="AB825" s="154" t="e">
        <f t="shared" si="125"/>
        <v>#VALUE!</v>
      </c>
      <c r="AC825">
        <v>7.13</v>
      </c>
      <c r="AD825" s="154" t="e">
        <f t="shared" si="126"/>
        <v>#VALUE!</v>
      </c>
      <c r="AE825">
        <v>7.13</v>
      </c>
    </row>
    <row r="826" spans="12:31" ht="15" x14ac:dyDescent="0.2">
      <c r="L826" s="154" t="e">
        <f t="shared" si="117"/>
        <v>#VALUE!</v>
      </c>
      <c r="M826">
        <v>7.14</v>
      </c>
      <c r="N826" s="154" t="e">
        <f t="shared" si="118"/>
        <v>#VALUE!</v>
      </c>
      <c r="O826">
        <v>7.14</v>
      </c>
      <c r="P826" s="154" t="e">
        <f t="shared" si="119"/>
        <v>#VALUE!</v>
      </c>
      <c r="Q826">
        <v>7.14</v>
      </c>
      <c r="R826" s="154" t="e">
        <f t="shared" si="120"/>
        <v>#VALUE!</v>
      </c>
      <c r="S826">
        <v>7.14</v>
      </c>
      <c r="T826" s="154" t="e">
        <f t="shared" si="121"/>
        <v>#VALUE!</v>
      </c>
      <c r="U826">
        <v>7.14</v>
      </c>
      <c r="V826" s="154" t="e">
        <f t="shared" si="122"/>
        <v>#VALUE!</v>
      </c>
      <c r="W826">
        <v>7.14</v>
      </c>
      <c r="X826" s="157" t="e">
        <f t="shared" si="123"/>
        <v>#VALUE!</v>
      </c>
      <c r="Y826">
        <v>7.14</v>
      </c>
      <c r="Z826" s="154" t="e">
        <f t="shared" si="124"/>
        <v>#VALUE!</v>
      </c>
      <c r="AA826">
        <v>7.14</v>
      </c>
      <c r="AB826" s="154" t="e">
        <f t="shared" si="125"/>
        <v>#VALUE!</v>
      </c>
      <c r="AC826">
        <v>7.14</v>
      </c>
      <c r="AD826" s="154" t="e">
        <f t="shared" si="126"/>
        <v>#VALUE!</v>
      </c>
      <c r="AE826">
        <v>7.14</v>
      </c>
    </row>
    <row r="827" spans="12:31" ht="15" x14ac:dyDescent="0.2">
      <c r="L827" s="154" t="e">
        <f t="shared" si="117"/>
        <v>#VALUE!</v>
      </c>
      <c r="M827">
        <v>7.15</v>
      </c>
      <c r="N827" s="154" t="e">
        <f t="shared" si="118"/>
        <v>#VALUE!</v>
      </c>
      <c r="O827">
        <v>7.15</v>
      </c>
      <c r="P827" s="154" t="e">
        <f t="shared" si="119"/>
        <v>#VALUE!</v>
      </c>
      <c r="Q827">
        <v>7.15</v>
      </c>
      <c r="R827" s="154" t="e">
        <f t="shared" si="120"/>
        <v>#VALUE!</v>
      </c>
      <c r="S827">
        <v>7.15</v>
      </c>
      <c r="T827" s="154" t="e">
        <f t="shared" si="121"/>
        <v>#VALUE!</v>
      </c>
      <c r="U827">
        <v>7.15</v>
      </c>
      <c r="V827" s="154" t="e">
        <f t="shared" si="122"/>
        <v>#VALUE!</v>
      </c>
      <c r="W827">
        <v>7.15</v>
      </c>
      <c r="X827" s="157" t="e">
        <f t="shared" si="123"/>
        <v>#VALUE!</v>
      </c>
      <c r="Y827">
        <v>7.15</v>
      </c>
      <c r="Z827" s="154" t="e">
        <f t="shared" si="124"/>
        <v>#VALUE!</v>
      </c>
      <c r="AA827">
        <v>7.15</v>
      </c>
      <c r="AB827" s="154" t="e">
        <f t="shared" si="125"/>
        <v>#VALUE!</v>
      </c>
      <c r="AC827">
        <v>7.15</v>
      </c>
      <c r="AD827" s="154" t="e">
        <f t="shared" si="126"/>
        <v>#VALUE!</v>
      </c>
      <c r="AE827">
        <v>7.15</v>
      </c>
    </row>
    <row r="828" spans="12:31" ht="15" x14ac:dyDescent="0.2">
      <c r="L828" s="154" t="e">
        <f t="shared" si="117"/>
        <v>#VALUE!</v>
      </c>
      <c r="M828">
        <v>7.16</v>
      </c>
      <c r="N828" s="154" t="e">
        <f t="shared" si="118"/>
        <v>#VALUE!</v>
      </c>
      <c r="O828">
        <v>7.16</v>
      </c>
      <c r="P828" s="154" t="e">
        <f t="shared" si="119"/>
        <v>#VALUE!</v>
      </c>
      <c r="Q828">
        <v>7.16</v>
      </c>
      <c r="R828" s="154" t="e">
        <f t="shared" si="120"/>
        <v>#VALUE!</v>
      </c>
      <c r="S828">
        <v>7.16</v>
      </c>
      <c r="T828" s="154" t="e">
        <f t="shared" si="121"/>
        <v>#VALUE!</v>
      </c>
      <c r="U828">
        <v>7.16</v>
      </c>
      <c r="V828" s="154" t="e">
        <f t="shared" si="122"/>
        <v>#VALUE!</v>
      </c>
      <c r="W828">
        <v>7.16</v>
      </c>
      <c r="X828" s="157" t="e">
        <f t="shared" si="123"/>
        <v>#VALUE!</v>
      </c>
      <c r="Y828">
        <v>7.16</v>
      </c>
      <c r="Z828" s="154" t="e">
        <f t="shared" si="124"/>
        <v>#VALUE!</v>
      </c>
      <c r="AA828">
        <v>7.16</v>
      </c>
      <c r="AB828" s="154" t="e">
        <f t="shared" si="125"/>
        <v>#VALUE!</v>
      </c>
      <c r="AC828">
        <v>7.16</v>
      </c>
      <c r="AD828" s="154" t="e">
        <f t="shared" si="126"/>
        <v>#VALUE!</v>
      </c>
      <c r="AE828">
        <v>7.16</v>
      </c>
    </row>
    <row r="829" spans="12:31" ht="15" x14ac:dyDescent="0.2">
      <c r="L829" s="154" t="e">
        <f t="shared" si="117"/>
        <v>#VALUE!</v>
      </c>
      <c r="M829">
        <v>7.17</v>
      </c>
      <c r="N829" s="154" t="e">
        <f t="shared" si="118"/>
        <v>#VALUE!</v>
      </c>
      <c r="O829">
        <v>7.17</v>
      </c>
      <c r="P829" s="154" t="e">
        <f t="shared" si="119"/>
        <v>#VALUE!</v>
      </c>
      <c r="Q829">
        <v>7.17</v>
      </c>
      <c r="R829" s="154" t="e">
        <f t="shared" si="120"/>
        <v>#VALUE!</v>
      </c>
      <c r="S829">
        <v>7.17</v>
      </c>
      <c r="T829" s="154" t="e">
        <f t="shared" si="121"/>
        <v>#VALUE!</v>
      </c>
      <c r="U829">
        <v>7.17</v>
      </c>
      <c r="V829" s="154" t="e">
        <f t="shared" si="122"/>
        <v>#VALUE!</v>
      </c>
      <c r="W829">
        <v>7.17</v>
      </c>
      <c r="X829" s="157" t="e">
        <f t="shared" si="123"/>
        <v>#VALUE!</v>
      </c>
      <c r="Y829">
        <v>7.17</v>
      </c>
      <c r="Z829" s="154" t="e">
        <f t="shared" si="124"/>
        <v>#VALUE!</v>
      </c>
      <c r="AA829">
        <v>7.17</v>
      </c>
      <c r="AB829" s="154" t="e">
        <f t="shared" si="125"/>
        <v>#VALUE!</v>
      </c>
      <c r="AC829">
        <v>7.17</v>
      </c>
      <c r="AD829" s="154" t="e">
        <f t="shared" si="126"/>
        <v>#VALUE!</v>
      </c>
      <c r="AE829">
        <v>7.17</v>
      </c>
    </row>
    <row r="830" spans="12:31" ht="15" x14ac:dyDescent="0.2">
      <c r="L830" s="154" t="e">
        <f t="shared" si="117"/>
        <v>#VALUE!</v>
      </c>
      <c r="M830">
        <v>7.18</v>
      </c>
      <c r="N830" s="154" t="e">
        <f t="shared" si="118"/>
        <v>#VALUE!</v>
      </c>
      <c r="O830">
        <v>7.18</v>
      </c>
      <c r="P830" s="154" t="e">
        <f t="shared" si="119"/>
        <v>#VALUE!</v>
      </c>
      <c r="Q830">
        <v>7.18</v>
      </c>
      <c r="R830" s="154" t="e">
        <f t="shared" si="120"/>
        <v>#VALUE!</v>
      </c>
      <c r="S830">
        <v>7.18</v>
      </c>
      <c r="T830" s="154" t="e">
        <f t="shared" si="121"/>
        <v>#VALUE!</v>
      </c>
      <c r="U830">
        <v>7.18</v>
      </c>
      <c r="V830" s="154" t="e">
        <f t="shared" si="122"/>
        <v>#VALUE!</v>
      </c>
      <c r="W830">
        <v>7.18</v>
      </c>
      <c r="X830" s="157" t="e">
        <f t="shared" si="123"/>
        <v>#VALUE!</v>
      </c>
      <c r="Y830">
        <v>7.18</v>
      </c>
      <c r="Z830" s="154" t="e">
        <f t="shared" si="124"/>
        <v>#VALUE!</v>
      </c>
      <c r="AA830">
        <v>7.18</v>
      </c>
      <c r="AB830" s="154" t="e">
        <f t="shared" si="125"/>
        <v>#VALUE!</v>
      </c>
      <c r="AC830">
        <v>7.18</v>
      </c>
      <c r="AD830" s="154" t="e">
        <f t="shared" si="126"/>
        <v>#VALUE!</v>
      </c>
      <c r="AE830">
        <v>7.18</v>
      </c>
    </row>
    <row r="831" spans="12:31" ht="15" x14ac:dyDescent="0.2">
      <c r="L831" s="154" t="e">
        <f t="shared" si="117"/>
        <v>#VALUE!</v>
      </c>
      <c r="M831">
        <v>7.19</v>
      </c>
      <c r="N831" s="154" t="e">
        <f t="shared" si="118"/>
        <v>#VALUE!</v>
      </c>
      <c r="O831">
        <v>7.19</v>
      </c>
      <c r="P831" s="154" t="e">
        <f t="shared" si="119"/>
        <v>#VALUE!</v>
      </c>
      <c r="Q831">
        <v>7.19</v>
      </c>
      <c r="R831" s="154" t="e">
        <f t="shared" si="120"/>
        <v>#VALUE!</v>
      </c>
      <c r="S831">
        <v>7.19</v>
      </c>
      <c r="T831" s="154" t="e">
        <f t="shared" si="121"/>
        <v>#VALUE!</v>
      </c>
      <c r="U831">
        <v>7.19</v>
      </c>
      <c r="V831" s="154" t="e">
        <f t="shared" si="122"/>
        <v>#VALUE!</v>
      </c>
      <c r="W831">
        <v>7.19</v>
      </c>
      <c r="X831" s="157" t="e">
        <f t="shared" si="123"/>
        <v>#VALUE!</v>
      </c>
      <c r="Y831">
        <v>7.19</v>
      </c>
      <c r="Z831" s="154" t="e">
        <f t="shared" si="124"/>
        <v>#VALUE!</v>
      </c>
      <c r="AA831">
        <v>7.19</v>
      </c>
      <c r="AB831" s="154" t="e">
        <f t="shared" si="125"/>
        <v>#VALUE!</v>
      </c>
      <c r="AC831">
        <v>7.19</v>
      </c>
      <c r="AD831" s="154" t="e">
        <f t="shared" si="126"/>
        <v>#VALUE!</v>
      </c>
      <c r="AE831">
        <v>7.19</v>
      </c>
    </row>
    <row r="832" spans="12:31" ht="15" x14ac:dyDescent="0.2">
      <c r="L832" s="154" t="e">
        <f t="shared" si="117"/>
        <v>#VALUE!</v>
      </c>
      <c r="M832">
        <v>7.2</v>
      </c>
      <c r="N832" s="154" t="e">
        <f t="shared" si="118"/>
        <v>#VALUE!</v>
      </c>
      <c r="O832">
        <v>7.2</v>
      </c>
      <c r="P832" s="154" t="e">
        <f t="shared" si="119"/>
        <v>#VALUE!</v>
      </c>
      <c r="Q832">
        <v>7.2</v>
      </c>
      <c r="R832" s="154" t="e">
        <f t="shared" si="120"/>
        <v>#VALUE!</v>
      </c>
      <c r="S832">
        <v>7.2</v>
      </c>
      <c r="T832" s="154" t="e">
        <f t="shared" si="121"/>
        <v>#VALUE!</v>
      </c>
      <c r="U832">
        <v>7.2</v>
      </c>
      <c r="V832" s="154" t="e">
        <f t="shared" si="122"/>
        <v>#VALUE!</v>
      </c>
      <c r="W832">
        <v>7.2</v>
      </c>
      <c r="X832" s="157" t="e">
        <f t="shared" si="123"/>
        <v>#VALUE!</v>
      </c>
      <c r="Y832">
        <v>7.2</v>
      </c>
      <c r="Z832" s="154" t="e">
        <f t="shared" si="124"/>
        <v>#VALUE!</v>
      </c>
      <c r="AA832">
        <v>7.2</v>
      </c>
      <c r="AB832" s="154" t="e">
        <f t="shared" si="125"/>
        <v>#VALUE!</v>
      </c>
      <c r="AC832">
        <v>7.2</v>
      </c>
      <c r="AD832" s="154" t="e">
        <f t="shared" si="126"/>
        <v>#VALUE!</v>
      </c>
      <c r="AE832">
        <v>7.2</v>
      </c>
    </row>
    <row r="833" spans="12:31" ht="15" x14ac:dyDescent="0.2">
      <c r="L833" s="154" t="e">
        <f t="shared" si="117"/>
        <v>#VALUE!</v>
      </c>
      <c r="M833">
        <v>7.21</v>
      </c>
      <c r="N833" s="154" t="e">
        <f t="shared" si="118"/>
        <v>#VALUE!</v>
      </c>
      <c r="O833">
        <v>7.21</v>
      </c>
      <c r="P833" s="154" t="e">
        <f t="shared" si="119"/>
        <v>#VALUE!</v>
      </c>
      <c r="Q833">
        <v>7.21</v>
      </c>
      <c r="R833" s="154" t="e">
        <f t="shared" si="120"/>
        <v>#VALUE!</v>
      </c>
      <c r="S833">
        <v>7.21</v>
      </c>
      <c r="T833" s="154" t="e">
        <f t="shared" si="121"/>
        <v>#VALUE!</v>
      </c>
      <c r="U833">
        <v>7.21</v>
      </c>
      <c r="V833" s="154" t="e">
        <f t="shared" si="122"/>
        <v>#VALUE!</v>
      </c>
      <c r="W833">
        <v>7.21</v>
      </c>
      <c r="X833" s="157" t="e">
        <f t="shared" si="123"/>
        <v>#VALUE!</v>
      </c>
      <c r="Y833">
        <v>7.21</v>
      </c>
      <c r="Z833" s="154" t="e">
        <f t="shared" si="124"/>
        <v>#VALUE!</v>
      </c>
      <c r="AA833">
        <v>7.21</v>
      </c>
      <c r="AB833" s="154" t="e">
        <f t="shared" si="125"/>
        <v>#VALUE!</v>
      </c>
      <c r="AC833">
        <v>7.21</v>
      </c>
      <c r="AD833" s="154" t="e">
        <f t="shared" si="126"/>
        <v>#VALUE!</v>
      </c>
      <c r="AE833">
        <v>7.21</v>
      </c>
    </row>
    <row r="834" spans="12:31" ht="15" x14ac:dyDescent="0.2">
      <c r="L834" s="154" t="e">
        <f t="shared" si="117"/>
        <v>#VALUE!</v>
      </c>
      <c r="M834">
        <v>7.22</v>
      </c>
      <c r="N834" s="154" t="e">
        <f t="shared" si="118"/>
        <v>#VALUE!</v>
      </c>
      <c r="O834">
        <v>7.22</v>
      </c>
      <c r="P834" s="154" t="e">
        <f t="shared" si="119"/>
        <v>#VALUE!</v>
      </c>
      <c r="Q834">
        <v>7.22</v>
      </c>
      <c r="R834" s="154" t="e">
        <f t="shared" si="120"/>
        <v>#VALUE!</v>
      </c>
      <c r="S834">
        <v>7.22</v>
      </c>
      <c r="T834" s="154" t="e">
        <f t="shared" si="121"/>
        <v>#VALUE!</v>
      </c>
      <c r="U834">
        <v>7.22</v>
      </c>
      <c r="V834" s="154" t="e">
        <f t="shared" si="122"/>
        <v>#VALUE!</v>
      </c>
      <c r="W834">
        <v>7.22</v>
      </c>
      <c r="X834" s="157" t="e">
        <f t="shared" si="123"/>
        <v>#VALUE!</v>
      </c>
      <c r="Y834">
        <v>7.22</v>
      </c>
      <c r="Z834" s="154" t="e">
        <f t="shared" si="124"/>
        <v>#VALUE!</v>
      </c>
      <c r="AA834">
        <v>7.22</v>
      </c>
      <c r="AB834" s="154" t="e">
        <f t="shared" si="125"/>
        <v>#VALUE!</v>
      </c>
      <c r="AC834">
        <v>7.22</v>
      </c>
      <c r="AD834" s="154" t="e">
        <f t="shared" si="126"/>
        <v>#VALUE!</v>
      </c>
      <c r="AE834">
        <v>7.22</v>
      </c>
    </row>
    <row r="835" spans="12:31" ht="15" x14ac:dyDescent="0.2">
      <c r="L835" s="154" t="e">
        <f t="shared" si="117"/>
        <v>#VALUE!</v>
      </c>
      <c r="M835">
        <v>7.23</v>
      </c>
      <c r="N835" s="154" t="e">
        <f t="shared" si="118"/>
        <v>#VALUE!</v>
      </c>
      <c r="O835">
        <v>7.23</v>
      </c>
      <c r="P835" s="154" t="e">
        <f t="shared" si="119"/>
        <v>#VALUE!</v>
      </c>
      <c r="Q835">
        <v>7.23</v>
      </c>
      <c r="R835" s="154" t="e">
        <f t="shared" si="120"/>
        <v>#VALUE!</v>
      </c>
      <c r="S835">
        <v>7.23</v>
      </c>
      <c r="T835" s="154" t="e">
        <f t="shared" si="121"/>
        <v>#VALUE!</v>
      </c>
      <c r="U835">
        <v>7.23</v>
      </c>
      <c r="V835" s="154" t="e">
        <f t="shared" si="122"/>
        <v>#VALUE!</v>
      </c>
      <c r="W835">
        <v>7.23</v>
      </c>
      <c r="X835" s="157" t="e">
        <f t="shared" si="123"/>
        <v>#VALUE!</v>
      </c>
      <c r="Y835">
        <v>7.23</v>
      </c>
      <c r="Z835" s="154" t="e">
        <f t="shared" si="124"/>
        <v>#VALUE!</v>
      </c>
      <c r="AA835">
        <v>7.23</v>
      </c>
      <c r="AB835" s="154" t="e">
        <f t="shared" si="125"/>
        <v>#VALUE!</v>
      </c>
      <c r="AC835">
        <v>7.23</v>
      </c>
      <c r="AD835" s="154" t="e">
        <f t="shared" si="126"/>
        <v>#VALUE!</v>
      </c>
      <c r="AE835">
        <v>7.23</v>
      </c>
    </row>
    <row r="836" spans="12:31" ht="15" x14ac:dyDescent="0.2">
      <c r="L836" s="154" t="e">
        <f t="shared" si="117"/>
        <v>#VALUE!</v>
      </c>
      <c r="M836">
        <v>7.24</v>
      </c>
      <c r="N836" s="154" t="e">
        <f t="shared" si="118"/>
        <v>#VALUE!</v>
      </c>
      <c r="O836">
        <v>7.24</v>
      </c>
      <c r="P836" s="154" t="e">
        <f t="shared" si="119"/>
        <v>#VALUE!</v>
      </c>
      <c r="Q836">
        <v>7.24</v>
      </c>
      <c r="R836" s="154" t="e">
        <f t="shared" si="120"/>
        <v>#VALUE!</v>
      </c>
      <c r="S836">
        <v>7.24</v>
      </c>
      <c r="T836" s="154" t="e">
        <f t="shared" si="121"/>
        <v>#VALUE!</v>
      </c>
      <c r="U836">
        <v>7.24</v>
      </c>
      <c r="V836" s="154" t="e">
        <f t="shared" si="122"/>
        <v>#VALUE!</v>
      </c>
      <c r="W836">
        <v>7.24</v>
      </c>
      <c r="X836" s="157" t="e">
        <f t="shared" si="123"/>
        <v>#VALUE!</v>
      </c>
      <c r="Y836">
        <v>7.24</v>
      </c>
      <c r="Z836" s="154" t="e">
        <f t="shared" si="124"/>
        <v>#VALUE!</v>
      </c>
      <c r="AA836">
        <v>7.24</v>
      </c>
      <c r="AB836" s="154" t="e">
        <f t="shared" si="125"/>
        <v>#VALUE!</v>
      </c>
      <c r="AC836">
        <v>7.24</v>
      </c>
      <c r="AD836" s="154" t="e">
        <f t="shared" si="126"/>
        <v>#VALUE!</v>
      </c>
      <c r="AE836">
        <v>7.24</v>
      </c>
    </row>
    <row r="837" spans="12:31" ht="15" x14ac:dyDescent="0.2">
      <c r="L837" s="154" t="e">
        <f t="shared" si="117"/>
        <v>#VALUE!</v>
      </c>
      <c r="M837">
        <v>7.25</v>
      </c>
      <c r="N837" s="154" t="e">
        <f t="shared" si="118"/>
        <v>#VALUE!</v>
      </c>
      <c r="O837">
        <v>7.25</v>
      </c>
      <c r="P837" s="154" t="e">
        <f t="shared" si="119"/>
        <v>#VALUE!</v>
      </c>
      <c r="Q837">
        <v>7.25</v>
      </c>
      <c r="R837" s="154" t="e">
        <f t="shared" si="120"/>
        <v>#VALUE!</v>
      </c>
      <c r="S837">
        <v>7.25</v>
      </c>
      <c r="T837" s="154" t="e">
        <f t="shared" si="121"/>
        <v>#VALUE!</v>
      </c>
      <c r="U837">
        <v>7.25</v>
      </c>
      <c r="V837" s="154" t="e">
        <f t="shared" si="122"/>
        <v>#VALUE!</v>
      </c>
      <c r="W837">
        <v>7.25</v>
      </c>
      <c r="X837" s="157" t="e">
        <f t="shared" si="123"/>
        <v>#VALUE!</v>
      </c>
      <c r="Y837">
        <v>7.25</v>
      </c>
      <c r="Z837" s="154" t="e">
        <f t="shared" si="124"/>
        <v>#VALUE!</v>
      </c>
      <c r="AA837">
        <v>7.25</v>
      </c>
      <c r="AB837" s="154" t="e">
        <f t="shared" si="125"/>
        <v>#VALUE!</v>
      </c>
      <c r="AC837">
        <v>7.25</v>
      </c>
      <c r="AD837" s="154" t="e">
        <f t="shared" si="126"/>
        <v>#VALUE!</v>
      </c>
      <c r="AE837">
        <v>7.25</v>
      </c>
    </row>
    <row r="838" spans="12:31" ht="15" x14ac:dyDescent="0.2">
      <c r="L838" s="154" t="e">
        <f t="shared" si="117"/>
        <v>#VALUE!</v>
      </c>
      <c r="M838">
        <v>7.26</v>
      </c>
      <c r="N838" s="154" t="e">
        <f t="shared" si="118"/>
        <v>#VALUE!</v>
      </c>
      <c r="O838">
        <v>7.26</v>
      </c>
      <c r="P838" s="154" t="e">
        <f t="shared" si="119"/>
        <v>#VALUE!</v>
      </c>
      <c r="Q838">
        <v>7.26</v>
      </c>
      <c r="R838" s="154" t="e">
        <f t="shared" si="120"/>
        <v>#VALUE!</v>
      </c>
      <c r="S838">
        <v>7.26</v>
      </c>
      <c r="T838" s="154" t="e">
        <f t="shared" si="121"/>
        <v>#VALUE!</v>
      </c>
      <c r="U838">
        <v>7.26</v>
      </c>
      <c r="V838" s="154" t="e">
        <f t="shared" si="122"/>
        <v>#VALUE!</v>
      </c>
      <c r="W838">
        <v>7.26</v>
      </c>
      <c r="X838" s="157" t="e">
        <f t="shared" si="123"/>
        <v>#VALUE!</v>
      </c>
      <c r="Y838">
        <v>7.26</v>
      </c>
      <c r="Z838" s="154" t="e">
        <f t="shared" si="124"/>
        <v>#VALUE!</v>
      </c>
      <c r="AA838">
        <v>7.26</v>
      </c>
      <c r="AB838" s="154" t="e">
        <f t="shared" si="125"/>
        <v>#VALUE!</v>
      </c>
      <c r="AC838">
        <v>7.26</v>
      </c>
      <c r="AD838" s="154" t="e">
        <f t="shared" si="126"/>
        <v>#VALUE!</v>
      </c>
      <c r="AE838">
        <v>7.26</v>
      </c>
    </row>
    <row r="839" spans="12:31" ht="15" x14ac:dyDescent="0.2">
      <c r="L839" s="154" t="e">
        <f t="shared" si="117"/>
        <v>#VALUE!</v>
      </c>
      <c r="M839">
        <v>7.27</v>
      </c>
      <c r="N839" s="154" t="e">
        <f t="shared" si="118"/>
        <v>#VALUE!</v>
      </c>
      <c r="O839">
        <v>7.27</v>
      </c>
      <c r="P839" s="154" t="e">
        <f t="shared" si="119"/>
        <v>#VALUE!</v>
      </c>
      <c r="Q839">
        <v>7.27</v>
      </c>
      <c r="R839" s="154" t="e">
        <f t="shared" si="120"/>
        <v>#VALUE!</v>
      </c>
      <c r="S839">
        <v>7.27</v>
      </c>
      <c r="T839" s="154" t="e">
        <f t="shared" si="121"/>
        <v>#VALUE!</v>
      </c>
      <c r="U839">
        <v>7.27</v>
      </c>
      <c r="V839" s="154" t="e">
        <f t="shared" si="122"/>
        <v>#VALUE!</v>
      </c>
      <c r="W839">
        <v>7.27</v>
      </c>
      <c r="X839" s="157" t="e">
        <f t="shared" si="123"/>
        <v>#VALUE!</v>
      </c>
      <c r="Y839">
        <v>7.27</v>
      </c>
      <c r="Z839" s="154" t="e">
        <f t="shared" si="124"/>
        <v>#VALUE!</v>
      </c>
      <c r="AA839">
        <v>7.27</v>
      </c>
      <c r="AB839" s="154" t="e">
        <f t="shared" si="125"/>
        <v>#VALUE!</v>
      </c>
      <c r="AC839">
        <v>7.27</v>
      </c>
      <c r="AD839" s="154" t="e">
        <f t="shared" si="126"/>
        <v>#VALUE!</v>
      </c>
      <c r="AE839">
        <v>7.27</v>
      </c>
    </row>
    <row r="840" spans="12:31" ht="15" x14ac:dyDescent="0.2">
      <c r="L840" s="154" t="e">
        <f t="shared" si="117"/>
        <v>#VALUE!</v>
      </c>
      <c r="M840">
        <v>7.28</v>
      </c>
      <c r="N840" s="154" t="e">
        <f t="shared" si="118"/>
        <v>#VALUE!</v>
      </c>
      <c r="O840">
        <v>7.28</v>
      </c>
      <c r="P840" s="154" t="e">
        <f t="shared" si="119"/>
        <v>#VALUE!</v>
      </c>
      <c r="Q840">
        <v>7.28</v>
      </c>
      <c r="R840" s="154" t="e">
        <f t="shared" si="120"/>
        <v>#VALUE!</v>
      </c>
      <c r="S840">
        <v>7.28</v>
      </c>
      <c r="T840" s="154" t="e">
        <f t="shared" si="121"/>
        <v>#VALUE!</v>
      </c>
      <c r="U840">
        <v>7.28</v>
      </c>
      <c r="V840" s="154" t="e">
        <f t="shared" si="122"/>
        <v>#VALUE!</v>
      </c>
      <c r="W840">
        <v>7.28</v>
      </c>
      <c r="X840" s="157" t="e">
        <f t="shared" si="123"/>
        <v>#VALUE!</v>
      </c>
      <c r="Y840">
        <v>7.28</v>
      </c>
      <c r="Z840" s="154" t="e">
        <f t="shared" si="124"/>
        <v>#VALUE!</v>
      </c>
      <c r="AA840">
        <v>7.28</v>
      </c>
      <c r="AB840" s="154" t="e">
        <f t="shared" si="125"/>
        <v>#VALUE!</v>
      </c>
      <c r="AC840">
        <v>7.28</v>
      </c>
      <c r="AD840" s="154" t="e">
        <f t="shared" si="126"/>
        <v>#VALUE!</v>
      </c>
      <c r="AE840">
        <v>7.28</v>
      </c>
    </row>
    <row r="841" spans="12:31" ht="15" x14ac:dyDescent="0.2">
      <c r="L841" s="154" t="e">
        <f t="shared" si="117"/>
        <v>#VALUE!</v>
      </c>
      <c r="M841">
        <v>7.29</v>
      </c>
      <c r="N841" s="154" t="e">
        <f t="shared" si="118"/>
        <v>#VALUE!</v>
      </c>
      <c r="O841">
        <v>7.29</v>
      </c>
      <c r="P841" s="154" t="e">
        <f t="shared" si="119"/>
        <v>#VALUE!</v>
      </c>
      <c r="Q841">
        <v>7.29</v>
      </c>
      <c r="R841" s="154" t="e">
        <f t="shared" si="120"/>
        <v>#VALUE!</v>
      </c>
      <c r="S841">
        <v>7.29</v>
      </c>
      <c r="T841" s="154" t="e">
        <f t="shared" si="121"/>
        <v>#VALUE!</v>
      </c>
      <c r="U841">
        <v>7.29</v>
      </c>
      <c r="V841" s="154" t="e">
        <f t="shared" si="122"/>
        <v>#VALUE!</v>
      </c>
      <c r="W841">
        <v>7.29</v>
      </c>
      <c r="X841" s="157" t="e">
        <f t="shared" si="123"/>
        <v>#VALUE!</v>
      </c>
      <c r="Y841">
        <v>7.29</v>
      </c>
      <c r="Z841" s="154" t="e">
        <f t="shared" si="124"/>
        <v>#VALUE!</v>
      </c>
      <c r="AA841">
        <v>7.29</v>
      </c>
      <c r="AB841" s="154" t="e">
        <f t="shared" si="125"/>
        <v>#VALUE!</v>
      </c>
      <c r="AC841">
        <v>7.29</v>
      </c>
      <c r="AD841" s="154" t="e">
        <f t="shared" si="126"/>
        <v>#VALUE!</v>
      </c>
      <c r="AE841">
        <v>7.29</v>
      </c>
    </row>
    <row r="842" spans="12:31" ht="15" x14ac:dyDescent="0.2">
      <c r="L842" s="154" t="e">
        <f t="shared" si="117"/>
        <v>#VALUE!</v>
      </c>
      <c r="M842">
        <v>7.3</v>
      </c>
      <c r="N842" s="154" t="e">
        <f t="shared" si="118"/>
        <v>#VALUE!</v>
      </c>
      <c r="O842">
        <v>7.3</v>
      </c>
      <c r="P842" s="154" t="e">
        <f t="shared" si="119"/>
        <v>#VALUE!</v>
      </c>
      <c r="Q842">
        <v>7.3</v>
      </c>
      <c r="R842" s="154" t="e">
        <f t="shared" si="120"/>
        <v>#VALUE!</v>
      </c>
      <c r="S842">
        <v>7.3</v>
      </c>
      <c r="T842" s="154" t="e">
        <f t="shared" si="121"/>
        <v>#VALUE!</v>
      </c>
      <c r="U842">
        <v>7.3</v>
      </c>
      <c r="V842" s="154" t="e">
        <f t="shared" si="122"/>
        <v>#VALUE!</v>
      </c>
      <c r="W842">
        <v>7.3</v>
      </c>
      <c r="X842" s="157" t="e">
        <f t="shared" si="123"/>
        <v>#VALUE!</v>
      </c>
      <c r="Y842">
        <v>7.3</v>
      </c>
      <c r="Z842" s="154" t="e">
        <f t="shared" si="124"/>
        <v>#VALUE!</v>
      </c>
      <c r="AA842">
        <v>7.3</v>
      </c>
      <c r="AB842" s="154" t="e">
        <f t="shared" si="125"/>
        <v>#VALUE!</v>
      </c>
      <c r="AC842">
        <v>7.3</v>
      </c>
      <c r="AD842" s="154" t="e">
        <f t="shared" si="126"/>
        <v>#VALUE!</v>
      </c>
      <c r="AE842">
        <v>7.3</v>
      </c>
    </row>
    <row r="843" spans="12:31" ht="15" x14ac:dyDescent="0.2">
      <c r="L843" s="154" t="e">
        <f t="shared" si="117"/>
        <v>#VALUE!</v>
      </c>
      <c r="M843">
        <v>7.31</v>
      </c>
      <c r="N843" s="154" t="e">
        <f t="shared" si="118"/>
        <v>#VALUE!</v>
      </c>
      <c r="O843">
        <v>7.31</v>
      </c>
      <c r="P843" s="154" t="e">
        <f t="shared" si="119"/>
        <v>#VALUE!</v>
      </c>
      <c r="Q843">
        <v>7.31</v>
      </c>
      <c r="R843" s="154" t="e">
        <f t="shared" si="120"/>
        <v>#VALUE!</v>
      </c>
      <c r="S843">
        <v>7.31</v>
      </c>
      <c r="T843" s="154" t="e">
        <f t="shared" si="121"/>
        <v>#VALUE!</v>
      </c>
      <c r="U843">
        <v>7.31</v>
      </c>
      <c r="V843" s="154" t="e">
        <f t="shared" si="122"/>
        <v>#VALUE!</v>
      </c>
      <c r="W843">
        <v>7.31</v>
      </c>
      <c r="X843" s="157" t="e">
        <f t="shared" si="123"/>
        <v>#VALUE!</v>
      </c>
      <c r="Y843">
        <v>7.31</v>
      </c>
      <c r="Z843" s="154" t="e">
        <f t="shared" si="124"/>
        <v>#VALUE!</v>
      </c>
      <c r="AA843">
        <v>7.31</v>
      </c>
      <c r="AB843" s="154" t="e">
        <f t="shared" si="125"/>
        <v>#VALUE!</v>
      </c>
      <c r="AC843">
        <v>7.31</v>
      </c>
      <c r="AD843" s="154" t="e">
        <f t="shared" si="126"/>
        <v>#VALUE!</v>
      </c>
      <c r="AE843">
        <v>7.31</v>
      </c>
    </row>
    <row r="844" spans="12:31" ht="15" x14ac:dyDescent="0.2">
      <c r="L844" s="154" t="e">
        <f t="shared" si="117"/>
        <v>#VALUE!</v>
      </c>
      <c r="M844">
        <v>7.32</v>
      </c>
      <c r="N844" s="154" t="e">
        <f t="shared" si="118"/>
        <v>#VALUE!</v>
      </c>
      <c r="O844">
        <v>7.32</v>
      </c>
      <c r="P844" s="154" t="e">
        <f t="shared" si="119"/>
        <v>#VALUE!</v>
      </c>
      <c r="Q844">
        <v>7.32</v>
      </c>
      <c r="R844" s="154" t="e">
        <f t="shared" si="120"/>
        <v>#VALUE!</v>
      </c>
      <c r="S844">
        <v>7.32</v>
      </c>
      <c r="T844" s="154" t="e">
        <f t="shared" si="121"/>
        <v>#VALUE!</v>
      </c>
      <c r="U844">
        <v>7.32</v>
      </c>
      <c r="V844" s="154" t="e">
        <f t="shared" si="122"/>
        <v>#VALUE!</v>
      </c>
      <c r="W844">
        <v>7.32</v>
      </c>
      <c r="X844" s="157" t="e">
        <f t="shared" si="123"/>
        <v>#VALUE!</v>
      </c>
      <c r="Y844">
        <v>7.32</v>
      </c>
      <c r="Z844" s="154" t="e">
        <f t="shared" si="124"/>
        <v>#VALUE!</v>
      </c>
      <c r="AA844">
        <v>7.32</v>
      </c>
      <c r="AB844" s="154" t="e">
        <f t="shared" si="125"/>
        <v>#VALUE!</v>
      </c>
      <c r="AC844">
        <v>7.32</v>
      </c>
      <c r="AD844" s="154" t="e">
        <f t="shared" si="126"/>
        <v>#VALUE!</v>
      </c>
      <c r="AE844">
        <v>7.32</v>
      </c>
    </row>
    <row r="845" spans="12:31" ht="15" x14ac:dyDescent="0.2">
      <c r="L845" s="154" t="e">
        <f t="shared" si="117"/>
        <v>#VALUE!</v>
      </c>
      <c r="M845">
        <v>7.33</v>
      </c>
      <c r="N845" s="154" t="e">
        <f t="shared" si="118"/>
        <v>#VALUE!</v>
      </c>
      <c r="O845">
        <v>7.33</v>
      </c>
      <c r="P845" s="154" t="e">
        <f t="shared" si="119"/>
        <v>#VALUE!</v>
      </c>
      <c r="Q845">
        <v>7.33</v>
      </c>
      <c r="R845" s="154" t="e">
        <f t="shared" si="120"/>
        <v>#VALUE!</v>
      </c>
      <c r="S845">
        <v>7.33</v>
      </c>
      <c r="T845" s="154" t="e">
        <f t="shared" si="121"/>
        <v>#VALUE!</v>
      </c>
      <c r="U845">
        <v>7.33</v>
      </c>
      <c r="V845" s="154" t="e">
        <f t="shared" si="122"/>
        <v>#VALUE!</v>
      </c>
      <c r="W845">
        <v>7.33</v>
      </c>
      <c r="X845" s="157" t="e">
        <f t="shared" si="123"/>
        <v>#VALUE!</v>
      </c>
      <c r="Y845">
        <v>7.33</v>
      </c>
      <c r="Z845" s="154" t="e">
        <f t="shared" si="124"/>
        <v>#VALUE!</v>
      </c>
      <c r="AA845">
        <v>7.33</v>
      </c>
      <c r="AB845" s="154" t="e">
        <f t="shared" si="125"/>
        <v>#VALUE!</v>
      </c>
      <c r="AC845">
        <v>7.33</v>
      </c>
      <c r="AD845" s="154" t="e">
        <f t="shared" si="126"/>
        <v>#VALUE!</v>
      </c>
      <c r="AE845">
        <v>7.33</v>
      </c>
    </row>
    <row r="846" spans="12:31" ht="15" x14ac:dyDescent="0.2">
      <c r="L846" s="154" t="e">
        <f t="shared" si="117"/>
        <v>#VALUE!</v>
      </c>
      <c r="M846">
        <v>7.34</v>
      </c>
      <c r="N846" s="154" t="e">
        <f t="shared" si="118"/>
        <v>#VALUE!</v>
      </c>
      <c r="O846">
        <v>7.34</v>
      </c>
      <c r="P846" s="154" t="e">
        <f t="shared" si="119"/>
        <v>#VALUE!</v>
      </c>
      <c r="Q846">
        <v>7.34</v>
      </c>
      <c r="R846" s="154" t="e">
        <f t="shared" si="120"/>
        <v>#VALUE!</v>
      </c>
      <c r="S846">
        <v>7.34</v>
      </c>
      <c r="T846" s="154" t="e">
        <f t="shared" si="121"/>
        <v>#VALUE!</v>
      </c>
      <c r="U846">
        <v>7.34</v>
      </c>
      <c r="V846" s="154" t="e">
        <f t="shared" si="122"/>
        <v>#VALUE!</v>
      </c>
      <c r="W846">
        <v>7.34</v>
      </c>
      <c r="X846" s="157" t="e">
        <f t="shared" si="123"/>
        <v>#VALUE!</v>
      </c>
      <c r="Y846">
        <v>7.34</v>
      </c>
      <c r="Z846" s="154" t="e">
        <f t="shared" si="124"/>
        <v>#VALUE!</v>
      </c>
      <c r="AA846">
        <v>7.34</v>
      </c>
      <c r="AB846" s="154" t="e">
        <f t="shared" si="125"/>
        <v>#VALUE!</v>
      </c>
      <c r="AC846">
        <v>7.34</v>
      </c>
      <c r="AD846" s="154" t="e">
        <f t="shared" si="126"/>
        <v>#VALUE!</v>
      </c>
      <c r="AE846">
        <v>7.34</v>
      </c>
    </row>
    <row r="847" spans="12:31" ht="15" x14ac:dyDescent="0.2">
      <c r="L847" s="154" t="e">
        <f t="shared" si="117"/>
        <v>#VALUE!</v>
      </c>
      <c r="M847">
        <v>7.35</v>
      </c>
      <c r="N847" s="154" t="e">
        <f t="shared" si="118"/>
        <v>#VALUE!</v>
      </c>
      <c r="O847">
        <v>7.35</v>
      </c>
      <c r="P847" s="154" t="e">
        <f t="shared" si="119"/>
        <v>#VALUE!</v>
      </c>
      <c r="Q847">
        <v>7.35</v>
      </c>
      <c r="R847" s="154" t="e">
        <f t="shared" si="120"/>
        <v>#VALUE!</v>
      </c>
      <c r="S847">
        <v>7.35</v>
      </c>
      <c r="T847" s="154" t="e">
        <f t="shared" si="121"/>
        <v>#VALUE!</v>
      </c>
      <c r="U847">
        <v>7.35</v>
      </c>
      <c r="V847" s="154" t="e">
        <f t="shared" si="122"/>
        <v>#VALUE!</v>
      </c>
      <c r="W847">
        <v>7.35</v>
      </c>
      <c r="X847" s="157" t="e">
        <f t="shared" si="123"/>
        <v>#VALUE!</v>
      </c>
      <c r="Y847">
        <v>7.35</v>
      </c>
      <c r="Z847" s="154" t="e">
        <f t="shared" si="124"/>
        <v>#VALUE!</v>
      </c>
      <c r="AA847">
        <v>7.35</v>
      </c>
      <c r="AB847" s="154" t="e">
        <f t="shared" si="125"/>
        <v>#VALUE!</v>
      </c>
      <c r="AC847">
        <v>7.35</v>
      </c>
      <c r="AD847" s="154" t="e">
        <f t="shared" si="126"/>
        <v>#VALUE!</v>
      </c>
      <c r="AE847">
        <v>7.35</v>
      </c>
    </row>
    <row r="848" spans="12:31" ht="15" x14ac:dyDescent="0.2">
      <c r="L848" s="154" t="e">
        <f t="shared" si="117"/>
        <v>#VALUE!</v>
      </c>
      <c r="M848">
        <v>7.36</v>
      </c>
      <c r="N848" s="154" t="e">
        <f t="shared" si="118"/>
        <v>#VALUE!</v>
      </c>
      <c r="O848">
        <v>7.36</v>
      </c>
      <c r="P848" s="154" t="e">
        <f t="shared" si="119"/>
        <v>#VALUE!</v>
      </c>
      <c r="Q848">
        <v>7.36</v>
      </c>
      <c r="R848" s="154" t="e">
        <f t="shared" si="120"/>
        <v>#VALUE!</v>
      </c>
      <c r="S848">
        <v>7.36</v>
      </c>
      <c r="T848" s="154" t="e">
        <f t="shared" si="121"/>
        <v>#VALUE!</v>
      </c>
      <c r="U848">
        <v>7.36</v>
      </c>
      <c r="V848" s="154" t="e">
        <f t="shared" si="122"/>
        <v>#VALUE!</v>
      </c>
      <c r="W848">
        <v>7.36</v>
      </c>
      <c r="X848" s="157" t="e">
        <f t="shared" si="123"/>
        <v>#VALUE!</v>
      </c>
      <c r="Y848">
        <v>7.36</v>
      </c>
      <c r="Z848" s="154" t="e">
        <f t="shared" si="124"/>
        <v>#VALUE!</v>
      </c>
      <c r="AA848">
        <v>7.36</v>
      </c>
      <c r="AB848" s="154" t="e">
        <f t="shared" si="125"/>
        <v>#VALUE!</v>
      </c>
      <c r="AC848">
        <v>7.36</v>
      </c>
      <c r="AD848" s="154" t="e">
        <f t="shared" si="126"/>
        <v>#VALUE!</v>
      </c>
      <c r="AE848">
        <v>7.36</v>
      </c>
    </row>
    <row r="849" spans="12:31" ht="15" x14ac:dyDescent="0.2">
      <c r="L849" s="154" t="e">
        <f t="shared" si="117"/>
        <v>#VALUE!</v>
      </c>
      <c r="M849">
        <v>7.37</v>
      </c>
      <c r="N849" s="154" t="e">
        <f t="shared" si="118"/>
        <v>#VALUE!</v>
      </c>
      <c r="O849">
        <v>7.37</v>
      </c>
      <c r="P849" s="154" t="e">
        <f t="shared" si="119"/>
        <v>#VALUE!</v>
      </c>
      <c r="Q849">
        <v>7.37</v>
      </c>
      <c r="R849" s="154" t="e">
        <f t="shared" si="120"/>
        <v>#VALUE!</v>
      </c>
      <c r="S849">
        <v>7.37</v>
      </c>
      <c r="T849" s="154" t="e">
        <f t="shared" si="121"/>
        <v>#VALUE!</v>
      </c>
      <c r="U849">
        <v>7.37</v>
      </c>
      <c r="V849" s="154" t="e">
        <f t="shared" si="122"/>
        <v>#VALUE!</v>
      </c>
      <c r="W849">
        <v>7.37</v>
      </c>
      <c r="X849" s="157" t="e">
        <f t="shared" si="123"/>
        <v>#VALUE!</v>
      </c>
      <c r="Y849">
        <v>7.37</v>
      </c>
      <c r="Z849" s="154" t="e">
        <f t="shared" si="124"/>
        <v>#VALUE!</v>
      </c>
      <c r="AA849">
        <v>7.37</v>
      </c>
      <c r="AB849" s="154" t="e">
        <f t="shared" si="125"/>
        <v>#VALUE!</v>
      </c>
      <c r="AC849">
        <v>7.37</v>
      </c>
      <c r="AD849" s="154" t="e">
        <f t="shared" si="126"/>
        <v>#VALUE!</v>
      </c>
      <c r="AE849">
        <v>7.37</v>
      </c>
    </row>
    <row r="850" spans="12:31" ht="15" x14ac:dyDescent="0.2">
      <c r="L850" s="154" t="e">
        <f t="shared" si="117"/>
        <v>#VALUE!</v>
      </c>
      <c r="M850">
        <v>7.38</v>
      </c>
      <c r="N850" s="154" t="e">
        <f t="shared" si="118"/>
        <v>#VALUE!</v>
      </c>
      <c r="O850">
        <v>7.38</v>
      </c>
      <c r="P850" s="154" t="e">
        <f t="shared" si="119"/>
        <v>#VALUE!</v>
      </c>
      <c r="Q850">
        <v>7.38</v>
      </c>
      <c r="R850" s="154" t="e">
        <f t="shared" si="120"/>
        <v>#VALUE!</v>
      </c>
      <c r="S850">
        <v>7.38</v>
      </c>
      <c r="T850" s="154" t="e">
        <f t="shared" si="121"/>
        <v>#VALUE!</v>
      </c>
      <c r="U850">
        <v>7.38</v>
      </c>
      <c r="V850" s="154" t="e">
        <f t="shared" si="122"/>
        <v>#VALUE!</v>
      </c>
      <c r="W850">
        <v>7.38</v>
      </c>
      <c r="X850" s="157" t="e">
        <f t="shared" si="123"/>
        <v>#VALUE!</v>
      </c>
      <c r="Y850">
        <v>7.38</v>
      </c>
      <c r="Z850" s="154" t="e">
        <f t="shared" si="124"/>
        <v>#VALUE!</v>
      </c>
      <c r="AA850">
        <v>7.38</v>
      </c>
      <c r="AB850" s="154" t="e">
        <f t="shared" si="125"/>
        <v>#VALUE!</v>
      </c>
      <c r="AC850">
        <v>7.38</v>
      </c>
      <c r="AD850" s="154" t="e">
        <f t="shared" si="126"/>
        <v>#VALUE!</v>
      </c>
      <c r="AE850">
        <v>7.38</v>
      </c>
    </row>
    <row r="851" spans="12:31" ht="15" x14ac:dyDescent="0.2">
      <c r="L851" s="154" t="e">
        <f t="shared" si="117"/>
        <v>#VALUE!</v>
      </c>
      <c r="M851">
        <v>7.39</v>
      </c>
      <c r="N851" s="154" t="e">
        <f t="shared" si="118"/>
        <v>#VALUE!</v>
      </c>
      <c r="O851">
        <v>7.39</v>
      </c>
      <c r="P851" s="154" t="e">
        <f t="shared" si="119"/>
        <v>#VALUE!</v>
      </c>
      <c r="Q851">
        <v>7.39</v>
      </c>
      <c r="R851" s="154" t="e">
        <f t="shared" si="120"/>
        <v>#VALUE!</v>
      </c>
      <c r="S851">
        <v>7.39</v>
      </c>
      <c r="T851" s="154" t="e">
        <f t="shared" si="121"/>
        <v>#VALUE!</v>
      </c>
      <c r="U851">
        <v>7.39</v>
      </c>
      <c r="V851" s="154" t="e">
        <f t="shared" si="122"/>
        <v>#VALUE!</v>
      </c>
      <c r="W851">
        <v>7.39</v>
      </c>
      <c r="X851" s="157" t="e">
        <f t="shared" si="123"/>
        <v>#VALUE!</v>
      </c>
      <c r="Y851">
        <v>7.39</v>
      </c>
      <c r="Z851" s="154" t="e">
        <f t="shared" si="124"/>
        <v>#VALUE!</v>
      </c>
      <c r="AA851">
        <v>7.39</v>
      </c>
      <c r="AB851" s="154" t="e">
        <f t="shared" si="125"/>
        <v>#VALUE!</v>
      </c>
      <c r="AC851">
        <v>7.39</v>
      </c>
      <c r="AD851" s="154" t="e">
        <f t="shared" si="126"/>
        <v>#VALUE!</v>
      </c>
      <c r="AE851">
        <v>7.39</v>
      </c>
    </row>
    <row r="852" spans="12:31" ht="15" x14ac:dyDescent="0.2">
      <c r="L852" s="154" t="e">
        <f t="shared" si="117"/>
        <v>#VALUE!</v>
      </c>
      <c r="M852">
        <v>7.4</v>
      </c>
      <c r="N852" s="154" t="e">
        <f t="shared" si="118"/>
        <v>#VALUE!</v>
      </c>
      <c r="O852">
        <v>7.4</v>
      </c>
      <c r="P852" s="154" t="e">
        <f t="shared" si="119"/>
        <v>#VALUE!</v>
      </c>
      <c r="Q852">
        <v>7.4</v>
      </c>
      <c r="R852" s="154" t="e">
        <f t="shared" si="120"/>
        <v>#VALUE!</v>
      </c>
      <c r="S852">
        <v>7.4</v>
      </c>
      <c r="T852" s="154" t="e">
        <f t="shared" si="121"/>
        <v>#VALUE!</v>
      </c>
      <c r="U852">
        <v>7.4</v>
      </c>
      <c r="V852" s="154" t="e">
        <f t="shared" si="122"/>
        <v>#VALUE!</v>
      </c>
      <c r="W852">
        <v>7.4</v>
      </c>
      <c r="X852" s="157" t="e">
        <f t="shared" si="123"/>
        <v>#VALUE!</v>
      </c>
      <c r="Y852">
        <v>7.4</v>
      </c>
      <c r="Z852" s="154" t="e">
        <f t="shared" si="124"/>
        <v>#VALUE!</v>
      </c>
      <c r="AA852">
        <v>7.4</v>
      </c>
      <c r="AB852" s="154" t="e">
        <f t="shared" si="125"/>
        <v>#VALUE!</v>
      </c>
      <c r="AC852">
        <v>7.4</v>
      </c>
      <c r="AD852" s="154" t="e">
        <f t="shared" si="126"/>
        <v>#VALUE!</v>
      </c>
      <c r="AE852">
        <v>7.4</v>
      </c>
    </row>
    <row r="853" spans="12:31" ht="15" x14ac:dyDescent="0.2">
      <c r="L853" s="154" t="e">
        <f t="shared" si="117"/>
        <v>#VALUE!</v>
      </c>
      <c r="M853">
        <v>7.41</v>
      </c>
      <c r="N853" s="154" t="e">
        <f t="shared" si="118"/>
        <v>#VALUE!</v>
      </c>
      <c r="O853">
        <v>7.41</v>
      </c>
      <c r="P853" s="154" t="e">
        <f t="shared" si="119"/>
        <v>#VALUE!</v>
      </c>
      <c r="Q853">
        <v>7.41</v>
      </c>
      <c r="R853" s="154" t="e">
        <f t="shared" si="120"/>
        <v>#VALUE!</v>
      </c>
      <c r="S853">
        <v>7.41</v>
      </c>
      <c r="T853" s="154" t="e">
        <f t="shared" si="121"/>
        <v>#VALUE!</v>
      </c>
      <c r="U853">
        <v>7.41</v>
      </c>
      <c r="V853" s="154" t="e">
        <f t="shared" si="122"/>
        <v>#VALUE!</v>
      </c>
      <c r="W853">
        <v>7.41</v>
      </c>
      <c r="X853" s="157" t="e">
        <f t="shared" si="123"/>
        <v>#VALUE!</v>
      </c>
      <c r="Y853">
        <v>7.41</v>
      </c>
      <c r="Z853" s="154" t="e">
        <f t="shared" si="124"/>
        <v>#VALUE!</v>
      </c>
      <c r="AA853">
        <v>7.41</v>
      </c>
      <c r="AB853" s="154" t="e">
        <f t="shared" si="125"/>
        <v>#VALUE!</v>
      </c>
      <c r="AC853">
        <v>7.41</v>
      </c>
      <c r="AD853" s="154" t="e">
        <f t="shared" si="126"/>
        <v>#VALUE!</v>
      </c>
      <c r="AE853">
        <v>7.41</v>
      </c>
    </row>
    <row r="854" spans="12:31" ht="15" x14ac:dyDescent="0.2">
      <c r="L854" s="154" t="e">
        <f t="shared" si="117"/>
        <v>#VALUE!</v>
      </c>
      <c r="M854">
        <v>7.42</v>
      </c>
      <c r="N854" s="154" t="e">
        <f t="shared" si="118"/>
        <v>#VALUE!</v>
      </c>
      <c r="O854">
        <v>7.42</v>
      </c>
      <c r="P854" s="154" t="e">
        <f t="shared" si="119"/>
        <v>#VALUE!</v>
      </c>
      <c r="Q854">
        <v>7.42</v>
      </c>
      <c r="R854" s="154" t="e">
        <f t="shared" si="120"/>
        <v>#VALUE!</v>
      </c>
      <c r="S854">
        <v>7.42</v>
      </c>
      <c r="T854" s="154" t="e">
        <f t="shared" si="121"/>
        <v>#VALUE!</v>
      </c>
      <c r="U854">
        <v>7.42</v>
      </c>
      <c r="V854" s="154" t="e">
        <f t="shared" si="122"/>
        <v>#VALUE!</v>
      </c>
      <c r="W854">
        <v>7.42</v>
      </c>
      <c r="X854" s="157" t="e">
        <f t="shared" si="123"/>
        <v>#VALUE!</v>
      </c>
      <c r="Y854">
        <v>7.42</v>
      </c>
      <c r="Z854" s="154" t="e">
        <f t="shared" si="124"/>
        <v>#VALUE!</v>
      </c>
      <c r="AA854">
        <v>7.42</v>
      </c>
      <c r="AB854" s="154" t="e">
        <f t="shared" si="125"/>
        <v>#VALUE!</v>
      </c>
      <c r="AC854">
        <v>7.42</v>
      </c>
      <c r="AD854" s="154" t="e">
        <f t="shared" si="126"/>
        <v>#VALUE!</v>
      </c>
      <c r="AE854">
        <v>7.42</v>
      </c>
    </row>
    <row r="855" spans="12:31" ht="15" x14ac:dyDescent="0.2">
      <c r="L855" s="154" t="e">
        <f t="shared" si="117"/>
        <v>#VALUE!</v>
      </c>
      <c r="M855">
        <v>7.43</v>
      </c>
      <c r="N855" s="154" t="e">
        <f t="shared" si="118"/>
        <v>#VALUE!</v>
      </c>
      <c r="O855">
        <v>7.43</v>
      </c>
      <c r="P855" s="154" t="e">
        <f t="shared" si="119"/>
        <v>#VALUE!</v>
      </c>
      <c r="Q855">
        <v>7.43</v>
      </c>
      <c r="R855" s="154" t="e">
        <f t="shared" si="120"/>
        <v>#VALUE!</v>
      </c>
      <c r="S855">
        <v>7.43</v>
      </c>
      <c r="T855" s="154" t="e">
        <f t="shared" si="121"/>
        <v>#VALUE!</v>
      </c>
      <c r="U855">
        <v>7.43</v>
      </c>
      <c r="V855" s="154" t="e">
        <f t="shared" si="122"/>
        <v>#VALUE!</v>
      </c>
      <c r="W855">
        <v>7.43</v>
      </c>
      <c r="X855" s="157" t="e">
        <f t="shared" si="123"/>
        <v>#VALUE!</v>
      </c>
      <c r="Y855">
        <v>7.43</v>
      </c>
      <c r="Z855" s="154" t="e">
        <f t="shared" si="124"/>
        <v>#VALUE!</v>
      </c>
      <c r="AA855">
        <v>7.43</v>
      </c>
      <c r="AB855" s="154" t="e">
        <f t="shared" si="125"/>
        <v>#VALUE!</v>
      </c>
      <c r="AC855">
        <v>7.43</v>
      </c>
      <c r="AD855" s="154" t="e">
        <f t="shared" si="126"/>
        <v>#VALUE!</v>
      </c>
      <c r="AE855">
        <v>7.43</v>
      </c>
    </row>
    <row r="856" spans="12:31" ht="15" x14ac:dyDescent="0.2">
      <c r="L856" s="154" t="e">
        <f t="shared" si="117"/>
        <v>#VALUE!</v>
      </c>
      <c r="M856">
        <v>7.44</v>
      </c>
      <c r="N856" s="154" t="e">
        <f t="shared" si="118"/>
        <v>#VALUE!</v>
      </c>
      <c r="O856">
        <v>7.44</v>
      </c>
      <c r="P856" s="154" t="e">
        <f t="shared" si="119"/>
        <v>#VALUE!</v>
      </c>
      <c r="Q856">
        <v>7.44</v>
      </c>
      <c r="R856" s="154" t="e">
        <f t="shared" si="120"/>
        <v>#VALUE!</v>
      </c>
      <c r="S856">
        <v>7.44</v>
      </c>
      <c r="T856" s="154" t="e">
        <f t="shared" si="121"/>
        <v>#VALUE!</v>
      </c>
      <c r="U856">
        <v>7.44</v>
      </c>
      <c r="V856" s="154" t="e">
        <f t="shared" si="122"/>
        <v>#VALUE!</v>
      </c>
      <c r="W856">
        <v>7.44</v>
      </c>
      <c r="X856" s="157" t="e">
        <f t="shared" si="123"/>
        <v>#VALUE!</v>
      </c>
      <c r="Y856">
        <v>7.44</v>
      </c>
      <c r="Z856" s="154" t="e">
        <f t="shared" si="124"/>
        <v>#VALUE!</v>
      </c>
      <c r="AA856">
        <v>7.44</v>
      </c>
      <c r="AB856" s="154" t="e">
        <f t="shared" si="125"/>
        <v>#VALUE!</v>
      </c>
      <c r="AC856">
        <v>7.44</v>
      </c>
      <c r="AD856" s="154" t="e">
        <f t="shared" si="126"/>
        <v>#VALUE!</v>
      </c>
      <c r="AE856">
        <v>7.44</v>
      </c>
    </row>
    <row r="857" spans="12:31" ht="15" x14ac:dyDescent="0.2">
      <c r="L857" s="154" t="e">
        <f t="shared" si="117"/>
        <v>#VALUE!</v>
      </c>
      <c r="M857">
        <v>7.45</v>
      </c>
      <c r="N857" s="154" t="e">
        <f t="shared" si="118"/>
        <v>#VALUE!</v>
      </c>
      <c r="O857">
        <v>7.45</v>
      </c>
      <c r="P857" s="154" t="e">
        <f t="shared" si="119"/>
        <v>#VALUE!</v>
      </c>
      <c r="Q857">
        <v>7.45</v>
      </c>
      <c r="R857" s="154" t="e">
        <f t="shared" si="120"/>
        <v>#VALUE!</v>
      </c>
      <c r="S857">
        <v>7.45</v>
      </c>
      <c r="T857" s="154" t="e">
        <f t="shared" si="121"/>
        <v>#VALUE!</v>
      </c>
      <c r="U857">
        <v>7.45</v>
      </c>
      <c r="V857" s="154" t="e">
        <f t="shared" si="122"/>
        <v>#VALUE!</v>
      </c>
      <c r="W857">
        <v>7.45</v>
      </c>
      <c r="X857" s="157" t="e">
        <f t="shared" si="123"/>
        <v>#VALUE!</v>
      </c>
      <c r="Y857">
        <v>7.45</v>
      </c>
      <c r="Z857" s="154" t="e">
        <f t="shared" si="124"/>
        <v>#VALUE!</v>
      </c>
      <c r="AA857">
        <v>7.45</v>
      </c>
      <c r="AB857" s="154" t="e">
        <f t="shared" si="125"/>
        <v>#VALUE!</v>
      </c>
      <c r="AC857">
        <v>7.45</v>
      </c>
      <c r="AD857" s="154" t="e">
        <f t="shared" si="126"/>
        <v>#VALUE!</v>
      </c>
      <c r="AE857">
        <v>7.45</v>
      </c>
    </row>
    <row r="858" spans="12:31" ht="15" x14ac:dyDescent="0.2">
      <c r="L858" s="154" t="e">
        <f t="shared" si="117"/>
        <v>#VALUE!</v>
      </c>
      <c r="M858">
        <v>7.46</v>
      </c>
      <c r="N858" s="154" t="e">
        <f t="shared" si="118"/>
        <v>#VALUE!</v>
      </c>
      <c r="O858">
        <v>7.46</v>
      </c>
      <c r="P858" s="154" t="e">
        <f t="shared" si="119"/>
        <v>#VALUE!</v>
      </c>
      <c r="Q858">
        <v>7.46</v>
      </c>
      <c r="R858" s="154" t="e">
        <f t="shared" si="120"/>
        <v>#VALUE!</v>
      </c>
      <c r="S858">
        <v>7.46</v>
      </c>
      <c r="T858" s="154" t="e">
        <f t="shared" si="121"/>
        <v>#VALUE!</v>
      </c>
      <c r="U858">
        <v>7.46</v>
      </c>
      <c r="V858" s="154" t="e">
        <f t="shared" si="122"/>
        <v>#VALUE!</v>
      </c>
      <c r="W858">
        <v>7.46</v>
      </c>
      <c r="X858" s="157" t="e">
        <f t="shared" si="123"/>
        <v>#VALUE!</v>
      </c>
      <c r="Y858">
        <v>7.46</v>
      </c>
      <c r="Z858" s="154" t="e">
        <f t="shared" si="124"/>
        <v>#VALUE!</v>
      </c>
      <c r="AA858">
        <v>7.46</v>
      </c>
      <c r="AB858" s="154" t="e">
        <f t="shared" si="125"/>
        <v>#VALUE!</v>
      </c>
      <c r="AC858">
        <v>7.46</v>
      </c>
      <c r="AD858" s="154" t="e">
        <f t="shared" si="126"/>
        <v>#VALUE!</v>
      </c>
      <c r="AE858">
        <v>7.46</v>
      </c>
    </row>
    <row r="859" spans="12:31" ht="15" x14ac:dyDescent="0.2">
      <c r="L859" s="154" t="e">
        <f t="shared" si="117"/>
        <v>#VALUE!</v>
      </c>
      <c r="M859">
        <v>7.47</v>
      </c>
      <c r="N859" s="154" t="e">
        <f t="shared" si="118"/>
        <v>#VALUE!</v>
      </c>
      <c r="O859">
        <v>7.47</v>
      </c>
      <c r="P859" s="154" t="e">
        <f t="shared" si="119"/>
        <v>#VALUE!</v>
      </c>
      <c r="Q859">
        <v>7.47</v>
      </c>
      <c r="R859" s="154" t="e">
        <f t="shared" si="120"/>
        <v>#VALUE!</v>
      </c>
      <c r="S859">
        <v>7.47</v>
      </c>
      <c r="T859" s="154" t="e">
        <f t="shared" si="121"/>
        <v>#VALUE!</v>
      </c>
      <c r="U859">
        <v>7.47</v>
      </c>
      <c r="V859" s="154" t="e">
        <f t="shared" si="122"/>
        <v>#VALUE!</v>
      </c>
      <c r="W859">
        <v>7.47</v>
      </c>
      <c r="X859" s="157" t="e">
        <f t="shared" si="123"/>
        <v>#VALUE!</v>
      </c>
      <c r="Y859">
        <v>7.47</v>
      </c>
      <c r="Z859" s="154" t="e">
        <f t="shared" si="124"/>
        <v>#VALUE!</v>
      </c>
      <c r="AA859">
        <v>7.47</v>
      </c>
      <c r="AB859" s="154" t="e">
        <f t="shared" si="125"/>
        <v>#VALUE!</v>
      </c>
      <c r="AC859">
        <v>7.47</v>
      </c>
      <c r="AD859" s="154" t="e">
        <f t="shared" si="126"/>
        <v>#VALUE!</v>
      </c>
      <c r="AE859">
        <v>7.47</v>
      </c>
    </row>
    <row r="860" spans="12:31" ht="15" x14ac:dyDescent="0.2">
      <c r="L860" s="154" t="e">
        <f t="shared" si="117"/>
        <v>#VALUE!</v>
      </c>
      <c r="M860">
        <v>7.48</v>
      </c>
      <c r="N860" s="154" t="e">
        <f t="shared" si="118"/>
        <v>#VALUE!</v>
      </c>
      <c r="O860">
        <v>7.48</v>
      </c>
      <c r="P860" s="154" t="e">
        <f t="shared" si="119"/>
        <v>#VALUE!</v>
      </c>
      <c r="Q860">
        <v>7.48</v>
      </c>
      <c r="R860" s="154" t="e">
        <f t="shared" si="120"/>
        <v>#VALUE!</v>
      </c>
      <c r="S860">
        <v>7.48</v>
      </c>
      <c r="T860" s="154" t="e">
        <f t="shared" si="121"/>
        <v>#VALUE!</v>
      </c>
      <c r="U860">
        <v>7.48</v>
      </c>
      <c r="V860" s="154" t="e">
        <f t="shared" si="122"/>
        <v>#VALUE!</v>
      </c>
      <c r="W860">
        <v>7.48</v>
      </c>
      <c r="X860" s="157" t="e">
        <f t="shared" si="123"/>
        <v>#VALUE!</v>
      </c>
      <c r="Y860">
        <v>7.48</v>
      </c>
      <c r="Z860" s="154" t="e">
        <f t="shared" si="124"/>
        <v>#VALUE!</v>
      </c>
      <c r="AA860">
        <v>7.48</v>
      </c>
      <c r="AB860" s="154" t="e">
        <f t="shared" si="125"/>
        <v>#VALUE!</v>
      </c>
      <c r="AC860">
        <v>7.48</v>
      </c>
      <c r="AD860" s="154" t="e">
        <f t="shared" si="126"/>
        <v>#VALUE!</v>
      </c>
      <c r="AE860">
        <v>7.48</v>
      </c>
    </row>
    <row r="861" spans="12:31" ht="15" x14ac:dyDescent="0.2">
      <c r="L861" s="154" t="e">
        <f t="shared" si="117"/>
        <v>#VALUE!</v>
      </c>
      <c r="M861">
        <v>7.49</v>
      </c>
      <c r="N861" s="154" t="e">
        <f t="shared" si="118"/>
        <v>#VALUE!</v>
      </c>
      <c r="O861">
        <v>7.49</v>
      </c>
      <c r="P861" s="154" t="e">
        <f t="shared" si="119"/>
        <v>#VALUE!</v>
      </c>
      <c r="Q861">
        <v>7.49</v>
      </c>
      <c r="R861" s="154" t="e">
        <f t="shared" si="120"/>
        <v>#VALUE!</v>
      </c>
      <c r="S861">
        <v>7.49</v>
      </c>
      <c r="T861" s="154" t="e">
        <f t="shared" si="121"/>
        <v>#VALUE!</v>
      </c>
      <c r="U861">
        <v>7.49</v>
      </c>
      <c r="V861" s="154" t="e">
        <f t="shared" si="122"/>
        <v>#VALUE!</v>
      </c>
      <c r="W861">
        <v>7.49</v>
      </c>
      <c r="X861" s="157" t="e">
        <f t="shared" si="123"/>
        <v>#VALUE!</v>
      </c>
      <c r="Y861">
        <v>7.49</v>
      </c>
      <c r="Z861" s="154" t="e">
        <f t="shared" si="124"/>
        <v>#VALUE!</v>
      </c>
      <c r="AA861">
        <v>7.49</v>
      </c>
      <c r="AB861" s="154" t="e">
        <f t="shared" si="125"/>
        <v>#VALUE!</v>
      </c>
      <c r="AC861">
        <v>7.49</v>
      </c>
      <c r="AD861" s="154" t="e">
        <f t="shared" si="126"/>
        <v>#VALUE!</v>
      </c>
      <c r="AE861">
        <v>7.49</v>
      </c>
    </row>
    <row r="862" spans="12:31" ht="15" x14ac:dyDescent="0.2">
      <c r="L862" s="154" t="e">
        <f t="shared" si="117"/>
        <v>#VALUE!</v>
      </c>
      <c r="M862">
        <v>7.5</v>
      </c>
      <c r="N862" s="154" t="e">
        <f t="shared" si="118"/>
        <v>#VALUE!</v>
      </c>
      <c r="O862">
        <v>7.5</v>
      </c>
      <c r="P862" s="154" t="e">
        <f t="shared" si="119"/>
        <v>#VALUE!</v>
      </c>
      <c r="Q862">
        <v>7.5</v>
      </c>
      <c r="R862" s="154" t="e">
        <f t="shared" si="120"/>
        <v>#VALUE!</v>
      </c>
      <c r="S862">
        <v>7.5</v>
      </c>
      <c r="T862" s="154" t="e">
        <f t="shared" si="121"/>
        <v>#VALUE!</v>
      </c>
      <c r="U862">
        <v>7.5</v>
      </c>
      <c r="V862" s="154" t="e">
        <f t="shared" si="122"/>
        <v>#VALUE!</v>
      </c>
      <c r="W862">
        <v>7.5</v>
      </c>
      <c r="X862" s="157" t="e">
        <f t="shared" si="123"/>
        <v>#VALUE!</v>
      </c>
      <c r="Y862">
        <v>7.5</v>
      </c>
      <c r="Z862" s="154" t="e">
        <f t="shared" si="124"/>
        <v>#VALUE!</v>
      </c>
      <c r="AA862">
        <v>7.5</v>
      </c>
      <c r="AB862" s="154" t="e">
        <f t="shared" si="125"/>
        <v>#VALUE!</v>
      </c>
      <c r="AC862">
        <v>7.5</v>
      </c>
      <c r="AD862" s="154" t="e">
        <f t="shared" si="126"/>
        <v>#VALUE!</v>
      </c>
      <c r="AE862">
        <v>7.5</v>
      </c>
    </row>
    <row r="863" spans="12:31" ht="15" x14ac:dyDescent="0.2">
      <c r="L863" s="154" t="e">
        <f t="shared" si="117"/>
        <v>#VALUE!</v>
      </c>
      <c r="M863">
        <v>7.51</v>
      </c>
      <c r="N863" s="154" t="e">
        <f t="shared" si="118"/>
        <v>#VALUE!</v>
      </c>
      <c r="O863">
        <v>7.51</v>
      </c>
      <c r="P863" s="154" t="e">
        <f t="shared" si="119"/>
        <v>#VALUE!</v>
      </c>
      <c r="Q863">
        <v>7.51</v>
      </c>
      <c r="R863" s="154" t="e">
        <f t="shared" si="120"/>
        <v>#VALUE!</v>
      </c>
      <c r="S863">
        <v>7.51</v>
      </c>
      <c r="T863" s="154" t="e">
        <f t="shared" si="121"/>
        <v>#VALUE!</v>
      </c>
      <c r="U863">
        <v>7.51</v>
      </c>
      <c r="V863" s="154" t="e">
        <f t="shared" si="122"/>
        <v>#VALUE!</v>
      </c>
      <c r="W863">
        <v>7.51</v>
      </c>
      <c r="X863" s="157" t="e">
        <f t="shared" si="123"/>
        <v>#VALUE!</v>
      </c>
      <c r="Y863">
        <v>7.51</v>
      </c>
      <c r="Z863" s="154" t="e">
        <f t="shared" si="124"/>
        <v>#VALUE!</v>
      </c>
      <c r="AA863">
        <v>7.51</v>
      </c>
      <c r="AB863" s="154" t="e">
        <f t="shared" si="125"/>
        <v>#VALUE!</v>
      </c>
      <c r="AC863">
        <v>7.51</v>
      </c>
      <c r="AD863" s="154" t="e">
        <f t="shared" si="126"/>
        <v>#VALUE!</v>
      </c>
      <c r="AE863">
        <v>7.51</v>
      </c>
    </row>
    <row r="864" spans="12:31" ht="15" x14ac:dyDescent="0.2">
      <c r="L864" s="154" t="e">
        <f t="shared" si="117"/>
        <v>#VALUE!</v>
      </c>
      <c r="M864">
        <v>7.52</v>
      </c>
      <c r="N864" s="154" t="e">
        <f t="shared" si="118"/>
        <v>#VALUE!</v>
      </c>
      <c r="O864">
        <v>7.52</v>
      </c>
      <c r="P864" s="154" t="e">
        <f t="shared" si="119"/>
        <v>#VALUE!</v>
      </c>
      <c r="Q864">
        <v>7.52</v>
      </c>
      <c r="R864" s="154" t="e">
        <f t="shared" si="120"/>
        <v>#VALUE!</v>
      </c>
      <c r="S864">
        <v>7.52</v>
      </c>
      <c r="T864" s="154" t="e">
        <f t="shared" si="121"/>
        <v>#VALUE!</v>
      </c>
      <c r="U864">
        <v>7.52</v>
      </c>
      <c r="V864" s="154" t="e">
        <f t="shared" si="122"/>
        <v>#VALUE!</v>
      </c>
      <c r="W864">
        <v>7.52</v>
      </c>
      <c r="X864" s="157" t="e">
        <f t="shared" si="123"/>
        <v>#VALUE!</v>
      </c>
      <c r="Y864">
        <v>7.52</v>
      </c>
      <c r="Z864" s="154" t="e">
        <f t="shared" si="124"/>
        <v>#VALUE!</v>
      </c>
      <c r="AA864">
        <v>7.52</v>
      </c>
      <c r="AB864" s="154" t="e">
        <f t="shared" si="125"/>
        <v>#VALUE!</v>
      </c>
      <c r="AC864">
        <v>7.52</v>
      </c>
      <c r="AD864" s="154" t="e">
        <f t="shared" si="126"/>
        <v>#VALUE!</v>
      </c>
      <c r="AE864">
        <v>7.52</v>
      </c>
    </row>
    <row r="865" spans="12:31" ht="15" x14ac:dyDescent="0.2">
      <c r="L865" s="154" t="e">
        <f t="shared" si="117"/>
        <v>#VALUE!</v>
      </c>
      <c r="M865">
        <v>7.53</v>
      </c>
      <c r="N865" s="154" t="e">
        <f t="shared" si="118"/>
        <v>#VALUE!</v>
      </c>
      <c r="O865">
        <v>7.53</v>
      </c>
      <c r="P865" s="154" t="e">
        <f t="shared" si="119"/>
        <v>#VALUE!</v>
      </c>
      <c r="Q865">
        <v>7.53</v>
      </c>
      <c r="R865" s="154" t="e">
        <f t="shared" si="120"/>
        <v>#VALUE!</v>
      </c>
      <c r="S865">
        <v>7.53</v>
      </c>
      <c r="T865" s="154" t="e">
        <f t="shared" si="121"/>
        <v>#VALUE!</v>
      </c>
      <c r="U865">
        <v>7.53</v>
      </c>
      <c r="V865" s="154" t="e">
        <f t="shared" si="122"/>
        <v>#VALUE!</v>
      </c>
      <c r="W865">
        <v>7.53</v>
      </c>
      <c r="X865" s="157" t="e">
        <f t="shared" si="123"/>
        <v>#VALUE!</v>
      </c>
      <c r="Y865">
        <v>7.53</v>
      </c>
      <c r="Z865" s="154" t="e">
        <f t="shared" si="124"/>
        <v>#VALUE!</v>
      </c>
      <c r="AA865">
        <v>7.53</v>
      </c>
      <c r="AB865" s="154" t="e">
        <f t="shared" si="125"/>
        <v>#VALUE!</v>
      </c>
      <c r="AC865">
        <v>7.53</v>
      </c>
      <c r="AD865" s="154" t="e">
        <f t="shared" si="126"/>
        <v>#VALUE!</v>
      </c>
      <c r="AE865">
        <v>7.53</v>
      </c>
    </row>
    <row r="866" spans="12:31" ht="15" x14ac:dyDescent="0.2">
      <c r="L866" s="154" t="e">
        <f t="shared" si="117"/>
        <v>#VALUE!</v>
      </c>
      <c r="M866">
        <v>7.54</v>
      </c>
      <c r="N866" s="154" t="e">
        <f t="shared" si="118"/>
        <v>#VALUE!</v>
      </c>
      <c r="O866">
        <v>7.54</v>
      </c>
      <c r="P866" s="154" t="e">
        <f t="shared" si="119"/>
        <v>#VALUE!</v>
      </c>
      <c r="Q866">
        <v>7.54</v>
      </c>
      <c r="R866" s="154" t="e">
        <f t="shared" si="120"/>
        <v>#VALUE!</v>
      </c>
      <c r="S866">
        <v>7.54</v>
      </c>
      <c r="T866" s="154" t="e">
        <f t="shared" si="121"/>
        <v>#VALUE!</v>
      </c>
      <c r="U866">
        <v>7.54</v>
      </c>
      <c r="V866" s="154" t="e">
        <f t="shared" si="122"/>
        <v>#VALUE!</v>
      </c>
      <c r="W866">
        <v>7.54</v>
      </c>
      <c r="X866" s="157" t="e">
        <f t="shared" si="123"/>
        <v>#VALUE!</v>
      </c>
      <c r="Y866">
        <v>7.54</v>
      </c>
      <c r="Z866" s="154" t="e">
        <f t="shared" si="124"/>
        <v>#VALUE!</v>
      </c>
      <c r="AA866">
        <v>7.54</v>
      </c>
      <c r="AB866" s="154" t="e">
        <f t="shared" si="125"/>
        <v>#VALUE!</v>
      </c>
      <c r="AC866">
        <v>7.54</v>
      </c>
      <c r="AD866" s="154" t="e">
        <f t="shared" si="126"/>
        <v>#VALUE!</v>
      </c>
      <c r="AE866">
        <v>7.54</v>
      </c>
    </row>
    <row r="867" spans="12:31" ht="15" x14ac:dyDescent="0.2">
      <c r="L867" s="154" t="e">
        <f t="shared" si="117"/>
        <v>#VALUE!</v>
      </c>
      <c r="M867">
        <v>7.55</v>
      </c>
      <c r="N867" s="154" t="e">
        <f t="shared" si="118"/>
        <v>#VALUE!</v>
      </c>
      <c r="O867">
        <v>7.55</v>
      </c>
      <c r="P867" s="154" t="e">
        <f t="shared" si="119"/>
        <v>#VALUE!</v>
      </c>
      <c r="Q867">
        <v>7.55</v>
      </c>
      <c r="R867" s="154" t="e">
        <f t="shared" si="120"/>
        <v>#VALUE!</v>
      </c>
      <c r="S867">
        <v>7.55</v>
      </c>
      <c r="T867" s="154" t="e">
        <f t="shared" si="121"/>
        <v>#VALUE!</v>
      </c>
      <c r="U867">
        <v>7.55</v>
      </c>
      <c r="V867" s="154" t="e">
        <f t="shared" si="122"/>
        <v>#VALUE!</v>
      </c>
      <c r="W867">
        <v>7.55</v>
      </c>
      <c r="X867" s="157" t="e">
        <f t="shared" si="123"/>
        <v>#VALUE!</v>
      </c>
      <c r="Y867">
        <v>7.55</v>
      </c>
      <c r="Z867" s="154" t="e">
        <f t="shared" si="124"/>
        <v>#VALUE!</v>
      </c>
      <c r="AA867">
        <v>7.55</v>
      </c>
      <c r="AB867" s="154" t="e">
        <f t="shared" si="125"/>
        <v>#VALUE!</v>
      </c>
      <c r="AC867">
        <v>7.55</v>
      </c>
      <c r="AD867" s="154" t="e">
        <f t="shared" si="126"/>
        <v>#VALUE!</v>
      </c>
      <c r="AE867">
        <v>7.55</v>
      </c>
    </row>
    <row r="868" spans="12:31" ht="15" x14ac:dyDescent="0.2">
      <c r="L868" s="154" t="e">
        <f t="shared" si="117"/>
        <v>#VALUE!</v>
      </c>
      <c r="M868">
        <v>7.56</v>
      </c>
      <c r="N868" s="154" t="e">
        <f t="shared" si="118"/>
        <v>#VALUE!</v>
      </c>
      <c r="O868">
        <v>7.56</v>
      </c>
      <c r="P868" s="154" t="e">
        <f t="shared" si="119"/>
        <v>#VALUE!</v>
      </c>
      <c r="Q868">
        <v>7.56</v>
      </c>
      <c r="R868" s="154" t="e">
        <f t="shared" si="120"/>
        <v>#VALUE!</v>
      </c>
      <c r="S868">
        <v>7.56</v>
      </c>
      <c r="T868" s="154" t="e">
        <f t="shared" si="121"/>
        <v>#VALUE!</v>
      </c>
      <c r="U868">
        <v>7.56</v>
      </c>
      <c r="V868" s="154" t="e">
        <f t="shared" si="122"/>
        <v>#VALUE!</v>
      </c>
      <c r="W868">
        <v>7.56</v>
      </c>
      <c r="X868" s="157" t="e">
        <f t="shared" si="123"/>
        <v>#VALUE!</v>
      </c>
      <c r="Y868">
        <v>7.56</v>
      </c>
      <c r="Z868" s="154" t="e">
        <f t="shared" si="124"/>
        <v>#VALUE!</v>
      </c>
      <c r="AA868">
        <v>7.56</v>
      </c>
      <c r="AB868" s="154" t="e">
        <f t="shared" si="125"/>
        <v>#VALUE!</v>
      </c>
      <c r="AC868">
        <v>7.56</v>
      </c>
      <c r="AD868" s="154" t="e">
        <f t="shared" si="126"/>
        <v>#VALUE!</v>
      </c>
      <c r="AE868">
        <v>7.56</v>
      </c>
    </row>
    <row r="869" spans="12:31" ht="15" x14ac:dyDescent="0.2">
      <c r="L869" s="154" t="e">
        <f t="shared" si="117"/>
        <v>#VALUE!</v>
      </c>
      <c r="M869">
        <v>7.57</v>
      </c>
      <c r="N869" s="154" t="e">
        <f t="shared" si="118"/>
        <v>#VALUE!</v>
      </c>
      <c r="O869">
        <v>7.57</v>
      </c>
      <c r="P869" s="154" t="e">
        <f t="shared" si="119"/>
        <v>#VALUE!</v>
      </c>
      <c r="Q869">
        <v>7.57</v>
      </c>
      <c r="R869" s="154" t="e">
        <f t="shared" si="120"/>
        <v>#VALUE!</v>
      </c>
      <c r="S869">
        <v>7.57</v>
      </c>
      <c r="T869" s="154" t="e">
        <f t="shared" si="121"/>
        <v>#VALUE!</v>
      </c>
      <c r="U869">
        <v>7.57</v>
      </c>
      <c r="V869" s="154" t="e">
        <f t="shared" si="122"/>
        <v>#VALUE!</v>
      </c>
      <c r="W869">
        <v>7.57</v>
      </c>
      <c r="X869" s="157" t="e">
        <f t="shared" si="123"/>
        <v>#VALUE!</v>
      </c>
      <c r="Y869">
        <v>7.57</v>
      </c>
      <c r="Z869" s="154" t="e">
        <f t="shared" si="124"/>
        <v>#VALUE!</v>
      </c>
      <c r="AA869">
        <v>7.57</v>
      </c>
      <c r="AB869" s="154" t="e">
        <f t="shared" si="125"/>
        <v>#VALUE!</v>
      </c>
      <c r="AC869">
        <v>7.57</v>
      </c>
      <c r="AD869" s="154" t="e">
        <f t="shared" si="126"/>
        <v>#VALUE!</v>
      </c>
      <c r="AE869">
        <v>7.57</v>
      </c>
    </row>
    <row r="870" spans="12:31" ht="15" x14ac:dyDescent="0.2">
      <c r="L870" s="154" t="e">
        <f t="shared" si="117"/>
        <v>#VALUE!</v>
      </c>
      <c r="M870">
        <v>7.58</v>
      </c>
      <c r="N870" s="154" t="e">
        <f t="shared" si="118"/>
        <v>#VALUE!</v>
      </c>
      <c r="O870">
        <v>7.58</v>
      </c>
      <c r="P870" s="154" t="e">
        <f t="shared" si="119"/>
        <v>#VALUE!</v>
      </c>
      <c r="Q870">
        <v>7.58</v>
      </c>
      <c r="R870" s="154" t="e">
        <f t="shared" si="120"/>
        <v>#VALUE!</v>
      </c>
      <c r="S870">
        <v>7.58</v>
      </c>
      <c r="T870" s="154" t="e">
        <f t="shared" si="121"/>
        <v>#VALUE!</v>
      </c>
      <c r="U870">
        <v>7.58</v>
      </c>
      <c r="V870" s="154" t="e">
        <f t="shared" si="122"/>
        <v>#VALUE!</v>
      </c>
      <c r="W870">
        <v>7.58</v>
      </c>
      <c r="X870" s="157" t="e">
        <f t="shared" si="123"/>
        <v>#VALUE!</v>
      </c>
      <c r="Y870">
        <v>7.58</v>
      </c>
      <c r="Z870" s="154" t="e">
        <f t="shared" si="124"/>
        <v>#VALUE!</v>
      </c>
      <c r="AA870">
        <v>7.58</v>
      </c>
      <c r="AB870" s="154" t="e">
        <f t="shared" si="125"/>
        <v>#VALUE!</v>
      </c>
      <c r="AC870">
        <v>7.58</v>
      </c>
      <c r="AD870" s="154" t="e">
        <f t="shared" si="126"/>
        <v>#VALUE!</v>
      </c>
      <c r="AE870">
        <v>7.58</v>
      </c>
    </row>
    <row r="871" spans="12:31" ht="15" x14ac:dyDescent="0.2">
      <c r="L871" s="154" t="e">
        <f t="shared" si="117"/>
        <v>#VALUE!</v>
      </c>
      <c r="M871">
        <v>7.59</v>
      </c>
      <c r="N871" s="154" t="e">
        <f t="shared" si="118"/>
        <v>#VALUE!</v>
      </c>
      <c r="O871">
        <v>7.59</v>
      </c>
      <c r="P871" s="154" t="e">
        <f t="shared" si="119"/>
        <v>#VALUE!</v>
      </c>
      <c r="Q871">
        <v>7.59</v>
      </c>
      <c r="R871" s="154" t="e">
        <f t="shared" si="120"/>
        <v>#VALUE!</v>
      </c>
      <c r="S871">
        <v>7.59</v>
      </c>
      <c r="T871" s="154" t="e">
        <f t="shared" si="121"/>
        <v>#VALUE!</v>
      </c>
      <c r="U871">
        <v>7.59</v>
      </c>
      <c r="V871" s="154" t="e">
        <f t="shared" si="122"/>
        <v>#VALUE!</v>
      </c>
      <c r="W871">
        <v>7.59</v>
      </c>
      <c r="X871" s="157" t="e">
        <f t="shared" si="123"/>
        <v>#VALUE!</v>
      </c>
      <c r="Y871">
        <v>7.59</v>
      </c>
      <c r="Z871" s="154" t="e">
        <f t="shared" si="124"/>
        <v>#VALUE!</v>
      </c>
      <c r="AA871">
        <v>7.59</v>
      </c>
      <c r="AB871" s="154" t="e">
        <f t="shared" si="125"/>
        <v>#VALUE!</v>
      </c>
      <c r="AC871">
        <v>7.59</v>
      </c>
      <c r="AD871" s="154" t="e">
        <f t="shared" si="126"/>
        <v>#VALUE!</v>
      </c>
      <c r="AE871">
        <v>7.59</v>
      </c>
    </row>
    <row r="872" spans="12:31" ht="15" x14ac:dyDescent="0.2">
      <c r="L872" s="154" t="e">
        <f t="shared" si="117"/>
        <v>#VALUE!</v>
      </c>
      <c r="M872">
        <v>7.6</v>
      </c>
      <c r="N872" s="154" t="e">
        <f t="shared" si="118"/>
        <v>#VALUE!</v>
      </c>
      <c r="O872">
        <v>7.6</v>
      </c>
      <c r="P872" s="154" t="e">
        <f t="shared" si="119"/>
        <v>#VALUE!</v>
      </c>
      <c r="Q872">
        <v>7.6</v>
      </c>
      <c r="R872" s="154" t="e">
        <f t="shared" si="120"/>
        <v>#VALUE!</v>
      </c>
      <c r="S872">
        <v>7.6</v>
      </c>
      <c r="T872" s="154" t="e">
        <f t="shared" si="121"/>
        <v>#VALUE!</v>
      </c>
      <c r="U872">
        <v>7.6</v>
      </c>
      <c r="V872" s="154" t="e">
        <f t="shared" si="122"/>
        <v>#VALUE!</v>
      </c>
      <c r="W872">
        <v>7.6</v>
      </c>
      <c r="X872" s="157" t="e">
        <f t="shared" si="123"/>
        <v>#VALUE!</v>
      </c>
      <c r="Y872">
        <v>7.6</v>
      </c>
      <c r="Z872" s="154" t="e">
        <f t="shared" si="124"/>
        <v>#VALUE!</v>
      </c>
      <c r="AA872">
        <v>7.6</v>
      </c>
      <c r="AB872" s="154" t="e">
        <f t="shared" si="125"/>
        <v>#VALUE!</v>
      </c>
      <c r="AC872">
        <v>7.6</v>
      </c>
      <c r="AD872" s="154" t="e">
        <f t="shared" si="126"/>
        <v>#VALUE!</v>
      </c>
      <c r="AE872">
        <v>7.6</v>
      </c>
    </row>
    <row r="873" spans="12:31" ht="15" x14ac:dyDescent="0.2">
      <c r="L873" s="154" t="e">
        <f t="shared" si="117"/>
        <v>#VALUE!</v>
      </c>
      <c r="M873">
        <v>7.61</v>
      </c>
      <c r="N873" s="154" t="e">
        <f t="shared" si="118"/>
        <v>#VALUE!</v>
      </c>
      <c r="O873">
        <v>7.61</v>
      </c>
      <c r="P873" s="154" t="e">
        <f t="shared" si="119"/>
        <v>#VALUE!</v>
      </c>
      <c r="Q873">
        <v>7.61</v>
      </c>
      <c r="R873" s="154" t="e">
        <f t="shared" si="120"/>
        <v>#VALUE!</v>
      </c>
      <c r="S873">
        <v>7.61</v>
      </c>
      <c r="T873" s="154" t="e">
        <f t="shared" si="121"/>
        <v>#VALUE!</v>
      </c>
      <c r="U873">
        <v>7.61</v>
      </c>
      <c r="V873" s="154" t="e">
        <f t="shared" si="122"/>
        <v>#VALUE!</v>
      </c>
      <c r="W873">
        <v>7.61</v>
      </c>
      <c r="X873" s="157" t="e">
        <f t="shared" si="123"/>
        <v>#VALUE!</v>
      </c>
      <c r="Y873">
        <v>7.61</v>
      </c>
      <c r="Z873" s="154" t="e">
        <f t="shared" si="124"/>
        <v>#VALUE!</v>
      </c>
      <c r="AA873">
        <v>7.61</v>
      </c>
      <c r="AB873" s="154" t="e">
        <f t="shared" si="125"/>
        <v>#VALUE!</v>
      </c>
      <c r="AC873">
        <v>7.61</v>
      </c>
      <c r="AD873" s="154" t="e">
        <f t="shared" si="126"/>
        <v>#VALUE!</v>
      </c>
      <c r="AE873">
        <v>7.61</v>
      </c>
    </row>
    <row r="874" spans="12:31" ht="15" x14ac:dyDescent="0.2">
      <c r="L874" s="154" t="e">
        <f t="shared" si="117"/>
        <v>#VALUE!</v>
      </c>
      <c r="M874">
        <v>7.62</v>
      </c>
      <c r="N874" s="154" t="e">
        <f t="shared" si="118"/>
        <v>#VALUE!</v>
      </c>
      <c r="O874">
        <v>7.62</v>
      </c>
      <c r="P874" s="154" t="e">
        <f t="shared" si="119"/>
        <v>#VALUE!</v>
      </c>
      <c r="Q874">
        <v>7.62</v>
      </c>
      <c r="R874" s="154" t="e">
        <f t="shared" si="120"/>
        <v>#VALUE!</v>
      </c>
      <c r="S874">
        <v>7.62</v>
      </c>
      <c r="T874" s="154" t="e">
        <f t="shared" si="121"/>
        <v>#VALUE!</v>
      </c>
      <c r="U874">
        <v>7.62</v>
      </c>
      <c r="V874" s="154" t="e">
        <f t="shared" si="122"/>
        <v>#VALUE!</v>
      </c>
      <c r="W874">
        <v>7.62</v>
      </c>
      <c r="X874" s="157" t="e">
        <f t="shared" si="123"/>
        <v>#VALUE!</v>
      </c>
      <c r="Y874">
        <v>7.62</v>
      </c>
      <c r="Z874" s="154" t="e">
        <f t="shared" si="124"/>
        <v>#VALUE!</v>
      </c>
      <c r="AA874">
        <v>7.62</v>
      </c>
      <c r="AB874" s="154" t="e">
        <f t="shared" si="125"/>
        <v>#VALUE!</v>
      </c>
      <c r="AC874">
        <v>7.62</v>
      </c>
      <c r="AD874" s="154" t="e">
        <f t="shared" si="126"/>
        <v>#VALUE!</v>
      </c>
      <c r="AE874">
        <v>7.62</v>
      </c>
    </row>
    <row r="875" spans="12:31" ht="15" x14ac:dyDescent="0.2">
      <c r="L875" s="154" t="e">
        <f t="shared" si="117"/>
        <v>#VALUE!</v>
      </c>
      <c r="M875">
        <v>7.63</v>
      </c>
      <c r="N875" s="154" t="e">
        <f t="shared" si="118"/>
        <v>#VALUE!</v>
      </c>
      <c r="O875">
        <v>7.63</v>
      </c>
      <c r="P875" s="154" t="e">
        <f t="shared" si="119"/>
        <v>#VALUE!</v>
      </c>
      <c r="Q875">
        <v>7.63</v>
      </c>
      <c r="R875" s="154" t="e">
        <f t="shared" si="120"/>
        <v>#VALUE!</v>
      </c>
      <c r="S875">
        <v>7.63</v>
      </c>
      <c r="T875" s="154" t="e">
        <f t="shared" si="121"/>
        <v>#VALUE!</v>
      </c>
      <c r="U875">
        <v>7.63</v>
      </c>
      <c r="V875" s="154" t="e">
        <f t="shared" si="122"/>
        <v>#VALUE!</v>
      </c>
      <c r="W875">
        <v>7.63</v>
      </c>
      <c r="X875" s="157" t="e">
        <f t="shared" si="123"/>
        <v>#VALUE!</v>
      </c>
      <c r="Y875">
        <v>7.63</v>
      </c>
      <c r="Z875" s="154" t="e">
        <f t="shared" si="124"/>
        <v>#VALUE!</v>
      </c>
      <c r="AA875">
        <v>7.63</v>
      </c>
      <c r="AB875" s="154" t="e">
        <f t="shared" si="125"/>
        <v>#VALUE!</v>
      </c>
      <c r="AC875">
        <v>7.63</v>
      </c>
      <c r="AD875" s="154" t="e">
        <f t="shared" si="126"/>
        <v>#VALUE!</v>
      </c>
      <c r="AE875">
        <v>7.63</v>
      </c>
    </row>
    <row r="876" spans="12:31" ht="15" x14ac:dyDescent="0.2">
      <c r="L876" s="154" t="e">
        <f t="shared" si="117"/>
        <v>#VALUE!</v>
      </c>
      <c r="M876">
        <v>7.64</v>
      </c>
      <c r="N876" s="154" t="e">
        <f t="shared" si="118"/>
        <v>#VALUE!</v>
      </c>
      <c r="O876">
        <v>7.64</v>
      </c>
      <c r="P876" s="154" t="e">
        <f t="shared" si="119"/>
        <v>#VALUE!</v>
      </c>
      <c r="Q876">
        <v>7.64</v>
      </c>
      <c r="R876" s="154" t="e">
        <f t="shared" si="120"/>
        <v>#VALUE!</v>
      </c>
      <c r="S876">
        <v>7.64</v>
      </c>
      <c r="T876" s="154" t="e">
        <f t="shared" si="121"/>
        <v>#VALUE!</v>
      </c>
      <c r="U876">
        <v>7.64</v>
      </c>
      <c r="V876" s="154" t="e">
        <f t="shared" si="122"/>
        <v>#VALUE!</v>
      </c>
      <c r="W876">
        <v>7.64</v>
      </c>
      <c r="X876" s="157" t="e">
        <f t="shared" si="123"/>
        <v>#VALUE!</v>
      </c>
      <c r="Y876">
        <v>7.64</v>
      </c>
      <c r="Z876" s="154" t="e">
        <f t="shared" si="124"/>
        <v>#VALUE!</v>
      </c>
      <c r="AA876">
        <v>7.64</v>
      </c>
      <c r="AB876" s="154" t="e">
        <f t="shared" si="125"/>
        <v>#VALUE!</v>
      </c>
      <c r="AC876">
        <v>7.64</v>
      </c>
      <c r="AD876" s="154" t="e">
        <f t="shared" si="126"/>
        <v>#VALUE!</v>
      </c>
      <c r="AE876">
        <v>7.64</v>
      </c>
    </row>
    <row r="877" spans="12:31" ht="15" x14ac:dyDescent="0.2">
      <c r="L877" s="154" t="e">
        <f t="shared" si="117"/>
        <v>#VALUE!</v>
      </c>
      <c r="M877">
        <v>7.65</v>
      </c>
      <c r="N877" s="154" t="e">
        <f t="shared" si="118"/>
        <v>#VALUE!</v>
      </c>
      <c r="O877">
        <v>7.65</v>
      </c>
      <c r="P877" s="154" t="e">
        <f t="shared" si="119"/>
        <v>#VALUE!</v>
      </c>
      <c r="Q877">
        <v>7.65</v>
      </c>
      <c r="R877" s="154" t="e">
        <f t="shared" si="120"/>
        <v>#VALUE!</v>
      </c>
      <c r="S877">
        <v>7.65</v>
      </c>
      <c r="T877" s="154" t="e">
        <f t="shared" si="121"/>
        <v>#VALUE!</v>
      </c>
      <c r="U877">
        <v>7.65</v>
      </c>
      <c r="V877" s="154" t="e">
        <f t="shared" si="122"/>
        <v>#VALUE!</v>
      </c>
      <c r="W877">
        <v>7.65</v>
      </c>
      <c r="X877" s="157" t="e">
        <f t="shared" si="123"/>
        <v>#VALUE!</v>
      </c>
      <c r="Y877">
        <v>7.65</v>
      </c>
      <c r="Z877" s="154" t="e">
        <f t="shared" si="124"/>
        <v>#VALUE!</v>
      </c>
      <c r="AA877">
        <v>7.65</v>
      </c>
      <c r="AB877" s="154" t="e">
        <f t="shared" si="125"/>
        <v>#VALUE!</v>
      </c>
      <c r="AC877">
        <v>7.65</v>
      </c>
      <c r="AD877" s="154" t="e">
        <f t="shared" si="126"/>
        <v>#VALUE!</v>
      </c>
      <c r="AE877">
        <v>7.65</v>
      </c>
    </row>
    <row r="878" spans="12:31" ht="15" x14ac:dyDescent="0.2">
      <c r="L878" s="154" t="e">
        <f t="shared" si="117"/>
        <v>#VALUE!</v>
      </c>
      <c r="M878">
        <v>7.66</v>
      </c>
      <c r="N878" s="154" t="e">
        <f t="shared" si="118"/>
        <v>#VALUE!</v>
      </c>
      <c r="O878">
        <v>7.66</v>
      </c>
      <c r="P878" s="154" t="e">
        <f t="shared" si="119"/>
        <v>#VALUE!</v>
      </c>
      <c r="Q878">
        <v>7.66</v>
      </c>
      <c r="R878" s="154" t="e">
        <f t="shared" si="120"/>
        <v>#VALUE!</v>
      </c>
      <c r="S878">
        <v>7.66</v>
      </c>
      <c r="T878" s="154" t="e">
        <f t="shared" si="121"/>
        <v>#VALUE!</v>
      </c>
      <c r="U878">
        <v>7.66</v>
      </c>
      <c r="V878" s="154" t="e">
        <f t="shared" si="122"/>
        <v>#VALUE!</v>
      </c>
      <c r="W878">
        <v>7.66</v>
      </c>
      <c r="X878" s="157" t="e">
        <f t="shared" si="123"/>
        <v>#VALUE!</v>
      </c>
      <c r="Y878">
        <v>7.66</v>
      </c>
      <c r="Z878" s="154" t="e">
        <f t="shared" si="124"/>
        <v>#VALUE!</v>
      </c>
      <c r="AA878">
        <v>7.66</v>
      </c>
      <c r="AB878" s="154" t="e">
        <f t="shared" si="125"/>
        <v>#VALUE!</v>
      </c>
      <c r="AC878">
        <v>7.66</v>
      </c>
      <c r="AD878" s="154" t="e">
        <f t="shared" si="126"/>
        <v>#VALUE!</v>
      </c>
      <c r="AE878">
        <v>7.66</v>
      </c>
    </row>
    <row r="879" spans="12:31" ht="15" x14ac:dyDescent="0.2">
      <c r="L879" s="154" t="e">
        <f t="shared" si="117"/>
        <v>#VALUE!</v>
      </c>
      <c r="M879">
        <v>7.67</v>
      </c>
      <c r="N879" s="154" t="e">
        <f t="shared" si="118"/>
        <v>#VALUE!</v>
      </c>
      <c r="O879">
        <v>7.67</v>
      </c>
      <c r="P879" s="154" t="e">
        <f t="shared" si="119"/>
        <v>#VALUE!</v>
      </c>
      <c r="Q879">
        <v>7.67</v>
      </c>
      <c r="R879" s="154" t="e">
        <f t="shared" si="120"/>
        <v>#VALUE!</v>
      </c>
      <c r="S879">
        <v>7.67</v>
      </c>
      <c r="T879" s="154" t="e">
        <f t="shared" si="121"/>
        <v>#VALUE!</v>
      </c>
      <c r="U879">
        <v>7.67</v>
      </c>
      <c r="V879" s="154" t="e">
        <f t="shared" si="122"/>
        <v>#VALUE!</v>
      </c>
      <c r="W879">
        <v>7.67</v>
      </c>
      <c r="X879" s="157" t="e">
        <f t="shared" si="123"/>
        <v>#VALUE!</v>
      </c>
      <c r="Y879">
        <v>7.67</v>
      </c>
      <c r="Z879" s="154" t="e">
        <f t="shared" si="124"/>
        <v>#VALUE!</v>
      </c>
      <c r="AA879">
        <v>7.67</v>
      </c>
      <c r="AB879" s="154" t="e">
        <f t="shared" si="125"/>
        <v>#VALUE!</v>
      </c>
      <c r="AC879">
        <v>7.67</v>
      </c>
      <c r="AD879" s="154" t="e">
        <f t="shared" si="126"/>
        <v>#VALUE!</v>
      </c>
      <c r="AE879">
        <v>7.67</v>
      </c>
    </row>
    <row r="880" spans="12:31" ht="15" x14ac:dyDescent="0.2">
      <c r="L880" s="154" t="e">
        <f t="shared" si="117"/>
        <v>#VALUE!</v>
      </c>
      <c r="M880">
        <v>7.68</v>
      </c>
      <c r="N880" s="154" t="e">
        <f t="shared" si="118"/>
        <v>#VALUE!</v>
      </c>
      <c r="O880">
        <v>7.68</v>
      </c>
      <c r="P880" s="154" t="e">
        <f t="shared" si="119"/>
        <v>#VALUE!</v>
      </c>
      <c r="Q880">
        <v>7.68</v>
      </c>
      <c r="R880" s="154" t="e">
        <f t="shared" si="120"/>
        <v>#VALUE!</v>
      </c>
      <c r="S880">
        <v>7.68</v>
      </c>
      <c r="T880" s="154" t="e">
        <f t="shared" si="121"/>
        <v>#VALUE!</v>
      </c>
      <c r="U880">
        <v>7.68</v>
      </c>
      <c r="V880" s="154" t="e">
        <f t="shared" si="122"/>
        <v>#VALUE!</v>
      </c>
      <c r="W880">
        <v>7.68</v>
      </c>
      <c r="X880" s="157" t="e">
        <f t="shared" si="123"/>
        <v>#VALUE!</v>
      </c>
      <c r="Y880">
        <v>7.68</v>
      </c>
      <c r="Z880" s="154" t="e">
        <f t="shared" si="124"/>
        <v>#VALUE!</v>
      </c>
      <c r="AA880">
        <v>7.68</v>
      </c>
      <c r="AB880" s="154" t="e">
        <f t="shared" si="125"/>
        <v>#VALUE!</v>
      </c>
      <c r="AC880">
        <v>7.68</v>
      </c>
      <c r="AD880" s="154" t="e">
        <f t="shared" si="126"/>
        <v>#VALUE!</v>
      </c>
      <c r="AE880">
        <v>7.68</v>
      </c>
    </row>
    <row r="881" spans="12:31" ht="15" x14ac:dyDescent="0.2">
      <c r="L881" s="154" t="e">
        <f t="shared" ref="L881:L944" si="127">((1.486/$D$33)*((((PI()*($D$46/12)^2)/4)-((($D$46/12)/2)^2*((2*ACOS(((($D$46/12)/2)-(($D$46/12)-(M881/12)))/(($D$46/12)/2)))-SIN(2*ACOS(((($D$46/12)/2)-(($D$46/12)-(M881/12)))/(($D$46/12)/2))))/2))/((PI()*($D$46/12))-((2*ACOS(((($D$46/12)/2)-(($D$46/12)-(M881/12)))/(($D$46/12)/2)))*(($D$46/12)/2))))^(2/3)*$H$17^0.5)*(((PI()*($D$46/12)^2)/4)-((($D$46/12)/2)^2*((2*ACOS(((($D$46/12)/2)-(($D$46/12)-(M881/12)))/(($D$46/12)/2)))-SIN(2*ACOS(((($D$46/12)/2)-(($D$46/12)-(M881/12)))/(($D$46/12)/2))))/2))</f>
        <v>#VALUE!</v>
      </c>
      <c r="M881">
        <v>7.69</v>
      </c>
      <c r="N881" s="154" t="e">
        <f t="shared" ref="N881:N944" si="128">((1.486/$D$34)*((((PI()*($D$47/12)^2)/4)-((($D$47/12)/2)^2*((2*ACOS(((($D$47/12)/2)-(($D$47/12)-(O881/12)))/(($D$47/12)/2)))-SIN(2*ACOS(((($D$47/12)/2)-(($D$47/12)-(O881/12)))/(($D$47/12)/2))))/2))/((PI()*($D$47/12))-((2*ACOS(((($D$47/12)/2)-(($D$47/12)-(O881/12)))/(($D$47/12)/2)))*(($D$47/12)/2))))^(2/3)*$H$18^0.5)*(((PI()*($D$47/12)^2)/4)-((($D$47/12)/2)^2*((2*ACOS(((($D$47/12)/2)-(($D$47/12)-(O881/12)))/(($D$47/12)/2)))-SIN(2*ACOS(((($D$47/12)/2)-(($D$47/12)-(O881/12)))/(($D$47/12)/2))))/2))</f>
        <v>#VALUE!</v>
      </c>
      <c r="O881">
        <v>7.69</v>
      </c>
      <c r="P881" s="154" t="e">
        <f t="shared" ref="P881:P944" si="129">((1.486/$D$35)*((((PI()*($D$48/12)^2)/4)-((($D$48/12)/2)^2*((2*ACOS(((($D$48/12)/2)-(($D$48/12)-(Q881/12)))/(($D$48/12)/2)))-SIN(2*ACOS(((($D$48/12)/2)-(($D$48/12)-(Q881/12)))/(($D$48/12)/2))))/2))/((PI()*($D$48/12))-((2*ACOS(((($D$48/12)/2)-(($D$48/12)-(Q881/12)))/(($D$48/12)/2)))*(($D$48/12)/2))))^(2/3)*$H$19^0.5)*(((PI()*($D$48/12)^2)/4)-((($D$48/12)/2)^2*((2*ACOS(((($D$48/12)/2)-(($D$48/12)-(Q881/12)))/(($D$48/12)/2)))-SIN(2*ACOS(((($D$48/12)/2)-(($D$48/12)-(Q881/12)))/(($D$48/12)/2))))/2))</f>
        <v>#VALUE!</v>
      </c>
      <c r="Q881">
        <v>7.69</v>
      </c>
      <c r="R881" s="154" t="e">
        <f t="shared" ref="R881:R944" si="130">((1.486/$D$36)*((((PI()*($D$49/12)^2)/4)-((($D$49/12)/2)^2*((2*ACOS(((($D$49/12)/2)-(($D$49/12)-(S881/12)))/(($D$49/12)/2)))-SIN(2*ACOS(((($D$49/12)/2)-(($D$49/12)-(S881/12)))/(($D$49/12)/2))))/2))/((PI()*($D$49/12))-((2*ACOS(((($D$49/12)/2)-(($D$49/12)-(S881/12)))/(($D$49/12)/2)))*(($D$49/12)/2))))^(2/3)*$H$20^0.5)*(((PI()*($D$49/12)^2)/4)-((($D$49/12)/2)^2*((2*ACOS(((($D$49/12)/2)-(($D$49/12)-(S881/12)))/(($D$49/12)/2)))-SIN(2*ACOS(((($D$49/12)/2)-(($D$49/12)-(S881/12)))/(($D$49/12)/2))))/2))</f>
        <v>#VALUE!</v>
      </c>
      <c r="S881">
        <v>7.69</v>
      </c>
      <c r="T881" s="154" t="e">
        <f t="shared" ref="T881:T944" si="131">((1.486/$D$37)*((((PI()*($D$50/12)^2)/4)-((($D$50/12)/2)^2*((2*ACOS(((($D$50/12)/2)-(($D$50/12)-(U881/12)))/(($D$50/12)/2)))-SIN(2*ACOS(((($D$50/12)/2)-(($D$50/12)-(U881/12)))/(($D$50/12)/2))))/2))/((PI()*($D$50/12))-((2*ACOS(((($D$50/12)/2)-(($D$50/12)-(U881/12)))/(($D$50/12)/2)))*(($D$50/12)/2))))^(2/3)*$H$21^0.5)*(((PI()*($D$50/12)^2)/4)-((($D$50/12)/2)^2*((2*ACOS(((($D$50/12)/2)-(($D$50/12)-(U881/12)))/(($D$50/12)/2)))-SIN(2*ACOS(((($D$50/12)/2)-(($D$50/12)-(U881/12)))/(($D$50/12)/2))))/2))</f>
        <v>#VALUE!</v>
      </c>
      <c r="U881">
        <v>7.69</v>
      </c>
      <c r="V881" s="154" t="e">
        <f t="shared" ref="V881:V944" si="132">((1.486/$D$38)*((((PI()*($D$51/12)^2)/4)-((($D$51/12)/2)^2*((2*ACOS(((($D$51/12)/2)-(($D$51/12)-(W881/12)))/(($D$51/12)/2)))-SIN(2*ACOS(((($D$51/12)/2)-(($D$51/12)-(W881/12)))/(($D$51/12)/2))))/2))/((PI()*($D$51/12))-((2*ACOS(((($D$51/12)/2)-(($D$51/12)-(W881/12)))/(($D$51/12)/2)))*(($D$51/12)/2))))^(2/3)*$H$22^0.5)*(((PI()*($D$51/12)^2)/4)-((($D$51/12)/2)^2*((2*ACOS(((($D$51/12)/2)-(($D$51/12)-(W881/12)))/(($D$51/12)/2)))-SIN(2*ACOS(((($D$51/12)/2)-(($D$51/12)-(W881/12)))/(($D$51/12)/2))))/2))</f>
        <v>#VALUE!</v>
      </c>
      <c r="W881">
        <v>7.69</v>
      </c>
      <c r="X881" s="157" t="e">
        <f t="shared" ref="X881:X944" si="133">((1.486/$D$39)*((((PI()*($D$52/12)^2)/4)-((($D$52/12)/2)^2*((2*ACOS(((($D$52/12)/2)-(($D$52/12)-(Y881/12)))/(($D$52/12)/2)))-SIN(2*ACOS(((($D$52/12)/2)-(($D$52/12)-(Y881/12)))/(($D$52/12)/2))))/2))/((PI()*($D$52/12))-((2*ACOS(((($D$52/12)/2)-(($D$52/12)-(Y881/12)))/(($D$52/12)/2)))*(($D$52/12)/2))))^(2/3)*$H$23^0.5)*(((PI()*($D$52/12)^2)/4)-((($D$52/12)/2)^2*((2*ACOS(((($D$52/12)/2)-(($D$52/12)-(Y881/12)))/(($D$52/12)/2)))-SIN(2*ACOS(((($D$52/12)/2)-(($D$52/12)-(Y881/12)))/(($D$52/12)/2))))/2))</f>
        <v>#VALUE!</v>
      </c>
      <c r="Y881">
        <v>7.69</v>
      </c>
      <c r="Z881" s="154" t="e">
        <f t="shared" ref="Z881:Z944" si="134">((1.486/$D$40)*((((PI()*($D$53/12)^2)/4)-((($D$53/12)/2)^2*((2*ACOS(((($D$53/12)/2)-(($D$53/12)-(AA881/12)))/(($D$53/12)/2)))-SIN(2*ACOS(((($D$53/12)/2)-(($D$53/12)-(AA881/12)))/(($D$53/12)/2))))/2))/((PI()*($D$53/12))-((2*ACOS(((($D$53/12)/2)-(($D$53/12)-(AA881/12)))/(($D$53/12)/2)))*(($D$53/12)/2))))^(2/3)*$H$24^0.5)*(((PI()*($D$53/12)^2)/4)-((($D$53/12)/2)^2*((2*ACOS(((($D$53/12)/2)-(($D$53/12)-(AA881/12)))/(($D$53/12)/2)))-SIN(2*ACOS(((($D$53/12)/2)-(($D$53/12)-(AA881/12)))/(($D$53/12)/2))))/2))</f>
        <v>#VALUE!</v>
      </c>
      <c r="AA881">
        <v>7.69</v>
      </c>
      <c r="AB881" s="154" t="e">
        <f t="shared" ref="AB881:AB944" si="135">((1.486/$D$41)*((((PI()*($D$54/12)^2)/4)-((($D$54/12)/2)^2*((2*ACOS(((($D$54/12)/2)-(($D$54/12)-(AC881/12)))/(($D$54/12)/2)))-SIN(2*ACOS(((($D$54/12)/2)-(($D$54/12)-(AC881/12)))/(($D$54/12)/2))))/2))/((PI()*($D$54/12))-((2*ACOS(((($D$54/12)/2)-(($D$54/12)-(AC881/12)))/(($D$54/12)/2)))*(($D$54/12)/2))))^(2/3)*$H$25^0.5)*(((PI()*($D$54/12)^2)/4)-((($D$54/12)/2)^2*((2*ACOS(((($D$54/12)/2)-(($D$54/12)-(AC881/12)))/(($D$54/12)/2)))-SIN(2*ACOS(((($D$54/12)/2)-(($D$54/12)-(AC881/12)))/(($D$54/12)/2))))/2))</f>
        <v>#VALUE!</v>
      </c>
      <c r="AC881">
        <v>7.69</v>
      </c>
      <c r="AD881" s="154" t="e">
        <f t="shared" ref="AD881:AD944" si="136">((1.486/$D$42)*((((PI()*($D$55/12)^2)/4)-((($D$55/12)/2)^2*((2*ACOS(((($D$55/12)/2)-(($D$55/12)-(AE881/12)))/(($D$55/12)/2)))-SIN(2*ACOS(((($D$55/12)/2)-(($D$55/12)-(AE881/12)))/(($D$55/12)/2))))/2))/((PI()*($D$55/12))-((2*ACOS(((($D$55/12)/2)-(($D$55/12)-(AE881/12)))/(($D$55/12)/2)))*(($D$55/12)/2))))^(2/3)*$H$26^0.5)*(((PI()*($D$55/12)^2)/4)-((($D$55/12)/2)^2*((2*ACOS(((($D$55/12)/2)-(($D$55/12)-(AE881/12)))/(($D$55/12)/2)))-SIN(2*ACOS(((($D$55/12)/2)-(($D$55/12)-(AE881/12)))/(($D$55/12)/2))))/2))</f>
        <v>#VALUE!</v>
      </c>
      <c r="AE881">
        <v>7.69</v>
      </c>
    </row>
    <row r="882" spans="12:31" ht="15" x14ac:dyDescent="0.2">
      <c r="L882" s="154" t="e">
        <f t="shared" si="127"/>
        <v>#VALUE!</v>
      </c>
      <c r="M882">
        <v>7.7</v>
      </c>
      <c r="N882" s="154" t="e">
        <f t="shared" si="128"/>
        <v>#VALUE!</v>
      </c>
      <c r="O882">
        <v>7.7</v>
      </c>
      <c r="P882" s="154" t="e">
        <f t="shared" si="129"/>
        <v>#VALUE!</v>
      </c>
      <c r="Q882">
        <v>7.7</v>
      </c>
      <c r="R882" s="154" t="e">
        <f t="shared" si="130"/>
        <v>#VALUE!</v>
      </c>
      <c r="S882">
        <v>7.7</v>
      </c>
      <c r="T882" s="154" t="e">
        <f t="shared" si="131"/>
        <v>#VALUE!</v>
      </c>
      <c r="U882">
        <v>7.7</v>
      </c>
      <c r="V882" s="154" t="e">
        <f t="shared" si="132"/>
        <v>#VALUE!</v>
      </c>
      <c r="W882">
        <v>7.7</v>
      </c>
      <c r="X882" s="157" t="e">
        <f t="shared" si="133"/>
        <v>#VALUE!</v>
      </c>
      <c r="Y882">
        <v>7.7</v>
      </c>
      <c r="Z882" s="154" t="e">
        <f t="shared" si="134"/>
        <v>#VALUE!</v>
      </c>
      <c r="AA882">
        <v>7.7</v>
      </c>
      <c r="AB882" s="154" t="e">
        <f t="shared" si="135"/>
        <v>#VALUE!</v>
      </c>
      <c r="AC882">
        <v>7.7</v>
      </c>
      <c r="AD882" s="154" t="e">
        <f t="shared" si="136"/>
        <v>#VALUE!</v>
      </c>
      <c r="AE882">
        <v>7.7</v>
      </c>
    </row>
    <row r="883" spans="12:31" ht="15" x14ac:dyDescent="0.2">
      <c r="L883" s="154" t="e">
        <f t="shared" si="127"/>
        <v>#VALUE!</v>
      </c>
      <c r="M883">
        <v>7.71</v>
      </c>
      <c r="N883" s="154" t="e">
        <f t="shared" si="128"/>
        <v>#VALUE!</v>
      </c>
      <c r="O883">
        <v>7.71</v>
      </c>
      <c r="P883" s="154" t="e">
        <f t="shared" si="129"/>
        <v>#VALUE!</v>
      </c>
      <c r="Q883">
        <v>7.71</v>
      </c>
      <c r="R883" s="154" t="e">
        <f t="shared" si="130"/>
        <v>#VALUE!</v>
      </c>
      <c r="S883">
        <v>7.71</v>
      </c>
      <c r="T883" s="154" t="e">
        <f t="shared" si="131"/>
        <v>#VALUE!</v>
      </c>
      <c r="U883">
        <v>7.71</v>
      </c>
      <c r="V883" s="154" t="e">
        <f t="shared" si="132"/>
        <v>#VALUE!</v>
      </c>
      <c r="W883">
        <v>7.71</v>
      </c>
      <c r="X883" s="157" t="e">
        <f t="shared" si="133"/>
        <v>#VALUE!</v>
      </c>
      <c r="Y883">
        <v>7.71</v>
      </c>
      <c r="Z883" s="154" t="e">
        <f t="shared" si="134"/>
        <v>#VALUE!</v>
      </c>
      <c r="AA883">
        <v>7.71</v>
      </c>
      <c r="AB883" s="154" t="e">
        <f t="shared" si="135"/>
        <v>#VALUE!</v>
      </c>
      <c r="AC883">
        <v>7.71</v>
      </c>
      <c r="AD883" s="154" t="e">
        <f t="shared" si="136"/>
        <v>#VALUE!</v>
      </c>
      <c r="AE883">
        <v>7.71</v>
      </c>
    </row>
    <row r="884" spans="12:31" ht="15" x14ac:dyDescent="0.2">
      <c r="L884" s="154" t="e">
        <f t="shared" si="127"/>
        <v>#VALUE!</v>
      </c>
      <c r="M884">
        <v>7.72</v>
      </c>
      <c r="N884" s="154" t="e">
        <f t="shared" si="128"/>
        <v>#VALUE!</v>
      </c>
      <c r="O884">
        <v>7.72</v>
      </c>
      <c r="P884" s="154" t="e">
        <f t="shared" si="129"/>
        <v>#VALUE!</v>
      </c>
      <c r="Q884">
        <v>7.72</v>
      </c>
      <c r="R884" s="154" t="e">
        <f t="shared" si="130"/>
        <v>#VALUE!</v>
      </c>
      <c r="S884">
        <v>7.72</v>
      </c>
      <c r="T884" s="154" t="e">
        <f t="shared" si="131"/>
        <v>#VALUE!</v>
      </c>
      <c r="U884">
        <v>7.72</v>
      </c>
      <c r="V884" s="154" t="e">
        <f t="shared" si="132"/>
        <v>#VALUE!</v>
      </c>
      <c r="W884">
        <v>7.72</v>
      </c>
      <c r="X884" s="157" t="e">
        <f t="shared" si="133"/>
        <v>#VALUE!</v>
      </c>
      <c r="Y884">
        <v>7.72</v>
      </c>
      <c r="Z884" s="154" t="e">
        <f t="shared" si="134"/>
        <v>#VALUE!</v>
      </c>
      <c r="AA884">
        <v>7.72</v>
      </c>
      <c r="AB884" s="154" t="e">
        <f t="shared" si="135"/>
        <v>#VALUE!</v>
      </c>
      <c r="AC884">
        <v>7.72</v>
      </c>
      <c r="AD884" s="154" t="e">
        <f t="shared" si="136"/>
        <v>#VALUE!</v>
      </c>
      <c r="AE884">
        <v>7.72</v>
      </c>
    </row>
    <row r="885" spans="12:31" ht="15" x14ac:dyDescent="0.2">
      <c r="L885" s="154" t="e">
        <f t="shared" si="127"/>
        <v>#VALUE!</v>
      </c>
      <c r="M885">
        <v>7.73</v>
      </c>
      <c r="N885" s="154" t="e">
        <f t="shared" si="128"/>
        <v>#VALUE!</v>
      </c>
      <c r="O885">
        <v>7.73</v>
      </c>
      <c r="P885" s="154" t="e">
        <f t="shared" si="129"/>
        <v>#VALUE!</v>
      </c>
      <c r="Q885">
        <v>7.73</v>
      </c>
      <c r="R885" s="154" t="e">
        <f t="shared" si="130"/>
        <v>#VALUE!</v>
      </c>
      <c r="S885">
        <v>7.73</v>
      </c>
      <c r="T885" s="154" t="e">
        <f t="shared" si="131"/>
        <v>#VALUE!</v>
      </c>
      <c r="U885">
        <v>7.73</v>
      </c>
      <c r="V885" s="154" t="e">
        <f t="shared" si="132"/>
        <v>#VALUE!</v>
      </c>
      <c r="W885">
        <v>7.73</v>
      </c>
      <c r="X885" s="157" t="e">
        <f t="shared" si="133"/>
        <v>#VALUE!</v>
      </c>
      <c r="Y885">
        <v>7.73</v>
      </c>
      <c r="Z885" s="154" t="e">
        <f t="shared" si="134"/>
        <v>#VALUE!</v>
      </c>
      <c r="AA885">
        <v>7.73</v>
      </c>
      <c r="AB885" s="154" t="e">
        <f t="shared" si="135"/>
        <v>#VALUE!</v>
      </c>
      <c r="AC885">
        <v>7.73</v>
      </c>
      <c r="AD885" s="154" t="e">
        <f t="shared" si="136"/>
        <v>#VALUE!</v>
      </c>
      <c r="AE885">
        <v>7.73</v>
      </c>
    </row>
    <row r="886" spans="12:31" ht="15" x14ac:dyDescent="0.2">
      <c r="L886" s="154" t="e">
        <f t="shared" si="127"/>
        <v>#VALUE!</v>
      </c>
      <c r="M886">
        <v>7.74</v>
      </c>
      <c r="N886" s="154" t="e">
        <f t="shared" si="128"/>
        <v>#VALUE!</v>
      </c>
      <c r="O886">
        <v>7.74</v>
      </c>
      <c r="P886" s="154" t="e">
        <f t="shared" si="129"/>
        <v>#VALUE!</v>
      </c>
      <c r="Q886">
        <v>7.74</v>
      </c>
      <c r="R886" s="154" t="e">
        <f t="shared" si="130"/>
        <v>#VALUE!</v>
      </c>
      <c r="S886">
        <v>7.74</v>
      </c>
      <c r="T886" s="154" t="e">
        <f t="shared" si="131"/>
        <v>#VALUE!</v>
      </c>
      <c r="U886">
        <v>7.74</v>
      </c>
      <c r="V886" s="154" t="e">
        <f t="shared" si="132"/>
        <v>#VALUE!</v>
      </c>
      <c r="W886">
        <v>7.74</v>
      </c>
      <c r="X886" s="157" t="e">
        <f t="shared" si="133"/>
        <v>#VALUE!</v>
      </c>
      <c r="Y886">
        <v>7.74</v>
      </c>
      <c r="Z886" s="154" t="e">
        <f t="shared" si="134"/>
        <v>#VALUE!</v>
      </c>
      <c r="AA886">
        <v>7.74</v>
      </c>
      <c r="AB886" s="154" t="e">
        <f t="shared" si="135"/>
        <v>#VALUE!</v>
      </c>
      <c r="AC886">
        <v>7.74</v>
      </c>
      <c r="AD886" s="154" t="e">
        <f t="shared" si="136"/>
        <v>#VALUE!</v>
      </c>
      <c r="AE886">
        <v>7.74</v>
      </c>
    </row>
    <row r="887" spans="12:31" ht="15" x14ac:dyDescent="0.2">
      <c r="L887" s="154" t="e">
        <f t="shared" si="127"/>
        <v>#VALUE!</v>
      </c>
      <c r="M887">
        <v>7.75</v>
      </c>
      <c r="N887" s="154" t="e">
        <f t="shared" si="128"/>
        <v>#VALUE!</v>
      </c>
      <c r="O887">
        <v>7.75</v>
      </c>
      <c r="P887" s="154" t="e">
        <f t="shared" si="129"/>
        <v>#VALUE!</v>
      </c>
      <c r="Q887">
        <v>7.75</v>
      </c>
      <c r="R887" s="154" t="e">
        <f t="shared" si="130"/>
        <v>#VALUE!</v>
      </c>
      <c r="S887">
        <v>7.75</v>
      </c>
      <c r="T887" s="154" t="e">
        <f t="shared" si="131"/>
        <v>#VALUE!</v>
      </c>
      <c r="U887">
        <v>7.75</v>
      </c>
      <c r="V887" s="154" t="e">
        <f t="shared" si="132"/>
        <v>#VALUE!</v>
      </c>
      <c r="W887">
        <v>7.75</v>
      </c>
      <c r="X887" s="157" t="e">
        <f t="shared" si="133"/>
        <v>#VALUE!</v>
      </c>
      <c r="Y887">
        <v>7.75</v>
      </c>
      <c r="Z887" s="154" t="e">
        <f t="shared" si="134"/>
        <v>#VALUE!</v>
      </c>
      <c r="AA887">
        <v>7.75</v>
      </c>
      <c r="AB887" s="154" t="e">
        <f t="shared" si="135"/>
        <v>#VALUE!</v>
      </c>
      <c r="AC887">
        <v>7.75</v>
      </c>
      <c r="AD887" s="154" t="e">
        <f t="shared" si="136"/>
        <v>#VALUE!</v>
      </c>
      <c r="AE887">
        <v>7.75</v>
      </c>
    </row>
    <row r="888" spans="12:31" ht="15" x14ac:dyDescent="0.2">
      <c r="L888" s="154" t="e">
        <f t="shared" si="127"/>
        <v>#VALUE!</v>
      </c>
      <c r="M888">
        <v>7.76</v>
      </c>
      <c r="N888" s="154" t="e">
        <f t="shared" si="128"/>
        <v>#VALUE!</v>
      </c>
      <c r="O888">
        <v>7.76</v>
      </c>
      <c r="P888" s="154" t="e">
        <f t="shared" si="129"/>
        <v>#VALUE!</v>
      </c>
      <c r="Q888">
        <v>7.76</v>
      </c>
      <c r="R888" s="154" t="e">
        <f t="shared" si="130"/>
        <v>#VALUE!</v>
      </c>
      <c r="S888">
        <v>7.76</v>
      </c>
      <c r="T888" s="154" t="e">
        <f t="shared" si="131"/>
        <v>#VALUE!</v>
      </c>
      <c r="U888">
        <v>7.76</v>
      </c>
      <c r="V888" s="154" t="e">
        <f t="shared" si="132"/>
        <v>#VALUE!</v>
      </c>
      <c r="W888">
        <v>7.76</v>
      </c>
      <c r="X888" s="157" t="e">
        <f t="shared" si="133"/>
        <v>#VALUE!</v>
      </c>
      <c r="Y888">
        <v>7.76</v>
      </c>
      <c r="Z888" s="154" t="e">
        <f t="shared" si="134"/>
        <v>#VALUE!</v>
      </c>
      <c r="AA888">
        <v>7.76</v>
      </c>
      <c r="AB888" s="154" t="e">
        <f t="shared" si="135"/>
        <v>#VALUE!</v>
      </c>
      <c r="AC888">
        <v>7.76</v>
      </c>
      <c r="AD888" s="154" t="e">
        <f t="shared" si="136"/>
        <v>#VALUE!</v>
      </c>
      <c r="AE888">
        <v>7.76</v>
      </c>
    </row>
    <row r="889" spans="12:31" ht="15" x14ac:dyDescent="0.2">
      <c r="L889" s="154" t="e">
        <f t="shared" si="127"/>
        <v>#VALUE!</v>
      </c>
      <c r="M889">
        <v>7.77</v>
      </c>
      <c r="N889" s="154" t="e">
        <f t="shared" si="128"/>
        <v>#VALUE!</v>
      </c>
      <c r="O889">
        <v>7.77</v>
      </c>
      <c r="P889" s="154" t="e">
        <f t="shared" si="129"/>
        <v>#VALUE!</v>
      </c>
      <c r="Q889">
        <v>7.77</v>
      </c>
      <c r="R889" s="154" t="e">
        <f t="shared" si="130"/>
        <v>#VALUE!</v>
      </c>
      <c r="S889">
        <v>7.77</v>
      </c>
      <c r="T889" s="154" t="e">
        <f t="shared" si="131"/>
        <v>#VALUE!</v>
      </c>
      <c r="U889">
        <v>7.77</v>
      </c>
      <c r="V889" s="154" t="e">
        <f t="shared" si="132"/>
        <v>#VALUE!</v>
      </c>
      <c r="W889">
        <v>7.77</v>
      </c>
      <c r="X889" s="157" t="e">
        <f t="shared" si="133"/>
        <v>#VALUE!</v>
      </c>
      <c r="Y889">
        <v>7.77</v>
      </c>
      <c r="Z889" s="154" t="e">
        <f t="shared" si="134"/>
        <v>#VALUE!</v>
      </c>
      <c r="AA889">
        <v>7.77</v>
      </c>
      <c r="AB889" s="154" t="e">
        <f t="shared" si="135"/>
        <v>#VALUE!</v>
      </c>
      <c r="AC889">
        <v>7.77</v>
      </c>
      <c r="AD889" s="154" t="e">
        <f t="shared" si="136"/>
        <v>#VALUE!</v>
      </c>
      <c r="AE889">
        <v>7.77</v>
      </c>
    </row>
    <row r="890" spans="12:31" ht="15" x14ac:dyDescent="0.2">
      <c r="L890" s="154" t="e">
        <f t="shared" si="127"/>
        <v>#VALUE!</v>
      </c>
      <c r="M890">
        <v>7.78</v>
      </c>
      <c r="N890" s="154" t="e">
        <f t="shared" si="128"/>
        <v>#VALUE!</v>
      </c>
      <c r="O890">
        <v>7.78</v>
      </c>
      <c r="P890" s="154" t="e">
        <f t="shared" si="129"/>
        <v>#VALUE!</v>
      </c>
      <c r="Q890">
        <v>7.78</v>
      </c>
      <c r="R890" s="154" t="e">
        <f t="shared" si="130"/>
        <v>#VALUE!</v>
      </c>
      <c r="S890">
        <v>7.78</v>
      </c>
      <c r="T890" s="154" t="e">
        <f t="shared" si="131"/>
        <v>#VALUE!</v>
      </c>
      <c r="U890">
        <v>7.78</v>
      </c>
      <c r="V890" s="154" t="e">
        <f t="shared" si="132"/>
        <v>#VALUE!</v>
      </c>
      <c r="W890">
        <v>7.78</v>
      </c>
      <c r="X890" s="157" t="e">
        <f t="shared" si="133"/>
        <v>#VALUE!</v>
      </c>
      <c r="Y890">
        <v>7.78</v>
      </c>
      <c r="Z890" s="154" t="e">
        <f t="shared" si="134"/>
        <v>#VALUE!</v>
      </c>
      <c r="AA890">
        <v>7.78</v>
      </c>
      <c r="AB890" s="154" t="e">
        <f t="shared" si="135"/>
        <v>#VALUE!</v>
      </c>
      <c r="AC890">
        <v>7.78</v>
      </c>
      <c r="AD890" s="154" t="e">
        <f t="shared" si="136"/>
        <v>#VALUE!</v>
      </c>
      <c r="AE890">
        <v>7.78</v>
      </c>
    </row>
    <row r="891" spans="12:31" ht="15" x14ac:dyDescent="0.2">
      <c r="L891" s="154" t="e">
        <f t="shared" si="127"/>
        <v>#VALUE!</v>
      </c>
      <c r="M891">
        <v>7.79</v>
      </c>
      <c r="N891" s="154" t="e">
        <f t="shared" si="128"/>
        <v>#VALUE!</v>
      </c>
      <c r="O891">
        <v>7.79</v>
      </c>
      <c r="P891" s="154" t="e">
        <f t="shared" si="129"/>
        <v>#VALUE!</v>
      </c>
      <c r="Q891">
        <v>7.79</v>
      </c>
      <c r="R891" s="154" t="e">
        <f t="shared" si="130"/>
        <v>#VALUE!</v>
      </c>
      <c r="S891">
        <v>7.79</v>
      </c>
      <c r="T891" s="154" t="e">
        <f t="shared" si="131"/>
        <v>#VALUE!</v>
      </c>
      <c r="U891">
        <v>7.79</v>
      </c>
      <c r="V891" s="154" t="e">
        <f t="shared" si="132"/>
        <v>#VALUE!</v>
      </c>
      <c r="W891">
        <v>7.79</v>
      </c>
      <c r="X891" s="157" t="e">
        <f t="shared" si="133"/>
        <v>#VALUE!</v>
      </c>
      <c r="Y891">
        <v>7.79</v>
      </c>
      <c r="Z891" s="154" t="e">
        <f t="shared" si="134"/>
        <v>#VALUE!</v>
      </c>
      <c r="AA891">
        <v>7.79</v>
      </c>
      <c r="AB891" s="154" t="e">
        <f t="shared" si="135"/>
        <v>#VALUE!</v>
      </c>
      <c r="AC891">
        <v>7.79</v>
      </c>
      <c r="AD891" s="154" t="e">
        <f t="shared" si="136"/>
        <v>#VALUE!</v>
      </c>
      <c r="AE891">
        <v>7.79</v>
      </c>
    </row>
    <row r="892" spans="12:31" ht="15" x14ac:dyDescent="0.2">
      <c r="L892" s="154" t="e">
        <f t="shared" si="127"/>
        <v>#VALUE!</v>
      </c>
      <c r="M892">
        <v>7.8</v>
      </c>
      <c r="N892" s="154" t="e">
        <f t="shared" si="128"/>
        <v>#VALUE!</v>
      </c>
      <c r="O892">
        <v>7.8</v>
      </c>
      <c r="P892" s="154" t="e">
        <f t="shared" si="129"/>
        <v>#VALUE!</v>
      </c>
      <c r="Q892">
        <v>7.8</v>
      </c>
      <c r="R892" s="154" t="e">
        <f t="shared" si="130"/>
        <v>#VALUE!</v>
      </c>
      <c r="S892">
        <v>7.8</v>
      </c>
      <c r="T892" s="154" t="e">
        <f t="shared" si="131"/>
        <v>#VALUE!</v>
      </c>
      <c r="U892">
        <v>7.8</v>
      </c>
      <c r="V892" s="154" t="e">
        <f t="shared" si="132"/>
        <v>#VALUE!</v>
      </c>
      <c r="W892">
        <v>7.8</v>
      </c>
      <c r="X892" s="157" t="e">
        <f t="shared" si="133"/>
        <v>#VALUE!</v>
      </c>
      <c r="Y892">
        <v>7.8</v>
      </c>
      <c r="Z892" s="154" t="e">
        <f t="shared" si="134"/>
        <v>#VALUE!</v>
      </c>
      <c r="AA892">
        <v>7.8</v>
      </c>
      <c r="AB892" s="154" t="e">
        <f t="shared" si="135"/>
        <v>#VALUE!</v>
      </c>
      <c r="AC892">
        <v>7.8</v>
      </c>
      <c r="AD892" s="154" t="e">
        <f t="shared" si="136"/>
        <v>#VALUE!</v>
      </c>
      <c r="AE892">
        <v>7.8</v>
      </c>
    </row>
    <row r="893" spans="12:31" ht="15" x14ac:dyDescent="0.2">
      <c r="L893" s="154" t="e">
        <f t="shared" si="127"/>
        <v>#VALUE!</v>
      </c>
      <c r="M893">
        <v>7.81</v>
      </c>
      <c r="N893" s="154" t="e">
        <f t="shared" si="128"/>
        <v>#VALUE!</v>
      </c>
      <c r="O893">
        <v>7.81</v>
      </c>
      <c r="P893" s="154" t="e">
        <f t="shared" si="129"/>
        <v>#VALUE!</v>
      </c>
      <c r="Q893">
        <v>7.81</v>
      </c>
      <c r="R893" s="154" t="e">
        <f t="shared" si="130"/>
        <v>#VALUE!</v>
      </c>
      <c r="S893">
        <v>7.81</v>
      </c>
      <c r="T893" s="154" t="e">
        <f t="shared" si="131"/>
        <v>#VALUE!</v>
      </c>
      <c r="U893">
        <v>7.81</v>
      </c>
      <c r="V893" s="154" t="e">
        <f t="shared" si="132"/>
        <v>#VALUE!</v>
      </c>
      <c r="W893">
        <v>7.81</v>
      </c>
      <c r="X893" s="157" t="e">
        <f t="shared" si="133"/>
        <v>#VALUE!</v>
      </c>
      <c r="Y893">
        <v>7.81</v>
      </c>
      <c r="Z893" s="154" t="e">
        <f t="shared" si="134"/>
        <v>#VALUE!</v>
      </c>
      <c r="AA893">
        <v>7.81</v>
      </c>
      <c r="AB893" s="154" t="e">
        <f t="shared" si="135"/>
        <v>#VALUE!</v>
      </c>
      <c r="AC893">
        <v>7.81</v>
      </c>
      <c r="AD893" s="154" t="e">
        <f t="shared" si="136"/>
        <v>#VALUE!</v>
      </c>
      <c r="AE893">
        <v>7.81</v>
      </c>
    </row>
    <row r="894" spans="12:31" ht="15" x14ac:dyDescent="0.2">
      <c r="L894" s="154" t="e">
        <f t="shared" si="127"/>
        <v>#VALUE!</v>
      </c>
      <c r="M894">
        <v>7.82</v>
      </c>
      <c r="N894" s="154" t="e">
        <f t="shared" si="128"/>
        <v>#VALUE!</v>
      </c>
      <c r="O894">
        <v>7.82</v>
      </c>
      <c r="P894" s="154" t="e">
        <f t="shared" si="129"/>
        <v>#VALUE!</v>
      </c>
      <c r="Q894">
        <v>7.82</v>
      </c>
      <c r="R894" s="154" t="e">
        <f t="shared" si="130"/>
        <v>#VALUE!</v>
      </c>
      <c r="S894">
        <v>7.82</v>
      </c>
      <c r="T894" s="154" t="e">
        <f t="shared" si="131"/>
        <v>#VALUE!</v>
      </c>
      <c r="U894">
        <v>7.82</v>
      </c>
      <c r="V894" s="154" t="e">
        <f t="shared" si="132"/>
        <v>#VALUE!</v>
      </c>
      <c r="W894">
        <v>7.82</v>
      </c>
      <c r="X894" s="157" t="e">
        <f t="shared" si="133"/>
        <v>#VALUE!</v>
      </c>
      <c r="Y894">
        <v>7.82</v>
      </c>
      <c r="Z894" s="154" t="e">
        <f t="shared" si="134"/>
        <v>#VALUE!</v>
      </c>
      <c r="AA894">
        <v>7.82</v>
      </c>
      <c r="AB894" s="154" t="e">
        <f t="shared" si="135"/>
        <v>#VALUE!</v>
      </c>
      <c r="AC894">
        <v>7.82</v>
      </c>
      <c r="AD894" s="154" t="e">
        <f t="shared" si="136"/>
        <v>#VALUE!</v>
      </c>
      <c r="AE894">
        <v>7.82</v>
      </c>
    </row>
    <row r="895" spans="12:31" ht="15" x14ac:dyDescent="0.2">
      <c r="L895" s="154" t="e">
        <f t="shared" si="127"/>
        <v>#VALUE!</v>
      </c>
      <c r="M895">
        <v>7.83</v>
      </c>
      <c r="N895" s="154" t="e">
        <f t="shared" si="128"/>
        <v>#VALUE!</v>
      </c>
      <c r="O895">
        <v>7.83</v>
      </c>
      <c r="P895" s="154" t="e">
        <f t="shared" si="129"/>
        <v>#VALUE!</v>
      </c>
      <c r="Q895">
        <v>7.83</v>
      </c>
      <c r="R895" s="154" t="e">
        <f t="shared" si="130"/>
        <v>#VALUE!</v>
      </c>
      <c r="S895">
        <v>7.83</v>
      </c>
      <c r="T895" s="154" t="e">
        <f t="shared" si="131"/>
        <v>#VALUE!</v>
      </c>
      <c r="U895">
        <v>7.83</v>
      </c>
      <c r="V895" s="154" t="e">
        <f t="shared" si="132"/>
        <v>#VALUE!</v>
      </c>
      <c r="W895">
        <v>7.83</v>
      </c>
      <c r="X895" s="157" t="e">
        <f t="shared" si="133"/>
        <v>#VALUE!</v>
      </c>
      <c r="Y895">
        <v>7.83</v>
      </c>
      <c r="Z895" s="154" t="e">
        <f t="shared" si="134"/>
        <v>#VALUE!</v>
      </c>
      <c r="AA895">
        <v>7.83</v>
      </c>
      <c r="AB895" s="154" t="e">
        <f t="shared" si="135"/>
        <v>#VALUE!</v>
      </c>
      <c r="AC895">
        <v>7.83</v>
      </c>
      <c r="AD895" s="154" t="e">
        <f t="shared" si="136"/>
        <v>#VALUE!</v>
      </c>
      <c r="AE895">
        <v>7.83</v>
      </c>
    </row>
    <row r="896" spans="12:31" ht="15" x14ac:dyDescent="0.2">
      <c r="L896" s="154" t="e">
        <f t="shared" si="127"/>
        <v>#VALUE!</v>
      </c>
      <c r="M896">
        <v>7.84</v>
      </c>
      <c r="N896" s="154" t="e">
        <f t="shared" si="128"/>
        <v>#VALUE!</v>
      </c>
      <c r="O896">
        <v>7.84</v>
      </c>
      <c r="P896" s="154" t="e">
        <f t="shared" si="129"/>
        <v>#VALUE!</v>
      </c>
      <c r="Q896">
        <v>7.84</v>
      </c>
      <c r="R896" s="154" t="e">
        <f t="shared" si="130"/>
        <v>#VALUE!</v>
      </c>
      <c r="S896">
        <v>7.84</v>
      </c>
      <c r="T896" s="154" t="e">
        <f t="shared" si="131"/>
        <v>#VALUE!</v>
      </c>
      <c r="U896">
        <v>7.84</v>
      </c>
      <c r="V896" s="154" t="e">
        <f t="shared" si="132"/>
        <v>#VALUE!</v>
      </c>
      <c r="W896">
        <v>7.84</v>
      </c>
      <c r="X896" s="157" t="e">
        <f t="shared" si="133"/>
        <v>#VALUE!</v>
      </c>
      <c r="Y896">
        <v>7.84</v>
      </c>
      <c r="Z896" s="154" t="e">
        <f t="shared" si="134"/>
        <v>#VALUE!</v>
      </c>
      <c r="AA896">
        <v>7.84</v>
      </c>
      <c r="AB896" s="154" t="e">
        <f t="shared" si="135"/>
        <v>#VALUE!</v>
      </c>
      <c r="AC896">
        <v>7.84</v>
      </c>
      <c r="AD896" s="154" t="e">
        <f t="shared" si="136"/>
        <v>#VALUE!</v>
      </c>
      <c r="AE896">
        <v>7.84</v>
      </c>
    </row>
    <row r="897" spans="12:31" ht="15" x14ac:dyDescent="0.2">
      <c r="L897" s="154" t="e">
        <f t="shared" si="127"/>
        <v>#VALUE!</v>
      </c>
      <c r="M897">
        <v>7.85</v>
      </c>
      <c r="N897" s="154" t="e">
        <f t="shared" si="128"/>
        <v>#VALUE!</v>
      </c>
      <c r="O897">
        <v>7.85</v>
      </c>
      <c r="P897" s="154" t="e">
        <f t="shared" si="129"/>
        <v>#VALUE!</v>
      </c>
      <c r="Q897">
        <v>7.85</v>
      </c>
      <c r="R897" s="154" t="e">
        <f t="shared" si="130"/>
        <v>#VALUE!</v>
      </c>
      <c r="S897">
        <v>7.85</v>
      </c>
      <c r="T897" s="154" t="e">
        <f t="shared" si="131"/>
        <v>#VALUE!</v>
      </c>
      <c r="U897">
        <v>7.85</v>
      </c>
      <c r="V897" s="154" t="e">
        <f t="shared" si="132"/>
        <v>#VALUE!</v>
      </c>
      <c r="W897">
        <v>7.85</v>
      </c>
      <c r="X897" s="157" t="e">
        <f t="shared" si="133"/>
        <v>#VALUE!</v>
      </c>
      <c r="Y897">
        <v>7.85</v>
      </c>
      <c r="Z897" s="154" t="e">
        <f t="shared" si="134"/>
        <v>#VALUE!</v>
      </c>
      <c r="AA897">
        <v>7.85</v>
      </c>
      <c r="AB897" s="154" t="e">
        <f t="shared" si="135"/>
        <v>#VALUE!</v>
      </c>
      <c r="AC897">
        <v>7.85</v>
      </c>
      <c r="AD897" s="154" t="e">
        <f t="shared" si="136"/>
        <v>#VALUE!</v>
      </c>
      <c r="AE897">
        <v>7.85</v>
      </c>
    </row>
    <row r="898" spans="12:31" ht="15" x14ac:dyDescent="0.2">
      <c r="L898" s="154" t="e">
        <f t="shared" si="127"/>
        <v>#VALUE!</v>
      </c>
      <c r="M898">
        <v>7.86</v>
      </c>
      <c r="N898" s="154" t="e">
        <f t="shared" si="128"/>
        <v>#VALUE!</v>
      </c>
      <c r="O898">
        <v>7.86</v>
      </c>
      <c r="P898" s="154" t="e">
        <f t="shared" si="129"/>
        <v>#VALUE!</v>
      </c>
      <c r="Q898">
        <v>7.86</v>
      </c>
      <c r="R898" s="154" t="e">
        <f t="shared" si="130"/>
        <v>#VALUE!</v>
      </c>
      <c r="S898">
        <v>7.86</v>
      </c>
      <c r="T898" s="154" t="e">
        <f t="shared" si="131"/>
        <v>#VALUE!</v>
      </c>
      <c r="U898">
        <v>7.86</v>
      </c>
      <c r="V898" s="154" t="e">
        <f t="shared" si="132"/>
        <v>#VALUE!</v>
      </c>
      <c r="W898">
        <v>7.86</v>
      </c>
      <c r="X898" s="157" t="e">
        <f t="shared" si="133"/>
        <v>#VALUE!</v>
      </c>
      <c r="Y898">
        <v>7.86</v>
      </c>
      <c r="Z898" s="154" t="e">
        <f t="shared" si="134"/>
        <v>#VALUE!</v>
      </c>
      <c r="AA898">
        <v>7.86</v>
      </c>
      <c r="AB898" s="154" t="e">
        <f t="shared" si="135"/>
        <v>#VALUE!</v>
      </c>
      <c r="AC898">
        <v>7.86</v>
      </c>
      <c r="AD898" s="154" t="e">
        <f t="shared" si="136"/>
        <v>#VALUE!</v>
      </c>
      <c r="AE898">
        <v>7.86</v>
      </c>
    </row>
    <row r="899" spans="12:31" ht="15" x14ac:dyDescent="0.2">
      <c r="L899" s="154" t="e">
        <f t="shared" si="127"/>
        <v>#VALUE!</v>
      </c>
      <c r="M899">
        <v>7.87</v>
      </c>
      <c r="N899" s="154" t="e">
        <f t="shared" si="128"/>
        <v>#VALUE!</v>
      </c>
      <c r="O899">
        <v>7.87</v>
      </c>
      <c r="P899" s="154" t="e">
        <f t="shared" si="129"/>
        <v>#VALUE!</v>
      </c>
      <c r="Q899">
        <v>7.87</v>
      </c>
      <c r="R899" s="154" t="e">
        <f t="shared" si="130"/>
        <v>#VALUE!</v>
      </c>
      <c r="S899">
        <v>7.87</v>
      </c>
      <c r="T899" s="154" t="e">
        <f t="shared" si="131"/>
        <v>#VALUE!</v>
      </c>
      <c r="U899">
        <v>7.87</v>
      </c>
      <c r="V899" s="154" t="e">
        <f t="shared" si="132"/>
        <v>#VALUE!</v>
      </c>
      <c r="W899">
        <v>7.87</v>
      </c>
      <c r="X899" s="157" t="e">
        <f t="shared" si="133"/>
        <v>#VALUE!</v>
      </c>
      <c r="Y899">
        <v>7.87</v>
      </c>
      <c r="Z899" s="154" t="e">
        <f t="shared" si="134"/>
        <v>#VALUE!</v>
      </c>
      <c r="AA899">
        <v>7.87</v>
      </c>
      <c r="AB899" s="154" t="e">
        <f t="shared" si="135"/>
        <v>#VALUE!</v>
      </c>
      <c r="AC899">
        <v>7.87</v>
      </c>
      <c r="AD899" s="154" t="e">
        <f t="shared" si="136"/>
        <v>#VALUE!</v>
      </c>
      <c r="AE899">
        <v>7.87</v>
      </c>
    </row>
    <row r="900" spans="12:31" ht="15" x14ac:dyDescent="0.2">
      <c r="L900" s="154" t="e">
        <f t="shared" si="127"/>
        <v>#VALUE!</v>
      </c>
      <c r="M900">
        <v>7.88</v>
      </c>
      <c r="N900" s="154" t="e">
        <f t="shared" si="128"/>
        <v>#VALUE!</v>
      </c>
      <c r="O900">
        <v>7.88</v>
      </c>
      <c r="P900" s="154" t="e">
        <f t="shared" si="129"/>
        <v>#VALUE!</v>
      </c>
      <c r="Q900">
        <v>7.88</v>
      </c>
      <c r="R900" s="154" t="e">
        <f t="shared" si="130"/>
        <v>#VALUE!</v>
      </c>
      <c r="S900">
        <v>7.88</v>
      </c>
      <c r="T900" s="154" t="e">
        <f t="shared" si="131"/>
        <v>#VALUE!</v>
      </c>
      <c r="U900">
        <v>7.88</v>
      </c>
      <c r="V900" s="154" t="e">
        <f t="shared" si="132"/>
        <v>#VALUE!</v>
      </c>
      <c r="W900">
        <v>7.88</v>
      </c>
      <c r="X900" s="157" t="e">
        <f t="shared" si="133"/>
        <v>#VALUE!</v>
      </c>
      <c r="Y900">
        <v>7.88</v>
      </c>
      <c r="Z900" s="154" t="e">
        <f t="shared" si="134"/>
        <v>#VALUE!</v>
      </c>
      <c r="AA900">
        <v>7.88</v>
      </c>
      <c r="AB900" s="154" t="e">
        <f t="shared" si="135"/>
        <v>#VALUE!</v>
      </c>
      <c r="AC900">
        <v>7.88</v>
      </c>
      <c r="AD900" s="154" t="e">
        <f t="shared" si="136"/>
        <v>#VALUE!</v>
      </c>
      <c r="AE900">
        <v>7.88</v>
      </c>
    </row>
    <row r="901" spans="12:31" ht="15" x14ac:dyDescent="0.2">
      <c r="L901" s="154" t="e">
        <f t="shared" si="127"/>
        <v>#VALUE!</v>
      </c>
      <c r="M901">
        <v>7.89</v>
      </c>
      <c r="N901" s="154" t="e">
        <f t="shared" si="128"/>
        <v>#VALUE!</v>
      </c>
      <c r="O901">
        <v>7.89</v>
      </c>
      <c r="P901" s="154" t="e">
        <f t="shared" si="129"/>
        <v>#VALUE!</v>
      </c>
      <c r="Q901">
        <v>7.89</v>
      </c>
      <c r="R901" s="154" t="e">
        <f t="shared" si="130"/>
        <v>#VALUE!</v>
      </c>
      <c r="S901">
        <v>7.89</v>
      </c>
      <c r="T901" s="154" t="e">
        <f t="shared" si="131"/>
        <v>#VALUE!</v>
      </c>
      <c r="U901">
        <v>7.89</v>
      </c>
      <c r="V901" s="154" t="e">
        <f t="shared" si="132"/>
        <v>#VALUE!</v>
      </c>
      <c r="W901">
        <v>7.89</v>
      </c>
      <c r="X901" s="157" t="e">
        <f t="shared" si="133"/>
        <v>#VALUE!</v>
      </c>
      <c r="Y901">
        <v>7.89</v>
      </c>
      <c r="Z901" s="154" t="e">
        <f t="shared" si="134"/>
        <v>#VALUE!</v>
      </c>
      <c r="AA901">
        <v>7.89</v>
      </c>
      <c r="AB901" s="154" t="e">
        <f t="shared" si="135"/>
        <v>#VALUE!</v>
      </c>
      <c r="AC901">
        <v>7.89</v>
      </c>
      <c r="AD901" s="154" t="e">
        <f t="shared" si="136"/>
        <v>#VALUE!</v>
      </c>
      <c r="AE901">
        <v>7.89</v>
      </c>
    </row>
    <row r="902" spans="12:31" ht="15" x14ac:dyDescent="0.2">
      <c r="L902" s="154" t="e">
        <f t="shared" si="127"/>
        <v>#VALUE!</v>
      </c>
      <c r="M902">
        <v>7.9</v>
      </c>
      <c r="N902" s="154" t="e">
        <f t="shared" si="128"/>
        <v>#VALUE!</v>
      </c>
      <c r="O902">
        <v>7.9</v>
      </c>
      <c r="P902" s="154" t="e">
        <f t="shared" si="129"/>
        <v>#VALUE!</v>
      </c>
      <c r="Q902">
        <v>7.9</v>
      </c>
      <c r="R902" s="154" t="e">
        <f t="shared" si="130"/>
        <v>#VALUE!</v>
      </c>
      <c r="S902">
        <v>7.9</v>
      </c>
      <c r="T902" s="154" t="e">
        <f t="shared" si="131"/>
        <v>#VALUE!</v>
      </c>
      <c r="U902">
        <v>7.9</v>
      </c>
      <c r="V902" s="154" t="e">
        <f t="shared" si="132"/>
        <v>#VALUE!</v>
      </c>
      <c r="W902">
        <v>7.9</v>
      </c>
      <c r="X902" s="157" t="e">
        <f t="shared" si="133"/>
        <v>#VALUE!</v>
      </c>
      <c r="Y902">
        <v>7.9</v>
      </c>
      <c r="Z902" s="154" t="e">
        <f t="shared" si="134"/>
        <v>#VALUE!</v>
      </c>
      <c r="AA902">
        <v>7.9</v>
      </c>
      <c r="AB902" s="154" t="e">
        <f t="shared" si="135"/>
        <v>#VALUE!</v>
      </c>
      <c r="AC902">
        <v>7.9</v>
      </c>
      <c r="AD902" s="154" t="e">
        <f t="shared" si="136"/>
        <v>#VALUE!</v>
      </c>
      <c r="AE902">
        <v>7.9</v>
      </c>
    </row>
    <row r="903" spans="12:31" ht="15" x14ac:dyDescent="0.2">
      <c r="L903" s="154" t="e">
        <f t="shared" si="127"/>
        <v>#VALUE!</v>
      </c>
      <c r="M903">
        <v>7.91</v>
      </c>
      <c r="N903" s="154" t="e">
        <f t="shared" si="128"/>
        <v>#VALUE!</v>
      </c>
      <c r="O903">
        <v>7.91</v>
      </c>
      <c r="P903" s="154" t="e">
        <f t="shared" si="129"/>
        <v>#VALUE!</v>
      </c>
      <c r="Q903">
        <v>7.91</v>
      </c>
      <c r="R903" s="154" t="e">
        <f t="shared" si="130"/>
        <v>#VALUE!</v>
      </c>
      <c r="S903">
        <v>7.91</v>
      </c>
      <c r="T903" s="154" t="e">
        <f t="shared" si="131"/>
        <v>#VALUE!</v>
      </c>
      <c r="U903">
        <v>7.91</v>
      </c>
      <c r="V903" s="154" t="e">
        <f t="shared" si="132"/>
        <v>#VALUE!</v>
      </c>
      <c r="W903">
        <v>7.91</v>
      </c>
      <c r="X903" s="157" t="e">
        <f t="shared" si="133"/>
        <v>#VALUE!</v>
      </c>
      <c r="Y903">
        <v>7.91</v>
      </c>
      <c r="Z903" s="154" t="e">
        <f t="shared" si="134"/>
        <v>#VALUE!</v>
      </c>
      <c r="AA903">
        <v>7.91</v>
      </c>
      <c r="AB903" s="154" t="e">
        <f t="shared" si="135"/>
        <v>#VALUE!</v>
      </c>
      <c r="AC903">
        <v>7.91</v>
      </c>
      <c r="AD903" s="154" t="e">
        <f t="shared" si="136"/>
        <v>#VALUE!</v>
      </c>
      <c r="AE903">
        <v>7.91</v>
      </c>
    </row>
    <row r="904" spans="12:31" ht="15" x14ac:dyDescent="0.2">
      <c r="L904" s="154" t="e">
        <f t="shared" si="127"/>
        <v>#VALUE!</v>
      </c>
      <c r="M904">
        <v>7.92</v>
      </c>
      <c r="N904" s="154" t="e">
        <f t="shared" si="128"/>
        <v>#VALUE!</v>
      </c>
      <c r="O904">
        <v>7.92</v>
      </c>
      <c r="P904" s="154" t="e">
        <f t="shared" si="129"/>
        <v>#VALUE!</v>
      </c>
      <c r="Q904">
        <v>7.92</v>
      </c>
      <c r="R904" s="154" t="e">
        <f t="shared" si="130"/>
        <v>#VALUE!</v>
      </c>
      <c r="S904">
        <v>7.92</v>
      </c>
      <c r="T904" s="154" t="e">
        <f t="shared" si="131"/>
        <v>#VALUE!</v>
      </c>
      <c r="U904">
        <v>7.92</v>
      </c>
      <c r="V904" s="154" t="e">
        <f t="shared" si="132"/>
        <v>#VALUE!</v>
      </c>
      <c r="W904">
        <v>7.92</v>
      </c>
      <c r="X904" s="157" t="e">
        <f t="shared" si="133"/>
        <v>#VALUE!</v>
      </c>
      <c r="Y904">
        <v>7.92</v>
      </c>
      <c r="Z904" s="154" t="e">
        <f t="shared" si="134"/>
        <v>#VALUE!</v>
      </c>
      <c r="AA904">
        <v>7.92</v>
      </c>
      <c r="AB904" s="154" t="e">
        <f t="shared" si="135"/>
        <v>#VALUE!</v>
      </c>
      <c r="AC904">
        <v>7.92</v>
      </c>
      <c r="AD904" s="154" t="e">
        <f t="shared" si="136"/>
        <v>#VALUE!</v>
      </c>
      <c r="AE904">
        <v>7.92</v>
      </c>
    </row>
    <row r="905" spans="12:31" ht="15" x14ac:dyDescent="0.2">
      <c r="L905" s="154" t="e">
        <f t="shared" si="127"/>
        <v>#VALUE!</v>
      </c>
      <c r="M905">
        <v>7.93</v>
      </c>
      <c r="N905" s="154" t="e">
        <f t="shared" si="128"/>
        <v>#VALUE!</v>
      </c>
      <c r="O905">
        <v>7.93</v>
      </c>
      <c r="P905" s="154" t="e">
        <f t="shared" si="129"/>
        <v>#VALUE!</v>
      </c>
      <c r="Q905">
        <v>7.93</v>
      </c>
      <c r="R905" s="154" t="e">
        <f t="shared" si="130"/>
        <v>#VALUE!</v>
      </c>
      <c r="S905">
        <v>7.93</v>
      </c>
      <c r="T905" s="154" t="e">
        <f t="shared" si="131"/>
        <v>#VALUE!</v>
      </c>
      <c r="U905">
        <v>7.93</v>
      </c>
      <c r="V905" s="154" t="e">
        <f t="shared" si="132"/>
        <v>#VALUE!</v>
      </c>
      <c r="W905">
        <v>7.93</v>
      </c>
      <c r="X905" s="157" t="e">
        <f t="shared" si="133"/>
        <v>#VALUE!</v>
      </c>
      <c r="Y905">
        <v>7.93</v>
      </c>
      <c r="Z905" s="154" t="e">
        <f t="shared" si="134"/>
        <v>#VALUE!</v>
      </c>
      <c r="AA905">
        <v>7.93</v>
      </c>
      <c r="AB905" s="154" t="e">
        <f t="shared" si="135"/>
        <v>#VALUE!</v>
      </c>
      <c r="AC905">
        <v>7.93</v>
      </c>
      <c r="AD905" s="154" t="e">
        <f t="shared" si="136"/>
        <v>#VALUE!</v>
      </c>
      <c r="AE905">
        <v>7.93</v>
      </c>
    </row>
    <row r="906" spans="12:31" ht="15" x14ac:dyDescent="0.2">
      <c r="L906" s="154" t="e">
        <f t="shared" si="127"/>
        <v>#VALUE!</v>
      </c>
      <c r="M906">
        <v>7.94</v>
      </c>
      <c r="N906" s="154" t="e">
        <f t="shared" si="128"/>
        <v>#VALUE!</v>
      </c>
      <c r="O906">
        <v>7.94</v>
      </c>
      <c r="P906" s="154" t="e">
        <f t="shared" si="129"/>
        <v>#VALUE!</v>
      </c>
      <c r="Q906">
        <v>7.94</v>
      </c>
      <c r="R906" s="154" t="e">
        <f t="shared" si="130"/>
        <v>#VALUE!</v>
      </c>
      <c r="S906">
        <v>7.94</v>
      </c>
      <c r="T906" s="154" t="e">
        <f t="shared" si="131"/>
        <v>#VALUE!</v>
      </c>
      <c r="U906">
        <v>7.94</v>
      </c>
      <c r="V906" s="154" t="e">
        <f t="shared" si="132"/>
        <v>#VALUE!</v>
      </c>
      <c r="W906">
        <v>7.94</v>
      </c>
      <c r="X906" s="157" t="e">
        <f t="shared" si="133"/>
        <v>#VALUE!</v>
      </c>
      <c r="Y906">
        <v>7.94</v>
      </c>
      <c r="Z906" s="154" t="e">
        <f t="shared" si="134"/>
        <v>#VALUE!</v>
      </c>
      <c r="AA906">
        <v>7.94</v>
      </c>
      <c r="AB906" s="154" t="e">
        <f t="shared" si="135"/>
        <v>#VALUE!</v>
      </c>
      <c r="AC906">
        <v>7.94</v>
      </c>
      <c r="AD906" s="154" t="e">
        <f t="shared" si="136"/>
        <v>#VALUE!</v>
      </c>
      <c r="AE906">
        <v>7.94</v>
      </c>
    </row>
    <row r="907" spans="12:31" ht="15" x14ac:dyDescent="0.2">
      <c r="L907" s="154" t="e">
        <f t="shared" si="127"/>
        <v>#VALUE!</v>
      </c>
      <c r="M907">
        <v>7.95</v>
      </c>
      <c r="N907" s="154" t="e">
        <f t="shared" si="128"/>
        <v>#VALUE!</v>
      </c>
      <c r="O907">
        <v>7.95</v>
      </c>
      <c r="P907" s="154" t="e">
        <f t="shared" si="129"/>
        <v>#VALUE!</v>
      </c>
      <c r="Q907">
        <v>7.95</v>
      </c>
      <c r="R907" s="154" t="e">
        <f t="shared" si="130"/>
        <v>#VALUE!</v>
      </c>
      <c r="S907">
        <v>7.95</v>
      </c>
      <c r="T907" s="154" t="e">
        <f t="shared" si="131"/>
        <v>#VALUE!</v>
      </c>
      <c r="U907">
        <v>7.95</v>
      </c>
      <c r="V907" s="154" t="e">
        <f t="shared" si="132"/>
        <v>#VALUE!</v>
      </c>
      <c r="W907">
        <v>7.95</v>
      </c>
      <c r="X907" s="157" t="e">
        <f t="shared" si="133"/>
        <v>#VALUE!</v>
      </c>
      <c r="Y907">
        <v>7.95</v>
      </c>
      <c r="Z907" s="154" t="e">
        <f t="shared" si="134"/>
        <v>#VALUE!</v>
      </c>
      <c r="AA907">
        <v>7.95</v>
      </c>
      <c r="AB907" s="154" t="e">
        <f t="shared" si="135"/>
        <v>#VALUE!</v>
      </c>
      <c r="AC907">
        <v>7.95</v>
      </c>
      <c r="AD907" s="154" t="e">
        <f t="shared" si="136"/>
        <v>#VALUE!</v>
      </c>
      <c r="AE907">
        <v>7.95</v>
      </c>
    </row>
    <row r="908" spans="12:31" ht="15" x14ac:dyDescent="0.2">
      <c r="L908" s="154" t="e">
        <f t="shared" si="127"/>
        <v>#VALUE!</v>
      </c>
      <c r="M908">
        <v>7.96</v>
      </c>
      <c r="N908" s="154" t="e">
        <f t="shared" si="128"/>
        <v>#VALUE!</v>
      </c>
      <c r="O908">
        <v>7.96</v>
      </c>
      <c r="P908" s="154" t="e">
        <f t="shared" si="129"/>
        <v>#VALUE!</v>
      </c>
      <c r="Q908">
        <v>7.96</v>
      </c>
      <c r="R908" s="154" t="e">
        <f t="shared" si="130"/>
        <v>#VALUE!</v>
      </c>
      <c r="S908">
        <v>7.96</v>
      </c>
      <c r="T908" s="154" t="e">
        <f t="shared" si="131"/>
        <v>#VALUE!</v>
      </c>
      <c r="U908">
        <v>7.96</v>
      </c>
      <c r="V908" s="154" t="e">
        <f t="shared" si="132"/>
        <v>#VALUE!</v>
      </c>
      <c r="W908">
        <v>7.96</v>
      </c>
      <c r="X908" s="157" t="e">
        <f t="shared" si="133"/>
        <v>#VALUE!</v>
      </c>
      <c r="Y908">
        <v>7.96</v>
      </c>
      <c r="Z908" s="154" t="e">
        <f t="shared" si="134"/>
        <v>#VALUE!</v>
      </c>
      <c r="AA908">
        <v>7.96</v>
      </c>
      <c r="AB908" s="154" t="e">
        <f t="shared" si="135"/>
        <v>#VALUE!</v>
      </c>
      <c r="AC908">
        <v>7.96</v>
      </c>
      <c r="AD908" s="154" t="e">
        <f t="shared" si="136"/>
        <v>#VALUE!</v>
      </c>
      <c r="AE908">
        <v>7.96</v>
      </c>
    </row>
    <row r="909" spans="12:31" ht="15" x14ac:dyDescent="0.2">
      <c r="L909" s="154" t="e">
        <f t="shared" si="127"/>
        <v>#VALUE!</v>
      </c>
      <c r="M909">
        <v>7.97</v>
      </c>
      <c r="N909" s="154" t="e">
        <f t="shared" si="128"/>
        <v>#VALUE!</v>
      </c>
      <c r="O909">
        <v>7.97</v>
      </c>
      <c r="P909" s="154" t="e">
        <f t="shared" si="129"/>
        <v>#VALUE!</v>
      </c>
      <c r="Q909">
        <v>7.97</v>
      </c>
      <c r="R909" s="154" t="e">
        <f t="shared" si="130"/>
        <v>#VALUE!</v>
      </c>
      <c r="S909">
        <v>7.97</v>
      </c>
      <c r="T909" s="154" t="e">
        <f t="shared" si="131"/>
        <v>#VALUE!</v>
      </c>
      <c r="U909">
        <v>7.97</v>
      </c>
      <c r="V909" s="154" t="e">
        <f t="shared" si="132"/>
        <v>#VALUE!</v>
      </c>
      <c r="W909">
        <v>7.97</v>
      </c>
      <c r="X909" s="157" t="e">
        <f t="shared" si="133"/>
        <v>#VALUE!</v>
      </c>
      <c r="Y909">
        <v>7.97</v>
      </c>
      <c r="Z909" s="154" t="e">
        <f t="shared" si="134"/>
        <v>#VALUE!</v>
      </c>
      <c r="AA909">
        <v>7.97</v>
      </c>
      <c r="AB909" s="154" t="e">
        <f t="shared" si="135"/>
        <v>#VALUE!</v>
      </c>
      <c r="AC909">
        <v>7.97</v>
      </c>
      <c r="AD909" s="154" t="e">
        <f t="shared" si="136"/>
        <v>#VALUE!</v>
      </c>
      <c r="AE909">
        <v>7.97</v>
      </c>
    </row>
    <row r="910" spans="12:31" ht="15" x14ac:dyDescent="0.2">
      <c r="L910" s="154" t="e">
        <f t="shared" si="127"/>
        <v>#VALUE!</v>
      </c>
      <c r="M910">
        <v>7.98</v>
      </c>
      <c r="N910" s="154" t="e">
        <f t="shared" si="128"/>
        <v>#VALUE!</v>
      </c>
      <c r="O910">
        <v>7.98</v>
      </c>
      <c r="P910" s="154" t="e">
        <f t="shared" si="129"/>
        <v>#VALUE!</v>
      </c>
      <c r="Q910">
        <v>7.98</v>
      </c>
      <c r="R910" s="154" t="e">
        <f t="shared" si="130"/>
        <v>#VALUE!</v>
      </c>
      <c r="S910">
        <v>7.98</v>
      </c>
      <c r="T910" s="154" t="e">
        <f t="shared" si="131"/>
        <v>#VALUE!</v>
      </c>
      <c r="U910">
        <v>7.98</v>
      </c>
      <c r="V910" s="154" t="e">
        <f t="shared" si="132"/>
        <v>#VALUE!</v>
      </c>
      <c r="W910">
        <v>7.98</v>
      </c>
      <c r="X910" s="157" t="e">
        <f t="shared" si="133"/>
        <v>#VALUE!</v>
      </c>
      <c r="Y910">
        <v>7.98</v>
      </c>
      <c r="Z910" s="154" t="e">
        <f t="shared" si="134"/>
        <v>#VALUE!</v>
      </c>
      <c r="AA910">
        <v>7.98</v>
      </c>
      <c r="AB910" s="154" t="e">
        <f t="shared" si="135"/>
        <v>#VALUE!</v>
      </c>
      <c r="AC910">
        <v>7.98</v>
      </c>
      <c r="AD910" s="154" t="e">
        <f t="shared" si="136"/>
        <v>#VALUE!</v>
      </c>
      <c r="AE910">
        <v>7.98</v>
      </c>
    </row>
    <row r="911" spans="12:31" ht="15" x14ac:dyDescent="0.2">
      <c r="L911" s="154" t="e">
        <f t="shared" si="127"/>
        <v>#VALUE!</v>
      </c>
      <c r="M911">
        <v>7.99</v>
      </c>
      <c r="N911" s="154" t="e">
        <f t="shared" si="128"/>
        <v>#VALUE!</v>
      </c>
      <c r="O911">
        <v>7.99</v>
      </c>
      <c r="P911" s="154" t="e">
        <f t="shared" si="129"/>
        <v>#VALUE!</v>
      </c>
      <c r="Q911">
        <v>7.99</v>
      </c>
      <c r="R911" s="154" t="e">
        <f t="shared" si="130"/>
        <v>#VALUE!</v>
      </c>
      <c r="S911">
        <v>7.99</v>
      </c>
      <c r="T911" s="154" t="e">
        <f t="shared" si="131"/>
        <v>#VALUE!</v>
      </c>
      <c r="U911">
        <v>7.99</v>
      </c>
      <c r="V911" s="154" t="e">
        <f t="shared" si="132"/>
        <v>#VALUE!</v>
      </c>
      <c r="W911">
        <v>7.99</v>
      </c>
      <c r="X911" s="157" t="e">
        <f t="shared" si="133"/>
        <v>#VALUE!</v>
      </c>
      <c r="Y911">
        <v>7.99</v>
      </c>
      <c r="Z911" s="154" t="e">
        <f t="shared" si="134"/>
        <v>#VALUE!</v>
      </c>
      <c r="AA911">
        <v>7.99</v>
      </c>
      <c r="AB911" s="154" t="e">
        <f t="shared" si="135"/>
        <v>#VALUE!</v>
      </c>
      <c r="AC911">
        <v>7.99</v>
      </c>
      <c r="AD911" s="154" t="e">
        <f t="shared" si="136"/>
        <v>#VALUE!</v>
      </c>
      <c r="AE911">
        <v>7.99</v>
      </c>
    </row>
    <row r="912" spans="12:31" ht="15" x14ac:dyDescent="0.2">
      <c r="L912" s="154" t="e">
        <f t="shared" si="127"/>
        <v>#VALUE!</v>
      </c>
      <c r="M912">
        <v>8</v>
      </c>
      <c r="N912" s="154" t="e">
        <f t="shared" si="128"/>
        <v>#VALUE!</v>
      </c>
      <c r="O912">
        <v>8</v>
      </c>
      <c r="P912" s="154" t="e">
        <f t="shared" si="129"/>
        <v>#VALUE!</v>
      </c>
      <c r="Q912">
        <v>8</v>
      </c>
      <c r="R912" s="154" t="e">
        <f t="shared" si="130"/>
        <v>#VALUE!</v>
      </c>
      <c r="S912">
        <v>8</v>
      </c>
      <c r="T912" s="154" t="e">
        <f t="shared" si="131"/>
        <v>#VALUE!</v>
      </c>
      <c r="U912">
        <v>8</v>
      </c>
      <c r="V912" s="154" t="e">
        <f t="shared" si="132"/>
        <v>#VALUE!</v>
      </c>
      <c r="W912">
        <v>8</v>
      </c>
      <c r="X912" s="157" t="e">
        <f t="shared" si="133"/>
        <v>#VALUE!</v>
      </c>
      <c r="Y912">
        <v>8</v>
      </c>
      <c r="Z912" s="154" t="e">
        <f t="shared" si="134"/>
        <v>#VALUE!</v>
      </c>
      <c r="AA912">
        <v>8</v>
      </c>
      <c r="AB912" s="154" t="e">
        <f t="shared" si="135"/>
        <v>#VALUE!</v>
      </c>
      <c r="AC912">
        <v>8</v>
      </c>
      <c r="AD912" s="154" t="e">
        <f t="shared" si="136"/>
        <v>#VALUE!</v>
      </c>
      <c r="AE912">
        <v>8</v>
      </c>
    </row>
    <row r="913" spans="12:31" ht="15" x14ac:dyDescent="0.2">
      <c r="L913" s="154" t="e">
        <f t="shared" si="127"/>
        <v>#VALUE!</v>
      </c>
      <c r="M913">
        <v>8.01</v>
      </c>
      <c r="N913" s="154" t="e">
        <f t="shared" si="128"/>
        <v>#VALUE!</v>
      </c>
      <c r="O913">
        <v>8.01</v>
      </c>
      <c r="P913" s="154" t="e">
        <f t="shared" si="129"/>
        <v>#VALUE!</v>
      </c>
      <c r="Q913">
        <v>8.01</v>
      </c>
      <c r="R913" s="154" t="e">
        <f t="shared" si="130"/>
        <v>#VALUE!</v>
      </c>
      <c r="S913">
        <v>8.01</v>
      </c>
      <c r="T913" s="154" t="e">
        <f t="shared" si="131"/>
        <v>#VALUE!</v>
      </c>
      <c r="U913">
        <v>8.01</v>
      </c>
      <c r="V913" s="154" t="e">
        <f t="shared" si="132"/>
        <v>#VALUE!</v>
      </c>
      <c r="W913">
        <v>8.01</v>
      </c>
      <c r="X913" s="157" t="e">
        <f t="shared" si="133"/>
        <v>#VALUE!</v>
      </c>
      <c r="Y913">
        <v>8.01</v>
      </c>
      <c r="Z913" s="154" t="e">
        <f t="shared" si="134"/>
        <v>#VALUE!</v>
      </c>
      <c r="AA913">
        <v>8.01</v>
      </c>
      <c r="AB913" s="154" t="e">
        <f t="shared" si="135"/>
        <v>#VALUE!</v>
      </c>
      <c r="AC913">
        <v>8.01</v>
      </c>
      <c r="AD913" s="154" t="e">
        <f t="shared" si="136"/>
        <v>#VALUE!</v>
      </c>
      <c r="AE913">
        <v>8.01</v>
      </c>
    </row>
    <row r="914" spans="12:31" ht="15" x14ac:dyDescent="0.2">
      <c r="L914" s="154" t="e">
        <f t="shared" si="127"/>
        <v>#VALUE!</v>
      </c>
      <c r="M914">
        <v>8.02</v>
      </c>
      <c r="N914" s="154" t="e">
        <f t="shared" si="128"/>
        <v>#VALUE!</v>
      </c>
      <c r="O914">
        <v>8.02</v>
      </c>
      <c r="P914" s="154" t="e">
        <f t="shared" si="129"/>
        <v>#VALUE!</v>
      </c>
      <c r="Q914">
        <v>8.02</v>
      </c>
      <c r="R914" s="154" t="e">
        <f t="shared" si="130"/>
        <v>#VALUE!</v>
      </c>
      <c r="S914">
        <v>8.02</v>
      </c>
      <c r="T914" s="154" t="e">
        <f t="shared" si="131"/>
        <v>#VALUE!</v>
      </c>
      <c r="U914">
        <v>8.02</v>
      </c>
      <c r="V914" s="154" t="e">
        <f t="shared" si="132"/>
        <v>#VALUE!</v>
      </c>
      <c r="W914">
        <v>8.02</v>
      </c>
      <c r="X914" s="157" t="e">
        <f t="shared" si="133"/>
        <v>#VALUE!</v>
      </c>
      <c r="Y914">
        <v>8.02</v>
      </c>
      <c r="Z914" s="154" t="e">
        <f t="shared" si="134"/>
        <v>#VALUE!</v>
      </c>
      <c r="AA914">
        <v>8.02</v>
      </c>
      <c r="AB914" s="154" t="e">
        <f t="shared" si="135"/>
        <v>#VALUE!</v>
      </c>
      <c r="AC914">
        <v>8.02</v>
      </c>
      <c r="AD914" s="154" t="e">
        <f t="shared" si="136"/>
        <v>#VALUE!</v>
      </c>
      <c r="AE914">
        <v>8.02</v>
      </c>
    </row>
    <row r="915" spans="12:31" ht="15" x14ac:dyDescent="0.2">
      <c r="L915" s="154" t="e">
        <f t="shared" si="127"/>
        <v>#VALUE!</v>
      </c>
      <c r="M915">
        <v>8.0299999999999994</v>
      </c>
      <c r="N915" s="154" t="e">
        <f t="shared" si="128"/>
        <v>#VALUE!</v>
      </c>
      <c r="O915">
        <v>8.0299999999999994</v>
      </c>
      <c r="P915" s="154" t="e">
        <f t="shared" si="129"/>
        <v>#VALUE!</v>
      </c>
      <c r="Q915">
        <v>8.0299999999999994</v>
      </c>
      <c r="R915" s="154" t="e">
        <f t="shared" si="130"/>
        <v>#VALUE!</v>
      </c>
      <c r="S915">
        <v>8.0299999999999994</v>
      </c>
      <c r="T915" s="154" t="e">
        <f t="shared" si="131"/>
        <v>#VALUE!</v>
      </c>
      <c r="U915">
        <v>8.0299999999999994</v>
      </c>
      <c r="V915" s="154" t="e">
        <f t="shared" si="132"/>
        <v>#VALUE!</v>
      </c>
      <c r="W915">
        <v>8.0299999999999994</v>
      </c>
      <c r="X915" s="157" t="e">
        <f t="shared" si="133"/>
        <v>#VALUE!</v>
      </c>
      <c r="Y915">
        <v>8.0299999999999994</v>
      </c>
      <c r="Z915" s="154" t="e">
        <f t="shared" si="134"/>
        <v>#VALUE!</v>
      </c>
      <c r="AA915">
        <v>8.0299999999999994</v>
      </c>
      <c r="AB915" s="154" t="e">
        <f t="shared" si="135"/>
        <v>#VALUE!</v>
      </c>
      <c r="AC915">
        <v>8.0299999999999994</v>
      </c>
      <c r="AD915" s="154" t="e">
        <f t="shared" si="136"/>
        <v>#VALUE!</v>
      </c>
      <c r="AE915">
        <v>8.0299999999999994</v>
      </c>
    </row>
    <row r="916" spans="12:31" ht="15" x14ac:dyDescent="0.2">
      <c r="L916" s="154" t="e">
        <f t="shared" si="127"/>
        <v>#VALUE!</v>
      </c>
      <c r="M916">
        <v>8.0399999999999991</v>
      </c>
      <c r="N916" s="154" t="e">
        <f t="shared" si="128"/>
        <v>#VALUE!</v>
      </c>
      <c r="O916">
        <v>8.0399999999999991</v>
      </c>
      <c r="P916" s="154" t="e">
        <f t="shared" si="129"/>
        <v>#VALUE!</v>
      </c>
      <c r="Q916">
        <v>8.0399999999999991</v>
      </c>
      <c r="R916" s="154" t="e">
        <f t="shared" si="130"/>
        <v>#VALUE!</v>
      </c>
      <c r="S916">
        <v>8.0399999999999991</v>
      </c>
      <c r="T916" s="154" t="e">
        <f t="shared" si="131"/>
        <v>#VALUE!</v>
      </c>
      <c r="U916">
        <v>8.0399999999999991</v>
      </c>
      <c r="V916" s="154" t="e">
        <f t="shared" si="132"/>
        <v>#VALUE!</v>
      </c>
      <c r="W916">
        <v>8.0399999999999991</v>
      </c>
      <c r="X916" s="157" t="e">
        <f t="shared" si="133"/>
        <v>#VALUE!</v>
      </c>
      <c r="Y916">
        <v>8.0399999999999991</v>
      </c>
      <c r="Z916" s="154" t="e">
        <f t="shared" si="134"/>
        <v>#VALUE!</v>
      </c>
      <c r="AA916">
        <v>8.0399999999999991</v>
      </c>
      <c r="AB916" s="154" t="e">
        <f t="shared" si="135"/>
        <v>#VALUE!</v>
      </c>
      <c r="AC916">
        <v>8.0399999999999991</v>
      </c>
      <c r="AD916" s="154" t="e">
        <f t="shared" si="136"/>
        <v>#VALUE!</v>
      </c>
      <c r="AE916">
        <v>8.0399999999999991</v>
      </c>
    </row>
    <row r="917" spans="12:31" ht="15" x14ac:dyDescent="0.2">
      <c r="L917" s="154" t="e">
        <f t="shared" si="127"/>
        <v>#VALUE!</v>
      </c>
      <c r="M917">
        <v>8.0500000000000007</v>
      </c>
      <c r="N917" s="154" t="e">
        <f t="shared" si="128"/>
        <v>#VALUE!</v>
      </c>
      <c r="O917">
        <v>8.0500000000000007</v>
      </c>
      <c r="P917" s="154" t="e">
        <f t="shared" si="129"/>
        <v>#VALUE!</v>
      </c>
      <c r="Q917">
        <v>8.0500000000000007</v>
      </c>
      <c r="R917" s="154" t="e">
        <f t="shared" si="130"/>
        <v>#VALUE!</v>
      </c>
      <c r="S917">
        <v>8.0500000000000007</v>
      </c>
      <c r="T917" s="154" t="e">
        <f t="shared" si="131"/>
        <v>#VALUE!</v>
      </c>
      <c r="U917">
        <v>8.0500000000000007</v>
      </c>
      <c r="V917" s="154" t="e">
        <f t="shared" si="132"/>
        <v>#VALUE!</v>
      </c>
      <c r="W917">
        <v>8.0500000000000007</v>
      </c>
      <c r="X917" s="157" t="e">
        <f t="shared" si="133"/>
        <v>#VALUE!</v>
      </c>
      <c r="Y917">
        <v>8.0500000000000007</v>
      </c>
      <c r="Z917" s="154" t="e">
        <f t="shared" si="134"/>
        <v>#VALUE!</v>
      </c>
      <c r="AA917">
        <v>8.0500000000000007</v>
      </c>
      <c r="AB917" s="154" t="e">
        <f t="shared" si="135"/>
        <v>#VALUE!</v>
      </c>
      <c r="AC917">
        <v>8.0500000000000007</v>
      </c>
      <c r="AD917" s="154" t="e">
        <f t="shared" si="136"/>
        <v>#VALUE!</v>
      </c>
      <c r="AE917">
        <v>8.0500000000000007</v>
      </c>
    </row>
    <row r="918" spans="12:31" ht="15" x14ac:dyDescent="0.2">
      <c r="L918" s="154" t="e">
        <f t="shared" si="127"/>
        <v>#VALUE!</v>
      </c>
      <c r="M918">
        <v>8.06</v>
      </c>
      <c r="N918" s="154" t="e">
        <f t="shared" si="128"/>
        <v>#VALUE!</v>
      </c>
      <c r="O918">
        <v>8.06</v>
      </c>
      <c r="P918" s="154" t="e">
        <f t="shared" si="129"/>
        <v>#VALUE!</v>
      </c>
      <c r="Q918">
        <v>8.06</v>
      </c>
      <c r="R918" s="154" t="e">
        <f t="shared" si="130"/>
        <v>#VALUE!</v>
      </c>
      <c r="S918">
        <v>8.06</v>
      </c>
      <c r="T918" s="154" t="e">
        <f t="shared" si="131"/>
        <v>#VALUE!</v>
      </c>
      <c r="U918">
        <v>8.06</v>
      </c>
      <c r="V918" s="154" t="e">
        <f t="shared" si="132"/>
        <v>#VALUE!</v>
      </c>
      <c r="W918">
        <v>8.06</v>
      </c>
      <c r="X918" s="157" t="e">
        <f t="shared" si="133"/>
        <v>#VALUE!</v>
      </c>
      <c r="Y918">
        <v>8.06</v>
      </c>
      <c r="Z918" s="154" t="e">
        <f t="shared" si="134"/>
        <v>#VALUE!</v>
      </c>
      <c r="AA918">
        <v>8.06</v>
      </c>
      <c r="AB918" s="154" t="e">
        <f t="shared" si="135"/>
        <v>#VALUE!</v>
      </c>
      <c r="AC918">
        <v>8.06</v>
      </c>
      <c r="AD918" s="154" t="e">
        <f t="shared" si="136"/>
        <v>#VALUE!</v>
      </c>
      <c r="AE918">
        <v>8.06</v>
      </c>
    </row>
    <row r="919" spans="12:31" ht="15" x14ac:dyDescent="0.2">
      <c r="L919" s="154" t="e">
        <f t="shared" si="127"/>
        <v>#VALUE!</v>
      </c>
      <c r="M919">
        <v>8.07</v>
      </c>
      <c r="N919" s="154" t="e">
        <f t="shared" si="128"/>
        <v>#VALUE!</v>
      </c>
      <c r="O919">
        <v>8.07</v>
      </c>
      <c r="P919" s="154" t="e">
        <f t="shared" si="129"/>
        <v>#VALUE!</v>
      </c>
      <c r="Q919">
        <v>8.07</v>
      </c>
      <c r="R919" s="154" t="e">
        <f t="shared" si="130"/>
        <v>#VALUE!</v>
      </c>
      <c r="S919">
        <v>8.07</v>
      </c>
      <c r="T919" s="154" t="e">
        <f t="shared" si="131"/>
        <v>#VALUE!</v>
      </c>
      <c r="U919">
        <v>8.07</v>
      </c>
      <c r="V919" s="154" t="e">
        <f t="shared" si="132"/>
        <v>#VALUE!</v>
      </c>
      <c r="W919">
        <v>8.07</v>
      </c>
      <c r="X919" s="157" t="e">
        <f t="shared" si="133"/>
        <v>#VALUE!</v>
      </c>
      <c r="Y919">
        <v>8.07</v>
      </c>
      <c r="Z919" s="154" t="e">
        <f t="shared" si="134"/>
        <v>#VALUE!</v>
      </c>
      <c r="AA919">
        <v>8.07</v>
      </c>
      <c r="AB919" s="154" t="e">
        <f t="shared" si="135"/>
        <v>#VALUE!</v>
      </c>
      <c r="AC919">
        <v>8.07</v>
      </c>
      <c r="AD919" s="154" t="e">
        <f t="shared" si="136"/>
        <v>#VALUE!</v>
      </c>
      <c r="AE919">
        <v>8.07</v>
      </c>
    </row>
    <row r="920" spans="12:31" ht="15" x14ac:dyDescent="0.2">
      <c r="L920" s="154" t="e">
        <f t="shared" si="127"/>
        <v>#VALUE!</v>
      </c>
      <c r="M920">
        <v>8.08</v>
      </c>
      <c r="N920" s="154" t="e">
        <f t="shared" si="128"/>
        <v>#VALUE!</v>
      </c>
      <c r="O920">
        <v>8.08</v>
      </c>
      <c r="P920" s="154" t="e">
        <f t="shared" si="129"/>
        <v>#VALUE!</v>
      </c>
      <c r="Q920">
        <v>8.08</v>
      </c>
      <c r="R920" s="154" t="e">
        <f t="shared" si="130"/>
        <v>#VALUE!</v>
      </c>
      <c r="S920">
        <v>8.08</v>
      </c>
      <c r="T920" s="154" t="e">
        <f t="shared" si="131"/>
        <v>#VALUE!</v>
      </c>
      <c r="U920">
        <v>8.08</v>
      </c>
      <c r="V920" s="154" t="e">
        <f t="shared" si="132"/>
        <v>#VALUE!</v>
      </c>
      <c r="W920">
        <v>8.08</v>
      </c>
      <c r="X920" s="157" t="e">
        <f t="shared" si="133"/>
        <v>#VALUE!</v>
      </c>
      <c r="Y920">
        <v>8.08</v>
      </c>
      <c r="Z920" s="154" t="e">
        <f t="shared" si="134"/>
        <v>#VALUE!</v>
      </c>
      <c r="AA920">
        <v>8.08</v>
      </c>
      <c r="AB920" s="154" t="e">
        <f t="shared" si="135"/>
        <v>#VALUE!</v>
      </c>
      <c r="AC920">
        <v>8.08</v>
      </c>
      <c r="AD920" s="154" t="e">
        <f t="shared" si="136"/>
        <v>#VALUE!</v>
      </c>
      <c r="AE920">
        <v>8.08</v>
      </c>
    </row>
    <row r="921" spans="12:31" ht="15" x14ac:dyDescent="0.2">
      <c r="L921" s="154" t="e">
        <f t="shared" si="127"/>
        <v>#VALUE!</v>
      </c>
      <c r="M921">
        <v>8.09</v>
      </c>
      <c r="N921" s="154" t="e">
        <f t="shared" si="128"/>
        <v>#VALUE!</v>
      </c>
      <c r="O921">
        <v>8.09</v>
      </c>
      <c r="P921" s="154" t="e">
        <f t="shared" si="129"/>
        <v>#VALUE!</v>
      </c>
      <c r="Q921">
        <v>8.09</v>
      </c>
      <c r="R921" s="154" t="e">
        <f t="shared" si="130"/>
        <v>#VALUE!</v>
      </c>
      <c r="S921">
        <v>8.09</v>
      </c>
      <c r="T921" s="154" t="e">
        <f t="shared" si="131"/>
        <v>#VALUE!</v>
      </c>
      <c r="U921">
        <v>8.09</v>
      </c>
      <c r="V921" s="154" t="e">
        <f t="shared" si="132"/>
        <v>#VALUE!</v>
      </c>
      <c r="W921">
        <v>8.09</v>
      </c>
      <c r="X921" s="157" t="e">
        <f t="shared" si="133"/>
        <v>#VALUE!</v>
      </c>
      <c r="Y921">
        <v>8.09</v>
      </c>
      <c r="Z921" s="154" t="e">
        <f t="shared" si="134"/>
        <v>#VALUE!</v>
      </c>
      <c r="AA921">
        <v>8.09</v>
      </c>
      <c r="AB921" s="154" t="e">
        <f t="shared" si="135"/>
        <v>#VALUE!</v>
      </c>
      <c r="AC921">
        <v>8.09</v>
      </c>
      <c r="AD921" s="154" t="e">
        <f t="shared" si="136"/>
        <v>#VALUE!</v>
      </c>
      <c r="AE921">
        <v>8.09</v>
      </c>
    </row>
    <row r="922" spans="12:31" ht="15" x14ac:dyDescent="0.2">
      <c r="L922" s="154" t="e">
        <f t="shared" si="127"/>
        <v>#VALUE!</v>
      </c>
      <c r="M922">
        <v>8.1</v>
      </c>
      <c r="N922" s="154" t="e">
        <f t="shared" si="128"/>
        <v>#VALUE!</v>
      </c>
      <c r="O922">
        <v>8.1</v>
      </c>
      <c r="P922" s="154" t="e">
        <f t="shared" si="129"/>
        <v>#VALUE!</v>
      </c>
      <c r="Q922">
        <v>8.1</v>
      </c>
      <c r="R922" s="154" t="e">
        <f t="shared" si="130"/>
        <v>#VALUE!</v>
      </c>
      <c r="S922">
        <v>8.1</v>
      </c>
      <c r="T922" s="154" t="e">
        <f t="shared" si="131"/>
        <v>#VALUE!</v>
      </c>
      <c r="U922">
        <v>8.1</v>
      </c>
      <c r="V922" s="154" t="e">
        <f t="shared" si="132"/>
        <v>#VALUE!</v>
      </c>
      <c r="W922">
        <v>8.1</v>
      </c>
      <c r="X922" s="157" t="e">
        <f t="shared" si="133"/>
        <v>#VALUE!</v>
      </c>
      <c r="Y922">
        <v>8.1</v>
      </c>
      <c r="Z922" s="154" t="e">
        <f t="shared" si="134"/>
        <v>#VALUE!</v>
      </c>
      <c r="AA922">
        <v>8.1</v>
      </c>
      <c r="AB922" s="154" t="e">
        <f t="shared" si="135"/>
        <v>#VALUE!</v>
      </c>
      <c r="AC922">
        <v>8.1</v>
      </c>
      <c r="AD922" s="154" t="e">
        <f t="shared" si="136"/>
        <v>#VALUE!</v>
      </c>
      <c r="AE922">
        <v>8.1</v>
      </c>
    </row>
    <row r="923" spans="12:31" ht="15" x14ac:dyDescent="0.2">
      <c r="L923" s="154" t="e">
        <f t="shared" si="127"/>
        <v>#VALUE!</v>
      </c>
      <c r="M923">
        <v>8.11</v>
      </c>
      <c r="N923" s="154" t="e">
        <f t="shared" si="128"/>
        <v>#VALUE!</v>
      </c>
      <c r="O923">
        <v>8.11</v>
      </c>
      <c r="P923" s="154" t="e">
        <f t="shared" si="129"/>
        <v>#VALUE!</v>
      </c>
      <c r="Q923">
        <v>8.11</v>
      </c>
      <c r="R923" s="154" t="e">
        <f t="shared" si="130"/>
        <v>#VALUE!</v>
      </c>
      <c r="S923">
        <v>8.11</v>
      </c>
      <c r="T923" s="154" t="e">
        <f t="shared" si="131"/>
        <v>#VALUE!</v>
      </c>
      <c r="U923">
        <v>8.11</v>
      </c>
      <c r="V923" s="154" t="e">
        <f t="shared" si="132"/>
        <v>#VALUE!</v>
      </c>
      <c r="W923">
        <v>8.11</v>
      </c>
      <c r="X923" s="157" t="e">
        <f t="shared" si="133"/>
        <v>#VALUE!</v>
      </c>
      <c r="Y923">
        <v>8.11</v>
      </c>
      <c r="Z923" s="154" t="e">
        <f t="shared" si="134"/>
        <v>#VALUE!</v>
      </c>
      <c r="AA923">
        <v>8.11</v>
      </c>
      <c r="AB923" s="154" t="e">
        <f t="shared" si="135"/>
        <v>#VALUE!</v>
      </c>
      <c r="AC923">
        <v>8.11</v>
      </c>
      <c r="AD923" s="154" t="e">
        <f t="shared" si="136"/>
        <v>#VALUE!</v>
      </c>
      <c r="AE923">
        <v>8.11</v>
      </c>
    </row>
    <row r="924" spans="12:31" ht="15" x14ac:dyDescent="0.2">
      <c r="L924" s="154" t="e">
        <f t="shared" si="127"/>
        <v>#VALUE!</v>
      </c>
      <c r="M924">
        <v>8.1199999999999992</v>
      </c>
      <c r="N924" s="154" t="e">
        <f t="shared" si="128"/>
        <v>#VALUE!</v>
      </c>
      <c r="O924">
        <v>8.1199999999999992</v>
      </c>
      <c r="P924" s="154" t="e">
        <f t="shared" si="129"/>
        <v>#VALUE!</v>
      </c>
      <c r="Q924">
        <v>8.1199999999999992</v>
      </c>
      <c r="R924" s="154" t="e">
        <f t="shared" si="130"/>
        <v>#VALUE!</v>
      </c>
      <c r="S924">
        <v>8.1199999999999992</v>
      </c>
      <c r="T924" s="154" t="e">
        <f t="shared" si="131"/>
        <v>#VALUE!</v>
      </c>
      <c r="U924">
        <v>8.1199999999999992</v>
      </c>
      <c r="V924" s="154" t="e">
        <f t="shared" si="132"/>
        <v>#VALUE!</v>
      </c>
      <c r="W924">
        <v>8.1199999999999992</v>
      </c>
      <c r="X924" s="157" t="e">
        <f t="shared" si="133"/>
        <v>#VALUE!</v>
      </c>
      <c r="Y924">
        <v>8.1199999999999992</v>
      </c>
      <c r="Z924" s="154" t="e">
        <f t="shared" si="134"/>
        <v>#VALUE!</v>
      </c>
      <c r="AA924">
        <v>8.1199999999999992</v>
      </c>
      <c r="AB924" s="154" t="e">
        <f t="shared" si="135"/>
        <v>#VALUE!</v>
      </c>
      <c r="AC924">
        <v>8.1199999999999992</v>
      </c>
      <c r="AD924" s="154" t="e">
        <f t="shared" si="136"/>
        <v>#VALUE!</v>
      </c>
      <c r="AE924">
        <v>8.1199999999999992</v>
      </c>
    </row>
    <row r="925" spans="12:31" ht="15" x14ac:dyDescent="0.2">
      <c r="L925" s="154" t="e">
        <f t="shared" si="127"/>
        <v>#VALUE!</v>
      </c>
      <c r="M925">
        <v>8.1300000000000008</v>
      </c>
      <c r="N925" s="154" t="e">
        <f t="shared" si="128"/>
        <v>#VALUE!</v>
      </c>
      <c r="O925">
        <v>8.1300000000000008</v>
      </c>
      <c r="P925" s="154" t="e">
        <f t="shared" si="129"/>
        <v>#VALUE!</v>
      </c>
      <c r="Q925">
        <v>8.1300000000000008</v>
      </c>
      <c r="R925" s="154" t="e">
        <f t="shared" si="130"/>
        <v>#VALUE!</v>
      </c>
      <c r="S925">
        <v>8.1300000000000008</v>
      </c>
      <c r="T925" s="154" t="e">
        <f t="shared" si="131"/>
        <v>#VALUE!</v>
      </c>
      <c r="U925">
        <v>8.1300000000000008</v>
      </c>
      <c r="V925" s="154" t="e">
        <f t="shared" si="132"/>
        <v>#VALUE!</v>
      </c>
      <c r="W925">
        <v>8.1300000000000008</v>
      </c>
      <c r="X925" s="157" t="e">
        <f t="shared" si="133"/>
        <v>#VALUE!</v>
      </c>
      <c r="Y925">
        <v>8.1300000000000008</v>
      </c>
      <c r="Z925" s="154" t="e">
        <f t="shared" si="134"/>
        <v>#VALUE!</v>
      </c>
      <c r="AA925">
        <v>8.1300000000000008</v>
      </c>
      <c r="AB925" s="154" t="e">
        <f t="shared" si="135"/>
        <v>#VALUE!</v>
      </c>
      <c r="AC925">
        <v>8.1300000000000008</v>
      </c>
      <c r="AD925" s="154" t="e">
        <f t="shared" si="136"/>
        <v>#VALUE!</v>
      </c>
      <c r="AE925">
        <v>8.1300000000000008</v>
      </c>
    </row>
    <row r="926" spans="12:31" ht="15" x14ac:dyDescent="0.2">
      <c r="L926" s="154" t="e">
        <f t="shared" si="127"/>
        <v>#VALUE!</v>
      </c>
      <c r="M926">
        <v>8.14</v>
      </c>
      <c r="N926" s="154" t="e">
        <f t="shared" si="128"/>
        <v>#VALUE!</v>
      </c>
      <c r="O926">
        <v>8.14</v>
      </c>
      <c r="P926" s="154" t="e">
        <f t="shared" si="129"/>
        <v>#VALUE!</v>
      </c>
      <c r="Q926">
        <v>8.14</v>
      </c>
      <c r="R926" s="154" t="e">
        <f t="shared" si="130"/>
        <v>#VALUE!</v>
      </c>
      <c r="S926">
        <v>8.14</v>
      </c>
      <c r="T926" s="154" t="e">
        <f t="shared" si="131"/>
        <v>#VALUE!</v>
      </c>
      <c r="U926">
        <v>8.14</v>
      </c>
      <c r="V926" s="154" t="e">
        <f t="shared" si="132"/>
        <v>#VALUE!</v>
      </c>
      <c r="W926">
        <v>8.14</v>
      </c>
      <c r="X926" s="157" t="e">
        <f t="shared" si="133"/>
        <v>#VALUE!</v>
      </c>
      <c r="Y926">
        <v>8.14</v>
      </c>
      <c r="Z926" s="154" t="e">
        <f t="shared" si="134"/>
        <v>#VALUE!</v>
      </c>
      <c r="AA926">
        <v>8.14</v>
      </c>
      <c r="AB926" s="154" t="e">
        <f t="shared" si="135"/>
        <v>#VALUE!</v>
      </c>
      <c r="AC926">
        <v>8.14</v>
      </c>
      <c r="AD926" s="154" t="e">
        <f t="shared" si="136"/>
        <v>#VALUE!</v>
      </c>
      <c r="AE926">
        <v>8.14</v>
      </c>
    </row>
    <row r="927" spans="12:31" ht="15" x14ac:dyDescent="0.2">
      <c r="L927" s="154" t="e">
        <f t="shared" si="127"/>
        <v>#VALUE!</v>
      </c>
      <c r="M927">
        <v>8.15</v>
      </c>
      <c r="N927" s="154" t="e">
        <f t="shared" si="128"/>
        <v>#VALUE!</v>
      </c>
      <c r="O927">
        <v>8.15</v>
      </c>
      <c r="P927" s="154" t="e">
        <f t="shared" si="129"/>
        <v>#VALUE!</v>
      </c>
      <c r="Q927">
        <v>8.15</v>
      </c>
      <c r="R927" s="154" t="e">
        <f t="shared" si="130"/>
        <v>#VALUE!</v>
      </c>
      <c r="S927">
        <v>8.15</v>
      </c>
      <c r="T927" s="154" t="e">
        <f t="shared" si="131"/>
        <v>#VALUE!</v>
      </c>
      <c r="U927">
        <v>8.15</v>
      </c>
      <c r="V927" s="154" t="e">
        <f t="shared" si="132"/>
        <v>#VALUE!</v>
      </c>
      <c r="W927">
        <v>8.15</v>
      </c>
      <c r="X927" s="157" t="e">
        <f t="shared" si="133"/>
        <v>#VALUE!</v>
      </c>
      <c r="Y927">
        <v>8.15</v>
      </c>
      <c r="Z927" s="154" t="e">
        <f t="shared" si="134"/>
        <v>#VALUE!</v>
      </c>
      <c r="AA927">
        <v>8.15</v>
      </c>
      <c r="AB927" s="154" t="e">
        <f t="shared" si="135"/>
        <v>#VALUE!</v>
      </c>
      <c r="AC927">
        <v>8.15</v>
      </c>
      <c r="AD927" s="154" t="e">
        <f t="shared" si="136"/>
        <v>#VALUE!</v>
      </c>
      <c r="AE927">
        <v>8.15</v>
      </c>
    </row>
    <row r="928" spans="12:31" ht="15" x14ac:dyDescent="0.2">
      <c r="L928" s="154" t="e">
        <f t="shared" si="127"/>
        <v>#VALUE!</v>
      </c>
      <c r="M928">
        <v>8.16</v>
      </c>
      <c r="N928" s="154" t="e">
        <f t="shared" si="128"/>
        <v>#VALUE!</v>
      </c>
      <c r="O928">
        <v>8.16</v>
      </c>
      <c r="P928" s="154" t="e">
        <f t="shared" si="129"/>
        <v>#VALUE!</v>
      </c>
      <c r="Q928">
        <v>8.16</v>
      </c>
      <c r="R928" s="154" t="e">
        <f t="shared" si="130"/>
        <v>#VALUE!</v>
      </c>
      <c r="S928">
        <v>8.16</v>
      </c>
      <c r="T928" s="154" t="e">
        <f t="shared" si="131"/>
        <v>#VALUE!</v>
      </c>
      <c r="U928">
        <v>8.16</v>
      </c>
      <c r="V928" s="154" t="e">
        <f t="shared" si="132"/>
        <v>#VALUE!</v>
      </c>
      <c r="W928">
        <v>8.16</v>
      </c>
      <c r="X928" s="157" t="e">
        <f t="shared" si="133"/>
        <v>#VALUE!</v>
      </c>
      <c r="Y928">
        <v>8.16</v>
      </c>
      <c r="Z928" s="154" t="e">
        <f t="shared" si="134"/>
        <v>#VALUE!</v>
      </c>
      <c r="AA928">
        <v>8.16</v>
      </c>
      <c r="AB928" s="154" t="e">
        <f t="shared" si="135"/>
        <v>#VALUE!</v>
      </c>
      <c r="AC928">
        <v>8.16</v>
      </c>
      <c r="AD928" s="154" t="e">
        <f t="shared" si="136"/>
        <v>#VALUE!</v>
      </c>
      <c r="AE928">
        <v>8.16</v>
      </c>
    </row>
    <row r="929" spans="12:31" ht="15" x14ac:dyDescent="0.2">
      <c r="L929" s="154" t="e">
        <f t="shared" si="127"/>
        <v>#VALUE!</v>
      </c>
      <c r="M929">
        <v>8.17</v>
      </c>
      <c r="N929" s="154" t="e">
        <f t="shared" si="128"/>
        <v>#VALUE!</v>
      </c>
      <c r="O929">
        <v>8.17</v>
      </c>
      <c r="P929" s="154" t="e">
        <f t="shared" si="129"/>
        <v>#VALUE!</v>
      </c>
      <c r="Q929">
        <v>8.17</v>
      </c>
      <c r="R929" s="154" t="e">
        <f t="shared" si="130"/>
        <v>#VALUE!</v>
      </c>
      <c r="S929">
        <v>8.17</v>
      </c>
      <c r="T929" s="154" t="e">
        <f t="shared" si="131"/>
        <v>#VALUE!</v>
      </c>
      <c r="U929">
        <v>8.17</v>
      </c>
      <c r="V929" s="154" t="e">
        <f t="shared" si="132"/>
        <v>#VALUE!</v>
      </c>
      <c r="W929">
        <v>8.17</v>
      </c>
      <c r="X929" s="157" t="e">
        <f t="shared" si="133"/>
        <v>#VALUE!</v>
      </c>
      <c r="Y929">
        <v>8.17</v>
      </c>
      <c r="Z929" s="154" t="e">
        <f t="shared" si="134"/>
        <v>#VALUE!</v>
      </c>
      <c r="AA929">
        <v>8.17</v>
      </c>
      <c r="AB929" s="154" t="e">
        <f t="shared" si="135"/>
        <v>#VALUE!</v>
      </c>
      <c r="AC929">
        <v>8.17</v>
      </c>
      <c r="AD929" s="154" t="e">
        <f t="shared" si="136"/>
        <v>#VALUE!</v>
      </c>
      <c r="AE929">
        <v>8.17</v>
      </c>
    </row>
    <row r="930" spans="12:31" ht="15" x14ac:dyDescent="0.2">
      <c r="L930" s="154" t="e">
        <f t="shared" si="127"/>
        <v>#VALUE!</v>
      </c>
      <c r="M930">
        <v>8.18</v>
      </c>
      <c r="N930" s="154" t="e">
        <f t="shared" si="128"/>
        <v>#VALUE!</v>
      </c>
      <c r="O930">
        <v>8.18</v>
      </c>
      <c r="P930" s="154" t="e">
        <f t="shared" si="129"/>
        <v>#VALUE!</v>
      </c>
      <c r="Q930">
        <v>8.18</v>
      </c>
      <c r="R930" s="154" t="e">
        <f t="shared" si="130"/>
        <v>#VALUE!</v>
      </c>
      <c r="S930">
        <v>8.18</v>
      </c>
      <c r="T930" s="154" t="e">
        <f t="shared" si="131"/>
        <v>#VALUE!</v>
      </c>
      <c r="U930">
        <v>8.18</v>
      </c>
      <c r="V930" s="154" t="e">
        <f t="shared" si="132"/>
        <v>#VALUE!</v>
      </c>
      <c r="W930">
        <v>8.18</v>
      </c>
      <c r="X930" s="157" t="e">
        <f t="shared" si="133"/>
        <v>#VALUE!</v>
      </c>
      <c r="Y930">
        <v>8.18</v>
      </c>
      <c r="Z930" s="154" t="e">
        <f t="shared" si="134"/>
        <v>#VALUE!</v>
      </c>
      <c r="AA930">
        <v>8.18</v>
      </c>
      <c r="AB930" s="154" t="e">
        <f t="shared" si="135"/>
        <v>#VALUE!</v>
      </c>
      <c r="AC930">
        <v>8.18</v>
      </c>
      <c r="AD930" s="154" t="e">
        <f t="shared" si="136"/>
        <v>#VALUE!</v>
      </c>
      <c r="AE930">
        <v>8.18</v>
      </c>
    </row>
    <row r="931" spans="12:31" ht="15" x14ac:dyDescent="0.2">
      <c r="L931" s="154" t="e">
        <f t="shared" si="127"/>
        <v>#VALUE!</v>
      </c>
      <c r="M931">
        <v>8.19</v>
      </c>
      <c r="N931" s="154" t="e">
        <f t="shared" si="128"/>
        <v>#VALUE!</v>
      </c>
      <c r="O931">
        <v>8.19</v>
      </c>
      <c r="P931" s="154" t="e">
        <f t="shared" si="129"/>
        <v>#VALUE!</v>
      </c>
      <c r="Q931">
        <v>8.19</v>
      </c>
      <c r="R931" s="154" t="e">
        <f t="shared" si="130"/>
        <v>#VALUE!</v>
      </c>
      <c r="S931">
        <v>8.19</v>
      </c>
      <c r="T931" s="154" t="e">
        <f t="shared" si="131"/>
        <v>#VALUE!</v>
      </c>
      <c r="U931">
        <v>8.19</v>
      </c>
      <c r="V931" s="154" t="e">
        <f t="shared" si="132"/>
        <v>#VALUE!</v>
      </c>
      <c r="W931">
        <v>8.19</v>
      </c>
      <c r="X931" s="157" t="e">
        <f t="shared" si="133"/>
        <v>#VALUE!</v>
      </c>
      <c r="Y931">
        <v>8.19</v>
      </c>
      <c r="Z931" s="154" t="e">
        <f t="shared" si="134"/>
        <v>#VALUE!</v>
      </c>
      <c r="AA931">
        <v>8.19</v>
      </c>
      <c r="AB931" s="154" t="e">
        <f t="shared" si="135"/>
        <v>#VALUE!</v>
      </c>
      <c r="AC931">
        <v>8.19</v>
      </c>
      <c r="AD931" s="154" t="e">
        <f t="shared" si="136"/>
        <v>#VALUE!</v>
      </c>
      <c r="AE931">
        <v>8.19</v>
      </c>
    </row>
    <row r="932" spans="12:31" ht="15" x14ac:dyDescent="0.2">
      <c r="L932" s="154" t="e">
        <f t="shared" si="127"/>
        <v>#VALUE!</v>
      </c>
      <c r="M932">
        <v>8.1999999999999993</v>
      </c>
      <c r="N932" s="154" t="e">
        <f t="shared" si="128"/>
        <v>#VALUE!</v>
      </c>
      <c r="O932">
        <v>8.1999999999999993</v>
      </c>
      <c r="P932" s="154" t="e">
        <f t="shared" si="129"/>
        <v>#VALUE!</v>
      </c>
      <c r="Q932">
        <v>8.1999999999999993</v>
      </c>
      <c r="R932" s="154" t="e">
        <f t="shared" si="130"/>
        <v>#VALUE!</v>
      </c>
      <c r="S932">
        <v>8.1999999999999993</v>
      </c>
      <c r="T932" s="154" t="e">
        <f t="shared" si="131"/>
        <v>#VALUE!</v>
      </c>
      <c r="U932">
        <v>8.1999999999999993</v>
      </c>
      <c r="V932" s="154" t="e">
        <f t="shared" si="132"/>
        <v>#VALUE!</v>
      </c>
      <c r="W932">
        <v>8.1999999999999993</v>
      </c>
      <c r="X932" s="157" t="e">
        <f t="shared" si="133"/>
        <v>#VALUE!</v>
      </c>
      <c r="Y932">
        <v>8.1999999999999993</v>
      </c>
      <c r="Z932" s="154" t="e">
        <f t="shared" si="134"/>
        <v>#VALUE!</v>
      </c>
      <c r="AA932">
        <v>8.1999999999999993</v>
      </c>
      <c r="AB932" s="154" t="e">
        <f t="shared" si="135"/>
        <v>#VALUE!</v>
      </c>
      <c r="AC932">
        <v>8.1999999999999993</v>
      </c>
      <c r="AD932" s="154" t="e">
        <f t="shared" si="136"/>
        <v>#VALUE!</v>
      </c>
      <c r="AE932">
        <v>8.1999999999999993</v>
      </c>
    </row>
    <row r="933" spans="12:31" ht="15" x14ac:dyDescent="0.2">
      <c r="L933" s="154" t="e">
        <f t="shared" si="127"/>
        <v>#VALUE!</v>
      </c>
      <c r="M933">
        <v>8.2100000000000009</v>
      </c>
      <c r="N933" s="154" t="e">
        <f t="shared" si="128"/>
        <v>#VALUE!</v>
      </c>
      <c r="O933">
        <v>8.2100000000000009</v>
      </c>
      <c r="P933" s="154" t="e">
        <f t="shared" si="129"/>
        <v>#VALUE!</v>
      </c>
      <c r="Q933">
        <v>8.2100000000000009</v>
      </c>
      <c r="R933" s="154" t="e">
        <f t="shared" si="130"/>
        <v>#VALUE!</v>
      </c>
      <c r="S933">
        <v>8.2100000000000009</v>
      </c>
      <c r="T933" s="154" t="e">
        <f t="shared" si="131"/>
        <v>#VALUE!</v>
      </c>
      <c r="U933">
        <v>8.2100000000000009</v>
      </c>
      <c r="V933" s="154" t="e">
        <f t="shared" si="132"/>
        <v>#VALUE!</v>
      </c>
      <c r="W933">
        <v>8.2100000000000009</v>
      </c>
      <c r="X933" s="157" t="e">
        <f t="shared" si="133"/>
        <v>#VALUE!</v>
      </c>
      <c r="Y933">
        <v>8.2100000000000009</v>
      </c>
      <c r="Z933" s="154" t="e">
        <f t="shared" si="134"/>
        <v>#VALUE!</v>
      </c>
      <c r="AA933">
        <v>8.2100000000000009</v>
      </c>
      <c r="AB933" s="154" t="e">
        <f t="shared" si="135"/>
        <v>#VALUE!</v>
      </c>
      <c r="AC933">
        <v>8.2100000000000009</v>
      </c>
      <c r="AD933" s="154" t="e">
        <f t="shared" si="136"/>
        <v>#VALUE!</v>
      </c>
      <c r="AE933">
        <v>8.2100000000000009</v>
      </c>
    </row>
    <row r="934" spans="12:31" ht="15" x14ac:dyDescent="0.2">
      <c r="L934" s="154" t="e">
        <f t="shared" si="127"/>
        <v>#VALUE!</v>
      </c>
      <c r="M934">
        <v>8.2200000000000006</v>
      </c>
      <c r="N934" s="154" t="e">
        <f t="shared" si="128"/>
        <v>#VALUE!</v>
      </c>
      <c r="O934">
        <v>8.2200000000000006</v>
      </c>
      <c r="P934" s="154" t="e">
        <f t="shared" si="129"/>
        <v>#VALUE!</v>
      </c>
      <c r="Q934">
        <v>8.2200000000000006</v>
      </c>
      <c r="R934" s="154" t="e">
        <f t="shared" si="130"/>
        <v>#VALUE!</v>
      </c>
      <c r="S934">
        <v>8.2200000000000006</v>
      </c>
      <c r="T934" s="154" t="e">
        <f t="shared" si="131"/>
        <v>#VALUE!</v>
      </c>
      <c r="U934">
        <v>8.2200000000000006</v>
      </c>
      <c r="V934" s="154" t="e">
        <f t="shared" si="132"/>
        <v>#VALUE!</v>
      </c>
      <c r="W934">
        <v>8.2200000000000006</v>
      </c>
      <c r="X934" s="157" t="e">
        <f t="shared" si="133"/>
        <v>#VALUE!</v>
      </c>
      <c r="Y934">
        <v>8.2200000000000006</v>
      </c>
      <c r="Z934" s="154" t="e">
        <f t="shared" si="134"/>
        <v>#VALUE!</v>
      </c>
      <c r="AA934">
        <v>8.2200000000000006</v>
      </c>
      <c r="AB934" s="154" t="e">
        <f t="shared" si="135"/>
        <v>#VALUE!</v>
      </c>
      <c r="AC934">
        <v>8.2200000000000006</v>
      </c>
      <c r="AD934" s="154" t="e">
        <f t="shared" si="136"/>
        <v>#VALUE!</v>
      </c>
      <c r="AE934">
        <v>8.2200000000000006</v>
      </c>
    </row>
    <row r="935" spans="12:31" ht="15" x14ac:dyDescent="0.2">
      <c r="L935" s="154" t="e">
        <f t="shared" si="127"/>
        <v>#VALUE!</v>
      </c>
      <c r="M935">
        <v>8.23</v>
      </c>
      <c r="N935" s="154" t="e">
        <f t="shared" si="128"/>
        <v>#VALUE!</v>
      </c>
      <c r="O935">
        <v>8.23</v>
      </c>
      <c r="P935" s="154" t="e">
        <f t="shared" si="129"/>
        <v>#VALUE!</v>
      </c>
      <c r="Q935">
        <v>8.23</v>
      </c>
      <c r="R935" s="154" t="e">
        <f t="shared" si="130"/>
        <v>#VALUE!</v>
      </c>
      <c r="S935">
        <v>8.23</v>
      </c>
      <c r="T935" s="154" t="e">
        <f t="shared" si="131"/>
        <v>#VALUE!</v>
      </c>
      <c r="U935">
        <v>8.23</v>
      </c>
      <c r="V935" s="154" t="e">
        <f t="shared" si="132"/>
        <v>#VALUE!</v>
      </c>
      <c r="W935">
        <v>8.23</v>
      </c>
      <c r="X935" s="157" t="e">
        <f t="shared" si="133"/>
        <v>#VALUE!</v>
      </c>
      <c r="Y935">
        <v>8.23</v>
      </c>
      <c r="Z935" s="154" t="e">
        <f t="shared" si="134"/>
        <v>#VALUE!</v>
      </c>
      <c r="AA935">
        <v>8.23</v>
      </c>
      <c r="AB935" s="154" t="e">
        <f t="shared" si="135"/>
        <v>#VALUE!</v>
      </c>
      <c r="AC935">
        <v>8.23</v>
      </c>
      <c r="AD935" s="154" t="e">
        <f t="shared" si="136"/>
        <v>#VALUE!</v>
      </c>
      <c r="AE935">
        <v>8.23</v>
      </c>
    </row>
    <row r="936" spans="12:31" ht="15" x14ac:dyDescent="0.2">
      <c r="L936" s="154" t="e">
        <f t="shared" si="127"/>
        <v>#VALUE!</v>
      </c>
      <c r="M936">
        <v>8.24</v>
      </c>
      <c r="N936" s="154" t="e">
        <f t="shared" si="128"/>
        <v>#VALUE!</v>
      </c>
      <c r="O936">
        <v>8.24</v>
      </c>
      <c r="P936" s="154" t="e">
        <f t="shared" si="129"/>
        <v>#VALUE!</v>
      </c>
      <c r="Q936">
        <v>8.24</v>
      </c>
      <c r="R936" s="154" t="e">
        <f t="shared" si="130"/>
        <v>#VALUE!</v>
      </c>
      <c r="S936">
        <v>8.24</v>
      </c>
      <c r="T936" s="154" t="e">
        <f t="shared" si="131"/>
        <v>#VALUE!</v>
      </c>
      <c r="U936">
        <v>8.24</v>
      </c>
      <c r="V936" s="154" t="e">
        <f t="shared" si="132"/>
        <v>#VALUE!</v>
      </c>
      <c r="W936">
        <v>8.24</v>
      </c>
      <c r="X936" s="157" t="e">
        <f t="shared" si="133"/>
        <v>#VALUE!</v>
      </c>
      <c r="Y936">
        <v>8.24</v>
      </c>
      <c r="Z936" s="154" t="e">
        <f t="shared" si="134"/>
        <v>#VALUE!</v>
      </c>
      <c r="AA936">
        <v>8.24</v>
      </c>
      <c r="AB936" s="154" t="e">
        <f t="shared" si="135"/>
        <v>#VALUE!</v>
      </c>
      <c r="AC936">
        <v>8.24</v>
      </c>
      <c r="AD936" s="154" t="e">
        <f t="shared" si="136"/>
        <v>#VALUE!</v>
      </c>
      <c r="AE936">
        <v>8.24</v>
      </c>
    </row>
    <row r="937" spans="12:31" ht="15" x14ac:dyDescent="0.2">
      <c r="L937" s="154" t="e">
        <f t="shared" si="127"/>
        <v>#VALUE!</v>
      </c>
      <c r="M937">
        <v>8.25</v>
      </c>
      <c r="N937" s="154" t="e">
        <f t="shared" si="128"/>
        <v>#VALUE!</v>
      </c>
      <c r="O937">
        <v>8.25</v>
      </c>
      <c r="P937" s="154" t="e">
        <f t="shared" si="129"/>
        <v>#VALUE!</v>
      </c>
      <c r="Q937">
        <v>8.25</v>
      </c>
      <c r="R937" s="154" t="e">
        <f t="shared" si="130"/>
        <v>#VALUE!</v>
      </c>
      <c r="S937">
        <v>8.25</v>
      </c>
      <c r="T937" s="154" t="e">
        <f t="shared" si="131"/>
        <v>#VALUE!</v>
      </c>
      <c r="U937">
        <v>8.25</v>
      </c>
      <c r="V937" s="154" t="e">
        <f t="shared" si="132"/>
        <v>#VALUE!</v>
      </c>
      <c r="W937">
        <v>8.25</v>
      </c>
      <c r="X937" s="157" t="e">
        <f t="shared" si="133"/>
        <v>#VALUE!</v>
      </c>
      <c r="Y937">
        <v>8.25</v>
      </c>
      <c r="Z937" s="154" t="e">
        <f t="shared" si="134"/>
        <v>#VALUE!</v>
      </c>
      <c r="AA937">
        <v>8.25</v>
      </c>
      <c r="AB937" s="154" t="e">
        <f t="shared" si="135"/>
        <v>#VALUE!</v>
      </c>
      <c r="AC937">
        <v>8.25</v>
      </c>
      <c r="AD937" s="154" t="e">
        <f t="shared" si="136"/>
        <v>#VALUE!</v>
      </c>
      <c r="AE937">
        <v>8.25</v>
      </c>
    </row>
    <row r="938" spans="12:31" ht="15" x14ac:dyDescent="0.2">
      <c r="L938" s="154" t="e">
        <f t="shared" si="127"/>
        <v>#VALUE!</v>
      </c>
      <c r="M938">
        <v>8.26</v>
      </c>
      <c r="N938" s="154" t="e">
        <f t="shared" si="128"/>
        <v>#VALUE!</v>
      </c>
      <c r="O938">
        <v>8.26</v>
      </c>
      <c r="P938" s="154" t="e">
        <f t="shared" si="129"/>
        <v>#VALUE!</v>
      </c>
      <c r="Q938">
        <v>8.26</v>
      </c>
      <c r="R938" s="154" t="e">
        <f t="shared" si="130"/>
        <v>#VALUE!</v>
      </c>
      <c r="S938">
        <v>8.26</v>
      </c>
      <c r="T938" s="154" t="e">
        <f t="shared" si="131"/>
        <v>#VALUE!</v>
      </c>
      <c r="U938">
        <v>8.26</v>
      </c>
      <c r="V938" s="154" t="e">
        <f t="shared" si="132"/>
        <v>#VALUE!</v>
      </c>
      <c r="W938">
        <v>8.26</v>
      </c>
      <c r="X938" s="157" t="e">
        <f t="shared" si="133"/>
        <v>#VALUE!</v>
      </c>
      <c r="Y938">
        <v>8.26</v>
      </c>
      <c r="Z938" s="154" t="e">
        <f t="shared" si="134"/>
        <v>#VALUE!</v>
      </c>
      <c r="AA938">
        <v>8.26</v>
      </c>
      <c r="AB938" s="154" t="e">
        <f t="shared" si="135"/>
        <v>#VALUE!</v>
      </c>
      <c r="AC938">
        <v>8.26</v>
      </c>
      <c r="AD938" s="154" t="e">
        <f t="shared" si="136"/>
        <v>#VALUE!</v>
      </c>
      <c r="AE938">
        <v>8.26</v>
      </c>
    </row>
    <row r="939" spans="12:31" ht="15" x14ac:dyDescent="0.2">
      <c r="L939" s="154" t="e">
        <f t="shared" si="127"/>
        <v>#VALUE!</v>
      </c>
      <c r="M939">
        <v>8.27</v>
      </c>
      <c r="N939" s="154" t="e">
        <f t="shared" si="128"/>
        <v>#VALUE!</v>
      </c>
      <c r="O939">
        <v>8.27</v>
      </c>
      <c r="P939" s="154" t="e">
        <f t="shared" si="129"/>
        <v>#VALUE!</v>
      </c>
      <c r="Q939">
        <v>8.27</v>
      </c>
      <c r="R939" s="154" t="e">
        <f t="shared" si="130"/>
        <v>#VALUE!</v>
      </c>
      <c r="S939">
        <v>8.27</v>
      </c>
      <c r="T939" s="154" t="e">
        <f t="shared" si="131"/>
        <v>#VALUE!</v>
      </c>
      <c r="U939">
        <v>8.27</v>
      </c>
      <c r="V939" s="154" t="e">
        <f t="shared" si="132"/>
        <v>#VALUE!</v>
      </c>
      <c r="W939">
        <v>8.27</v>
      </c>
      <c r="X939" s="157" t="e">
        <f t="shared" si="133"/>
        <v>#VALUE!</v>
      </c>
      <c r="Y939">
        <v>8.27</v>
      </c>
      <c r="Z939" s="154" t="e">
        <f t="shared" si="134"/>
        <v>#VALUE!</v>
      </c>
      <c r="AA939">
        <v>8.27</v>
      </c>
      <c r="AB939" s="154" t="e">
        <f t="shared" si="135"/>
        <v>#VALUE!</v>
      </c>
      <c r="AC939">
        <v>8.27</v>
      </c>
      <c r="AD939" s="154" t="e">
        <f t="shared" si="136"/>
        <v>#VALUE!</v>
      </c>
      <c r="AE939">
        <v>8.27</v>
      </c>
    </row>
    <row r="940" spans="12:31" ht="15" x14ac:dyDescent="0.2">
      <c r="L940" s="154" t="e">
        <f t="shared" si="127"/>
        <v>#VALUE!</v>
      </c>
      <c r="M940">
        <v>8.2799999999999994</v>
      </c>
      <c r="N940" s="154" t="e">
        <f t="shared" si="128"/>
        <v>#VALUE!</v>
      </c>
      <c r="O940">
        <v>8.2799999999999994</v>
      </c>
      <c r="P940" s="154" t="e">
        <f t="shared" si="129"/>
        <v>#VALUE!</v>
      </c>
      <c r="Q940">
        <v>8.2799999999999994</v>
      </c>
      <c r="R940" s="154" t="e">
        <f t="shared" si="130"/>
        <v>#VALUE!</v>
      </c>
      <c r="S940">
        <v>8.2799999999999994</v>
      </c>
      <c r="T940" s="154" t="e">
        <f t="shared" si="131"/>
        <v>#VALUE!</v>
      </c>
      <c r="U940">
        <v>8.2799999999999994</v>
      </c>
      <c r="V940" s="154" t="e">
        <f t="shared" si="132"/>
        <v>#VALUE!</v>
      </c>
      <c r="W940">
        <v>8.2799999999999994</v>
      </c>
      <c r="X940" s="157" t="e">
        <f t="shared" si="133"/>
        <v>#VALUE!</v>
      </c>
      <c r="Y940">
        <v>8.2799999999999994</v>
      </c>
      <c r="Z940" s="154" t="e">
        <f t="shared" si="134"/>
        <v>#VALUE!</v>
      </c>
      <c r="AA940">
        <v>8.2799999999999994</v>
      </c>
      <c r="AB940" s="154" t="e">
        <f t="shared" si="135"/>
        <v>#VALUE!</v>
      </c>
      <c r="AC940">
        <v>8.2799999999999994</v>
      </c>
      <c r="AD940" s="154" t="e">
        <f t="shared" si="136"/>
        <v>#VALUE!</v>
      </c>
      <c r="AE940">
        <v>8.2799999999999994</v>
      </c>
    </row>
    <row r="941" spans="12:31" ht="15" x14ac:dyDescent="0.2">
      <c r="L941" s="154" t="e">
        <f t="shared" si="127"/>
        <v>#VALUE!</v>
      </c>
      <c r="M941">
        <v>8.2899999999999991</v>
      </c>
      <c r="N941" s="154" t="e">
        <f t="shared" si="128"/>
        <v>#VALUE!</v>
      </c>
      <c r="O941">
        <v>8.2899999999999991</v>
      </c>
      <c r="P941" s="154" t="e">
        <f t="shared" si="129"/>
        <v>#VALUE!</v>
      </c>
      <c r="Q941">
        <v>8.2899999999999991</v>
      </c>
      <c r="R941" s="154" t="e">
        <f t="shared" si="130"/>
        <v>#VALUE!</v>
      </c>
      <c r="S941">
        <v>8.2899999999999991</v>
      </c>
      <c r="T941" s="154" t="e">
        <f t="shared" si="131"/>
        <v>#VALUE!</v>
      </c>
      <c r="U941">
        <v>8.2899999999999991</v>
      </c>
      <c r="V941" s="154" t="e">
        <f t="shared" si="132"/>
        <v>#VALUE!</v>
      </c>
      <c r="W941">
        <v>8.2899999999999991</v>
      </c>
      <c r="X941" s="157" t="e">
        <f t="shared" si="133"/>
        <v>#VALUE!</v>
      </c>
      <c r="Y941">
        <v>8.2899999999999991</v>
      </c>
      <c r="Z941" s="154" t="e">
        <f t="shared" si="134"/>
        <v>#VALUE!</v>
      </c>
      <c r="AA941">
        <v>8.2899999999999991</v>
      </c>
      <c r="AB941" s="154" t="e">
        <f t="shared" si="135"/>
        <v>#VALUE!</v>
      </c>
      <c r="AC941">
        <v>8.2899999999999991</v>
      </c>
      <c r="AD941" s="154" t="e">
        <f t="shared" si="136"/>
        <v>#VALUE!</v>
      </c>
      <c r="AE941">
        <v>8.2899999999999991</v>
      </c>
    </row>
    <row r="942" spans="12:31" ht="15" x14ac:dyDescent="0.2">
      <c r="L942" s="154" t="e">
        <f t="shared" si="127"/>
        <v>#VALUE!</v>
      </c>
      <c r="M942">
        <v>8.3000000000000007</v>
      </c>
      <c r="N942" s="154" t="e">
        <f t="shared" si="128"/>
        <v>#VALUE!</v>
      </c>
      <c r="O942">
        <v>8.3000000000000007</v>
      </c>
      <c r="P942" s="154" t="e">
        <f t="shared" si="129"/>
        <v>#VALUE!</v>
      </c>
      <c r="Q942">
        <v>8.3000000000000007</v>
      </c>
      <c r="R942" s="154" t="e">
        <f t="shared" si="130"/>
        <v>#VALUE!</v>
      </c>
      <c r="S942">
        <v>8.3000000000000007</v>
      </c>
      <c r="T942" s="154" t="e">
        <f t="shared" si="131"/>
        <v>#VALUE!</v>
      </c>
      <c r="U942">
        <v>8.3000000000000007</v>
      </c>
      <c r="V942" s="154" t="e">
        <f t="shared" si="132"/>
        <v>#VALUE!</v>
      </c>
      <c r="W942">
        <v>8.3000000000000007</v>
      </c>
      <c r="X942" s="157" t="e">
        <f t="shared" si="133"/>
        <v>#VALUE!</v>
      </c>
      <c r="Y942">
        <v>8.3000000000000007</v>
      </c>
      <c r="Z942" s="154" t="e">
        <f t="shared" si="134"/>
        <v>#VALUE!</v>
      </c>
      <c r="AA942">
        <v>8.3000000000000007</v>
      </c>
      <c r="AB942" s="154" t="e">
        <f t="shared" si="135"/>
        <v>#VALUE!</v>
      </c>
      <c r="AC942">
        <v>8.3000000000000007</v>
      </c>
      <c r="AD942" s="154" t="e">
        <f t="shared" si="136"/>
        <v>#VALUE!</v>
      </c>
      <c r="AE942">
        <v>8.3000000000000007</v>
      </c>
    </row>
    <row r="943" spans="12:31" ht="15" x14ac:dyDescent="0.2">
      <c r="L943" s="154" t="e">
        <f t="shared" si="127"/>
        <v>#VALUE!</v>
      </c>
      <c r="M943">
        <v>8.31</v>
      </c>
      <c r="N943" s="154" t="e">
        <f t="shared" si="128"/>
        <v>#VALUE!</v>
      </c>
      <c r="O943">
        <v>8.31</v>
      </c>
      <c r="P943" s="154" t="e">
        <f t="shared" si="129"/>
        <v>#VALUE!</v>
      </c>
      <c r="Q943">
        <v>8.31</v>
      </c>
      <c r="R943" s="154" t="e">
        <f t="shared" si="130"/>
        <v>#VALUE!</v>
      </c>
      <c r="S943">
        <v>8.31</v>
      </c>
      <c r="T943" s="154" t="e">
        <f t="shared" si="131"/>
        <v>#VALUE!</v>
      </c>
      <c r="U943">
        <v>8.31</v>
      </c>
      <c r="V943" s="154" t="e">
        <f t="shared" si="132"/>
        <v>#VALUE!</v>
      </c>
      <c r="W943">
        <v>8.31</v>
      </c>
      <c r="X943" s="157" t="e">
        <f t="shared" si="133"/>
        <v>#VALUE!</v>
      </c>
      <c r="Y943">
        <v>8.31</v>
      </c>
      <c r="Z943" s="154" t="e">
        <f t="shared" si="134"/>
        <v>#VALUE!</v>
      </c>
      <c r="AA943">
        <v>8.31</v>
      </c>
      <c r="AB943" s="154" t="e">
        <f t="shared" si="135"/>
        <v>#VALUE!</v>
      </c>
      <c r="AC943">
        <v>8.31</v>
      </c>
      <c r="AD943" s="154" t="e">
        <f t="shared" si="136"/>
        <v>#VALUE!</v>
      </c>
      <c r="AE943">
        <v>8.31</v>
      </c>
    </row>
    <row r="944" spans="12:31" ht="15" x14ac:dyDescent="0.2">
      <c r="L944" s="154" t="e">
        <f t="shared" si="127"/>
        <v>#VALUE!</v>
      </c>
      <c r="M944">
        <v>8.32</v>
      </c>
      <c r="N944" s="154" t="e">
        <f t="shared" si="128"/>
        <v>#VALUE!</v>
      </c>
      <c r="O944">
        <v>8.32</v>
      </c>
      <c r="P944" s="154" t="e">
        <f t="shared" si="129"/>
        <v>#VALUE!</v>
      </c>
      <c r="Q944">
        <v>8.32</v>
      </c>
      <c r="R944" s="154" t="e">
        <f t="shared" si="130"/>
        <v>#VALUE!</v>
      </c>
      <c r="S944">
        <v>8.32</v>
      </c>
      <c r="T944" s="154" t="e">
        <f t="shared" si="131"/>
        <v>#VALUE!</v>
      </c>
      <c r="U944">
        <v>8.32</v>
      </c>
      <c r="V944" s="154" t="e">
        <f t="shared" si="132"/>
        <v>#VALUE!</v>
      </c>
      <c r="W944">
        <v>8.32</v>
      </c>
      <c r="X944" s="157" t="e">
        <f t="shared" si="133"/>
        <v>#VALUE!</v>
      </c>
      <c r="Y944">
        <v>8.32</v>
      </c>
      <c r="Z944" s="154" t="e">
        <f t="shared" si="134"/>
        <v>#VALUE!</v>
      </c>
      <c r="AA944">
        <v>8.32</v>
      </c>
      <c r="AB944" s="154" t="e">
        <f t="shared" si="135"/>
        <v>#VALUE!</v>
      </c>
      <c r="AC944">
        <v>8.32</v>
      </c>
      <c r="AD944" s="154" t="e">
        <f t="shared" si="136"/>
        <v>#VALUE!</v>
      </c>
      <c r="AE944">
        <v>8.32</v>
      </c>
    </row>
    <row r="945" spans="12:31" ht="15" x14ac:dyDescent="0.2">
      <c r="L945" s="154" t="e">
        <f t="shared" ref="L945:L1008" si="137">((1.486/$D$33)*((((PI()*($D$46/12)^2)/4)-((($D$46/12)/2)^2*((2*ACOS(((($D$46/12)/2)-(($D$46/12)-(M945/12)))/(($D$46/12)/2)))-SIN(2*ACOS(((($D$46/12)/2)-(($D$46/12)-(M945/12)))/(($D$46/12)/2))))/2))/((PI()*($D$46/12))-((2*ACOS(((($D$46/12)/2)-(($D$46/12)-(M945/12)))/(($D$46/12)/2)))*(($D$46/12)/2))))^(2/3)*$H$17^0.5)*(((PI()*($D$46/12)^2)/4)-((($D$46/12)/2)^2*((2*ACOS(((($D$46/12)/2)-(($D$46/12)-(M945/12)))/(($D$46/12)/2)))-SIN(2*ACOS(((($D$46/12)/2)-(($D$46/12)-(M945/12)))/(($D$46/12)/2))))/2))</f>
        <v>#VALUE!</v>
      </c>
      <c r="M945">
        <v>8.33</v>
      </c>
      <c r="N945" s="154" t="e">
        <f t="shared" ref="N945:N1008" si="138">((1.486/$D$34)*((((PI()*($D$47/12)^2)/4)-((($D$47/12)/2)^2*((2*ACOS(((($D$47/12)/2)-(($D$47/12)-(O945/12)))/(($D$47/12)/2)))-SIN(2*ACOS(((($D$47/12)/2)-(($D$47/12)-(O945/12)))/(($D$47/12)/2))))/2))/((PI()*($D$47/12))-((2*ACOS(((($D$47/12)/2)-(($D$47/12)-(O945/12)))/(($D$47/12)/2)))*(($D$47/12)/2))))^(2/3)*$H$18^0.5)*(((PI()*($D$47/12)^2)/4)-((($D$47/12)/2)^2*((2*ACOS(((($D$47/12)/2)-(($D$47/12)-(O945/12)))/(($D$47/12)/2)))-SIN(2*ACOS(((($D$47/12)/2)-(($D$47/12)-(O945/12)))/(($D$47/12)/2))))/2))</f>
        <v>#VALUE!</v>
      </c>
      <c r="O945">
        <v>8.33</v>
      </c>
      <c r="P945" s="154" t="e">
        <f t="shared" ref="P945:P1008" si="139">((1.486/$D$35)*((((PI()*($D$48/12)^2)/4)-((($D$48/12)/2)^2*((2*ACOS(((($D$48/12)/2)-(($D$48/12)-(Q945/12)))/(($D$48/12)/2)))-SIN(2*ACOS(((($D$48/12)/2)-(($D$48/12)-(Q945/12)))/(($D$48/12)/2))))/2))/((PI()*($D$48/12))-((2*ACOS(((($D$48/12)/2)-(($D$48/12)-(Q945/12)))/(($D$48/12)/2)))*(($D$48/12)/2))))^(2/3)*$H$19^0.5)*(((PI()*($D$48/12)^2)/4)-((($D$48/12)/2)^2*((2*ACOS(((($D$48/12)/2)-(($D$48/12)-(Q945/12)))/(($D$48/12)/2)))-SIN(2*ACOS(((($D$48/12)/2)-(($D$48/12)-(Q945/12)))/(($D$48/12)/2))))/2))</f>
        <v>#VALUE!</v>
      </c>
      <c r="Q945">
        <v>8.33</v>
      </c>
      <c r="R945" s="154" t="e">
        <f t="shared" ref="R945:R1008" si="140">((1.486/$D$36)*((((PI()*($D$49/12)^2)/4)-((($D$49/12)/2)^2*((2*ACOS(((($D$49/12)/2)-(($D$49/12)-(S945/12)))/(($D$49/12)/2)))-SIN(2*ACOS(((($D$49/12)/2)-(($D$49/12)-(S945/12)))/(($D$49/12)/2))))/2))/((PI()*($D$49/12))-((2*ACOS(((($D$49/12)/2)-(($D$49/12)-(S945/12)))/(($D$49/12)/2)))*(($D$49/12)/2))))^(2/3)*$H$20^0.5)*(((PI()*($D$49/12)^2)/4)-((($D$49/12)/2)^2*((2*ACOS(((($D$49/12)/2)-(($D$49/12)-(S945/12)))/(($D$49/12)/2)))-SIN(2*ACOS(((($D$49/12)/2)-(($D$49/12)-(S945/12)))/(($D$49/12)/2))))/2))</f>
        <v>#VALUE!</v>
      </c>
      <c r="S945">
        <v>8.33</v>
      </c>
      <c r="T945" s="154" t="e">
        <f t="shared" ref="T945:T1008" si="141">((1.486/$D$37)*((((PI()*($D$50/12)^2)/4)-((($D$50/12)/2)^2*((2*ACOS(((($D$50/12)/2)-(($D$50/12)-(U945/12)))/(($D$50/12)/2)))-SIN(2*ACOS(((($D$50/12)/2)-(($D$50/12)-(U945/12)))/(($D$50/12)/2))))/2))/((PI()*($D$50/12))-((2*ACOS(((($D$50/12)/2)-(($D$50/12)-(U945/12)))/(($D$50/12)/2)))*(($D$50/12)/2))))^(2/3)*$H$21^0.5)*(((PI()*($D$50/12)^2)/4)-((($D$50/12)/2)^2*((2*ACOS(((($D$50/12)/2)-(($D$50/12)-(U945/12)))/(($D$50/12)/2)))-SIN(2*ACOS(((($D$50/12)/2)-(($D$50/12)-(U945/12)))/(($D$50/12)/2))))/2))</f>
        <v>#VALUE!</v>
      </c>
      <c r="U945">
        <v>8.33</v>
      </c>
      <c r="V945" s="154" t="e">
        <f t="shared" ref="V945:V1008" si="142">((1.486/$D$38)*((((PI()*($D$51/12)^2)/4)-((($D$51/12)/2)^2*((2*ACOS(((($D$51/12)/2)-(($D$51/12)-(W945/12)))/(($D$51/12)/2)))-SIN(2*ACOS(((($D$51/12)/2)-(($D$51/12)-(W945/12)))/(($D$51/12)/2))))/2))/((PI()*($D$51/12))-((2*ACOS(((($D$51/12)/2)-(($D$51/12)-(W945/12)))/(($D$51/12)/2)))*(($D$51/12)/2))))^(2/3)*$H$22^0.5)*(((PI()*($D$51/12)^2)/4)-((($D$51/12)/2)^2*((2*ACOS(((($D$51/12)/2)-(($D$51/12)-(W945/12)))/(($D$51/12)/2)))-SIN(2*ACOS(((($D$51/12)/2)-(($D$51/12)-(W945/12)))/(($D$51/12)/2))))/2))</f>
        <v>#VALUE!</v>
      </c>
      <c r="W945">
        <v>8.33</v>
      </c>
      <c r="X945" s="157" t="e">
        <f t="shared" ref="X945:X1008" si="143">((1.486/$D$39)*((((PI()*($D$52/12)^2)/4)-((($D$52/12)/2)^2*((2*ACOS(((($D$52/12)/2)-(($D$52/12)-(Y945/12)))/(($D$52/12)/2)))-SIN(2*ACOS(((($D$52/12)/2)-(($D$52/12)-(Y945/12)))/(($D$52/12)/2))))/2))/((PI()*($D$52/12))-((2*ACOS(((($D$52/12)/2)-(($D$52/12)-(Y945/12)))/(($D$52/12)/2)))*(($D$52/12)/2))))^(2/3)*$H$23^0.5)*(((PI()*($D$52/12)^2)/4)-((($D$52/12)/2)^2*((2*ACOS(((($D$52/12)/2)-(($D$52/12)-(Y945/12)))/(($D$52/12)/2)))-SIN(2*ACOS(((($D$52/12)/2)-(($D$52/12)-(Y945/12)))/(($D$52/12)/2))))/2))</f>
        <v>#VALUE!</v>
      </c>
      <c r="Y945">
        <v>8.33</v>
      </c>
      <c r="Z945" s="154" t="e">
        <f t="shared" ref="Z945:Z1008" si="144">((1.486/$D$40)*((((PI()*($D$53/12)^2)/4)-((($D$53/12)/2)^2*((2*ACOS(((($D$53/12)/2)-(($D$53/12)-(AA945/12)))/(($D$53/12)/2)))-SIN(2*ACOS(((($D$53/12)/2)-(($D$53/12)-(AA945/12)))/(($D$53/12)/2))))/2))/((PI()*($D$53/12))-((2*ACOS(((($D$53/12)/2)-(($D$53/12)-(AA945/12)))/(($D$53/12)/2)))*(($D$53/12)/2))))^(2/3)*$H$24^0.5)*(((PI()*($D$53/12)^2)/4)-((($D$53/12)/2)^2*((2*ACOS(((($D$53/12)/2)-(($D$53/12)-(AA945/12)))/(($D$53/12)/2)))-SIN(2*ACOS(((($D$53/12)/2)-(($D$53/12)-(AA945/12)))/(($D$53/12)/2))))/2))</f>
        <v>#VALUE!</v>
      </c>
      <c r="AA945">
        <v>8.33</v>
      </c>
      <c r="AB945" s="154" t="e">
        <f t="shared" ref="AB945:AB1008" si="145">((1.486/$D$41)*((((PI()*($D$54/12)^2)/4)-((($D$54/12)/2)^2*((2*ACOS(((($D$54/12)/2)-(($D$54/12)-(AC945/12)))/(($D$54/12)/2)))-SIN(2*ACOS(((($D$54/12)/2)-(($D$54/12)-(AC945/12)))/(($D$54/12)/2))))/2))/((PI()*($D$54/12))-((2*ACOS(((($D$54/12)/2)-(($D$54/12)-(AC945/12)))/(($D$54/12)/2)))*(($D$54/12)/2))))^(2/3)*$H$25^0.5)*(((PI()*($D$54/12)^2)/4)-((($D$54/12)/2)^2*((2*ACOS(((($D$54/12)/2)-(($D$54/12)-(AC945/12)))/(($D$54/12)/2)))-SIN(2*ACOS(((($D$54/12)/2)-(($D$54/12)-(AC945/12)))/(($D$54/12)/2))))/2))</f>
        <v>#VALUE!</v>
      </c>
      <c r="AC945">
        <v>8.33</v>
      </c>
      <c r="AD945" s="154" t="e">
        <f t="shared" ref="AD945:AD1008" si="146">((1.486/$D$42)*((((PI()*($D$55/12)^2)/4)-((($D$55/12)/2)^2*((2*ACOS(((($D$55/12)/2)-(($D$55/12)-(AE945/12)))/(($D$55/12)/2)))-SIN(2*ACOS(((($D$55/12)/2)-(($D$55/12)-(AE945/12)))/(($D$55/12)/2))))/2))/((PI()*($D$55/12))-((2*ACOS(((($D$55/12)/2)-(($D$55/12)-(AE945/12)))/(($D$55/12)/2)))*(($D$55/12)/2))))^(2/3)*$H$26^0.5)*(((PI()*($D$55/12)^2)/4)-((($D$55/12)/2)^2*((2*ACOS(((($D$55/12)/2)-(($D$55/12)-(AE945/12)))/(($D$55/12)/2)))-SIN(2*ACOS(((($D$55/12)/2)-(($D$55/12)-(AE945/12)))/(($D$55/12)/2))))/2))</f>
        <v>#VALUE!</v>
      </c>
      <c r="AE945">
        <v>8.33</v>
      </c>
    </row>
    <row r="946" spans="12:31" ht="15" x14ac:dyDescent="0.2">
      <c r="L946" s="154" t="e">
        <f t="shared" si="137"/>
        <v>#VALUE!</v>
      </c>
      <c r="M946">
        <v>8.34</v>
      </c>
      <c r="N946" s="154" t="e">
        <f t="shared" si="138"/>
        <v>#VALUE!</v>
      </c>
      <c r="O946">
        <v>8.34</v>
      </c>
      <c r="P946" s="154" t="e">
        <f t="shared" si="139"/>
        <v>#VALUE!</v>
      </c>
      <c r="Q946">
        <v>8.34</v>
      </c>
      <c r="R946" s="154" t="e">
        <f t="shared" si="140"/>
        <v>#VALUE!</v>
      </c>
      <c r="S946">
        <v>8.34</v>
      </c>
      <c r="T946" s="154" t="e">
        <f t="shared" si="141"/>
        <v>#VALUE!</v>
      </c>
      <c r="U946">
        <v>8.34</v>
      </c>
      <c r="V946" s="154" t="e">
        <f t="shared" si="142"/>
        <v>#VALUE!</v>
      </c>
      <c r="W946">
        <v>8.34</v>
      </c>
      <c r="X946" s="157" t="e">
        <f t="shared" si="143"/>
        <v>#VALUE!</v>
      </c>
      <c r="Y946">
        <v>8.34</v>
      </c>
      <c r="Z946" s="154" t="e">
        <f t="shared" si="144"/>
        <v>#VALUE!</v>
      </c>
      <c r="AA946">
        <v>8.34</v>
      </c>
      <c r="AB946" s="154" t="e">
        <f t="shared" si="145"/>
        <v>#VALUE!</v>
      </c>
      <c r="AC946">
        <v>8.34</v>
      </c>
      <c r="AD946" s="154" t="e">
        <f t="shared" si="146"/>
        <v>#VALUE!</v>
      </c>
      <c r="AE946">
        <v>8.34</v>
      </c>
    </row>
    <row r="947" spans="12:31" ht="15" x14ac:dyDescent="0.2">
      <c r="L947" s="154" t="e">
        <f t="shared" si="137"/>
        <v>#VALUE!</v>
      </c>
      <c r="M947">
        <v>8.35</v>
      </c>
      <c r="N947" s="154" t="e">
        <f t="shared" si="138"/>
        <v>#VALUE!</v>
      </c>
      <c r="O947">
        <v>8.35</v>
      </c>
      <c r="P947" s="154" t="e">
        <f t="shared" si="139"/>
        <v>#VALUE!</v>
      </c>
      <c r="Q947">
        <v>8.35</v>
      </c>
      <c r="R947" s="154" t="e">
        <f t="shared" si="140"/>
        <v>#VALUE!</v>
      </c>
      <c r="S947">
        <v>8.35</v>
      </c>
      <c r="T947" s="154" t="e">
        <f t="shared" si="141"/>
        <v>#VALUE!</v>
      </c>
      <c r="U947">
        <v>8.35</v>
      </c>
      <c r="V947" s="154" t="e">
        <f t="shared" si="142"/>
        <v>#VALUE!</v>
      </c>
      <c r="W947">
        <v>8.35</v>
      </c>
      <c r="X947" s="157" t="e">
        <f t="shared" si="143"/>
        <v>#VALUE!</v>
      </c>
      <c r="Y947">
        <v>8.35</v>
      </c>
      <c r="Z947" s="154" t="e">
        <f t="shared" si="144"/>
        <v>#VALUE!</v>
      </c>
      <c r="AA947">
        <v>8.35</v>
      </c>
      <c r="AB947" s="154" t="e">
        <f t="shared" si="145"/>
        <v>#VALUE!</v>
      </c>
      <c r="AC947">
        <v>8.35</v>
      </c>
      <c r="AD947" s="154" t="e">
        <f t="shared" si="146"/>
        <v>#VALUE!</v>
      </c>
      <c r="AE947">
        <v>8.35</v>
      </c>
    </row>
    <row r="948" spans="12:31" ht="15" x14ac:dyDescent="0.2">
      <c r="L948" s="154" t="e">
        <f t="shared" si="137"/>
        <v>#VALUE!</v>
      </c>
      <c r="M948">
        <v>8.36</v>
      </c>
      <c r="N948" s="154" t="e">
        <f t="shared" si="138"/>
        <v>#VALUE!</v>
      </c>
      <c r="O948">
        <v>8.36</v>
      </c>
      <c r="P948" s="154" t="e">
        <f t="shared" si="139"/>
        <v>#VALUE!</v>
      </c>
      <c r="Q948">
        <v>8.36</v>
      </c>
      <c r="R948" s="154" t="e">
        <f t="shared" si="140"/>
        <v>#VALUE!</v>
      </c>
      <c r="S948">
        <v>8.36</v>
      </c>
      <c r="T948" s="154" t="e">
        <f t="shared" si="141"/>
        <v>#VALUE!</v>
      </c>
      <c r="U948">
        <v>8.36</v>
      </c>
      <c r="V948" s="154" t="e">
        <f t="shared" si="142"/>
        <v>#VALUE!</v>
      </c>
      <c r="W948">
        <v>8.36</v>
      </c>
      <c r="X948" s="157" t="e">
        <f t="shared" si="143"/>
        <v>#VALUE!</v>
      </c>
      <c r="Y948">
        <v>8.36</v>
      </c>
      <c r="Z948" s="154" t="e">
        <f t="shared" si="144"/>
        <v>#VALUE!</v>
      </c>
      <c r="AA948">
        <v>8.36</v>
      </c>
      <c r="AB948" s="154" t="e">
        <f t="shared" si="145"/>
        <v>#VALUE!</v>
      </c>
      <c r="AC948">
        <v>8.36</v>
      </c>
      <c r="AD948" s="154" t="e">
        <f t="shared" si="146"/>
        <v>#VALUE!</v>
      </c>
      <c r="AE948">
        <v>8.36</v>
      </c>
    </row>
    <row r="949" spans="12:31" ht="15" x14ac:dyDescent="0.2">
      <c r="L949" s="154" t="e">
        <f t="shared" si="137"/>
        <v>#VALUE!</v>
      </c>
      <c r="M949">
        <v>8.3699999999999992</v>
      </c>
      <c r="N949" s="154" t="e">
        <f t="shared" si="138"/>
        <v>#VALUE!</v>
      </c>
      <c r="O949">
        <v>8.3699999999999992</v>
      </c>
      <c r="P949" s="154" t="e">
        <f t="shared" si="139"/>
        <v>#VALUE!</v>
      </c>
      <c r="Q949">
        <v>8.3699999999999992</v>
      </c>
      <c r="R949" s="154" t="e">
        <f t="shared" si="140"/>
        <v>#VALUE!</v>
      </c>
      <c r="S949">
        <v>8.3699999999999992</v>
      </c>
      <c r="T949" s="154" t="e">
        <f t="shared" si="141"/>
        <v>#VALUE!</v>
      </c>
      <c r="U949">
        <v>8.3699999999999992</v>
      </c>
      <c r="V949" s="154" t="e">
        <f t="shared" si="142"/>
        <v>#VALUE!</v>
      </c>
      <c r="W949">
        <v>8.3699999999999992</v>
      </c>
      <c r="X949" s="157" t="e">
        <f t="shared" si="143"/>
        <v>#VALUE!</v>
      </c>
      <c r="Y949">
        <v>8.3699999999999992</v>
      </c>
      <c r="Z949" s="154" t="e">
        <f t="shared" si="144"/>
        <v>#VALUE!</v>
      </c>
      <c r="AA949">
        <v>8.3699999999999992</v>
      </c>
      <c r="AB949" s="154" t="e">
        <f t="shared" si="145"/>
        <v>#VALUE!</v>
      </c>
      <c r="AC949">
        <v>8.3699999999999992</v>
      </c>
      <c r="AD949" s="154" t="e">
        <f t="shared" si="146"/>
        <v>#VALUE!</v>
      </c>
      <c r="AE949">
        <v>8.3699999999999992</v>
      </c>
    </row>
    <row r="950" spans="12:31" ht="15" x14ac:dyDescent="0.2">
      <c r="L950" s="154" t="e">
        <f t="shared" si="137"/>
        <v>#VALUE!</v>
      </c>
      <c r="M950">
        <v>8.3800000000000008</v>
      </c>
      <c r="N950" s="154" t="e">
        <f t="shared" si="138"/>
        <v>#VALUE!</v>
      </c>
      <c r="O950">
        <v>8.3800000000000008</v>
      </c>
      <c r="P950" s="154" t="e">
        <f t="shared" si="139"/>
        <v>#VALUE!</v>
      </c>
      <c r="Q950">
        <v>8.3800000000000008</v>
      </c>
      <c r="R950" s="154" t="e">
        <f t="shared" si="140"/>
        <v>#VALUE!</v>
      </c>
      <c r="S950">
        <v>8.3800000000000008</v>
      </c>
      <c r="T950" s="154" t="e">
        <f t="shared" si="141"/>
        <v>#VALUE!</v>
      </c>
      <c r="U950">
        <v>8.3800000000000008</v>
      </c>
      <c r="V950" s="154" t="e">
        <f t="shared" si="142"/>
        <v>#VALUE!</v>
      </c>
      <c r="W950">
        <v>8.3800000000000008</v>
      </c>
      <c r="X950" s="157" t="e">
        <f t="shared" si="143"/>
        <v>#VALUE!</v>
      </c>
      <c r="Y950">
        <v>8.3800000000000008</v>
      </c>
      <c r="Z950" s="154" t="e">
        <f t="shared" si="144"/>
        <v>#VALUE!</v>
      </c>
      <c r="AA950">
        <v>8.3800000000000008</v>
      </c>
      <c r="AB950" s="154" t="e">
        <f t="shared" si="145"/>
        <v>#VALUE!</v>
      </c>
      <c r="AC950">
        <v>8.3800000000000008</v>
      </c>
      <c r="AD950" s="154" t="e">
        <f t="shared" si="146"/>
        <v>#VALUE!</v>
      </c>
      <c r="AE950">
        <v>8.3800000000000008</v>
      </c>
    </row>
    <row r="951" spans="12:31" ht="15" x14ac:dyDescent="0.2">
      <c r="L951" s="154" t="e">
        <f t="shared" si="137"/>
        <v>#VALUE!</v>
      </c>
      <c r="M951">
        <v>8.39</v>
      </c>
      <c r="N951" s="154" t="e">
        <f t="shared" si="138"/>
        <v>#VALUE!</v>
      </c>
      <c r="O951">
        <v>8.39</v>
      </c>
      <c r="P951" s="154" t="e">
        <f t="shared" si="139"/>
        <v>#VALUE!</v>
      </c>
      <c r="Q951">
        <v>8.39</v>
      </c>
      <c r="R951" s="154" t="e">
        <f t="shared" si="140"/>
        <v>#VALUE!</v>
      </c>
      <c r="S951">
        <v>8.39</v>
      </c>
      <c r="T951" s="154" t="e">
        <f t="shared" si="141"/>
        <v>#VALUE!</v>
      </c>
      <c r="U951">
        <v>8.39</v>
      </c>
      <c r="V951" s="154" t="e">
        <f t="shared" si="142"/>
        <v>#VALUE!</v>
      </c>
      <c r="W951">
        <v>8.39</v>
      </c>
      <c r="X951" s="157" t="e">
        <f t="shared" si="143"/>
        <v>#VALUE!</v>
      </c>
      <c r="Y951">
        <v>8.39</v>
      </c>
      <c r="Z951" s="154" t="e">
        <f t="shared" si="144"/>
        <v>#VALUE!</v>
      </c>
      <c r="AA951">
        <v>8.39</v>
      </c>
      <c r="AB951" s="154" t="e">
        <f t="shared" si="145"/>
        <v>#VALUE!</v>
      </c>
      <c r="AC951">
        <v>8.39</v>
      </c>
      <c r="AD951" s="154" t="e">
        <f t="shared" si="146"/>
        <v>#VALUE!</v>
      </c>
      <c r="AE951">
        <v>8.39</v>
      </c>
    </row>
    <row r="952" spans="12:31" ht="15" x14ac:dyDescent="0.2">
      <c r="L952" s="154" t="e">
        <f t="shared" si="137"/>
        <v>#VALUE!</v>
      </c>
      <c r="M952">
        <v>8.4</v>
      </c>
      <c r="N952" s="154" t="e">
        <f t="shared" si="138"/>
        <v>#VALUE!</v>
      </c>
      <c r="O952">
        <v>8.4</v>
      </c>
      <c r="P952" s="154" t="e">
        <f t="shared" si="139"/>
        <v>#VALUE!</v>
      </c>
      <c r="Q952">
        <v>8.4</v>
      </c>
      <c r="R952" s="154" t="e">
        <f t="shared" si="140"/>
        <v>#VALUE!</v>
      </c>
      <c r="S952">
        <v>8.4</v>
      </c>
      <c r="T952" s="154" t="e">
        <f t="shared" si="141"/>
        <v>#VALUE!</v>
      </c>
      <c r="U952">
        <v>8.4</v>
      </c>
      <c r="V952" s="154" t="e">
        <f t="shared" si="142"/>
        <v>#VALUE!</v>
      </c>
      <c r="W952">
        <v>8.4</v>
      </c>
      <c r="X952" s="157" t="e">
        <f t="shared" si="143"/>
        <v>#VALUE!</v>
      </c>
      <c r="Y952">
        <v>8.4</v>
      </c>
      <c r="Z952" s="154" t="e">
        <f t="shared" si="144"/>
        <v>#VALUE!</v>
      </c>
      <c r="AA952">
        <v>8.4</v>
      </c>
      <c r="AB952" s="154" t="e">
        <f t="shared" si="145"/>
        <v>#VALUE!</v>
      </c>
      <c r="AC952">
        <v>8.4</v>
      </c>
      <c r="AD952" s="154" t="e">
        <f t="shared" si="146"/>
        <v>#VALUE!</v>
      </c>
      <c r="AE952">
        <v>8.4</v>
      </c>
    </row>
    <row r="953" spans="12:31" ht="15" x14ac:dyDescent="0.2">
      <c r="L953" s="154" t="e">
        <f t="shared" si="137"/>
        <v>#VALUE!</v>
      </c>
      <c r="M953">
        <v>8.41</v>
      </c>
      <c r="N953" s="154" t="e">
        <f t="shared" si="138"/>
        <v>#VALUE!</v>
      </c>
      <c r="O953">
        <v>8.41</v>
      </c>
      <c r="P953" s="154" t="e">
        <f t="shared" si="139"/>
        <v>#VALUE!</v>
      </c>
      <c r="Q953">
        <v>8.41</v>
      </c>
      <c r="R953" s="154" t="e">
        <f t="shared" si="140"/>
        <v>#VALUE!</v>
      </c>
      <c r="S953">
        <v>8.41</v>
      </c>
      <c r="T953" s="154" t="e">
        <f t="shared" si="141"/>
        <v>#VALUE!</v>
      </c>
      <c r="U953">
        <v>8.41</v>
      </c>
      <c r="V953" s="154" t="e">
        <f t="shared" si="142"/>
        <v>#VALUE!</v>
      </c>
      <c r="W953">
        <v>8.41</v>
      </c>
      <c r="X953" s="157" t="e">
        <f t="shared" si="143"/>
        <v>#VALUE!</v>
      </c>
      <c r="Y953">
        <v>8.41</v>
      </c>
      <c r="Z953" s="154" t="e">
        <f t="shared" si="144"/>
        <v>#VALUE!</v>
      </c>
      <c r="AA953">
        <v>8.41</v>
      </c>
      <c r="AB953" s="154" t="e">
        <f t="shared" si="145"/>
        <v>#VALUE!</v>
      </c>
      <c r="AC953">
        <v>8.41</v>
      </c>
      <c r="AD953" s="154" t="e">
        <f t="shared" si="146"/>
        <v>#VALUE!</v>
      </c>
      <c r="AE953">
        <v>8.41</v>
      </c>
    </row>
    <row r="954" spans="12:31" ht="15" x14ac:dyDescent="0.2">
      <c r="L954" s="154" t="e">
        <f t="shared" si="137"/>
        <v>#VALUE!</v>
      </c>
      <c r="M954">
        <v>8.42</v>
      </c>
      <c r="N954" s="154" t="e">
        <f t="shared" si="138"/>
        <v>#VALUE!</v>
      </c>
      <c r="O954">
        <v>8.42</v>
      </c>
      <c r="P954" s="154" t="e">
        <f t="shared" si="139"/>
        <v>#VALUE!</v>
      </c>
      <c r="Q954">
        <v>8.42</v>
      </c>
      <c r="R954" s="154" t="e">
        <f t="shared" si="140"/>
        <v>#VALUE!</v>
      </c>
      <c r="S954">
        <v>8.42</v>
      </c>
      <c r="T954" s="154" t="e">
        <f t="shared" si="141"/>
        <v>#VALUE!</v>
      </c>
      <c r="U954">
        <v>8.42</v>
      </c>
      <c r="V954" s="154" t="e">
        <f t="shared" si="142"/>
        <v>#VALUE!</v>
      </c>
      <c r="W954">
        <v>8.42</v>
      </c>
      <c r="X954" s="157" t="e">
        <f t="shared" si="143"/>
        <v>#VALUE!</v>
      </c>
      <c r="Y954">
        <v>8.42</v>
      </c>
      <c r="Z954" s="154" t="e">
        <f t="shared" si="144"/>
        <v>#VALUE!</v>
      </c>
      <c r="AA954">
        <v>8.42</v>
      </c>
      <c r="AB954" s="154" t="e">
        <f t="shared" si="145"/>
        <v>#VALUE!</v>
      </c>
      <c r="AC954">
        <v>8.42</v>
      </c>
      <c r="AD954" s="154" t="e">
        <f t="shared" si="146"/>
        <v>#VALUE!</v>
      </c>
      <c r="AE954">
        <v>8.42</v>
      </c>
    </row>
    <row r="955" spans="12:31" ht="15" x14ac:dyDescent="0.2">
      <c r="L955" s="154" t="e">
        <f t="shared" si="137"/>
        <v>#VALUE!</v>
      </c>
      <c r="M955">
        <v>8.43</v>
      </c>
      <c r="N955" s="154" t="e">
        <f t="shared" si="138"/>
        <v>#VALUE!</v>
      </c>
      <c r="O955">
        <v>8.43</v>
      </c>
      <c r="P955" s="154" t="e">
        <f t="shared" si="139"/>
        <v>#VALUE!</v>
      </c>
      <c r="Q955">
        <v>8.43</v>
      </c>
      <c r="R955" s="154" t="e">
        <f t="shared" si="140"/>
        <v>#VALUE!</v>
      </c>
      <c r="S955">
        <v>8.43</v>
      </c>
      <c r="T955" s="154" t="e">
        <f t="shared" si="141"/>
        <v>#VALUE!</v>
      </c>
      <c r="U955">
        <v>8.43</v>
      </c>
      <c r="V955" s="154" t="e">
        <f t="shared" si="142"/>
        <v>#VALUE!</v>
      </c>
      <c r="W955">
        <v>8.43</v>
      </c>
      <c r="X955" s="157" t="e">
        <f t="shared" si="143"/>
        <v>#VALUE!</v>
      </c>
      <c r="Y955">
        <v>8.43</v>
      </c>
      <c r="Z955" s="154" t="e">
        <f t="shared" si="144"/>
        <v>#VALUE!</v>
      </c>
      <c r="AA955">
        <v>8.43</v>
      </c>
      <c r="AB955" s="154" t="e">
        <f t="shared" si="145"/>
        <v>#VALUE!</v>
      </c>
      <c r="AC955">
        <v>8.43</v>
      </c>
      <c r="AD955" s="154" t="e">
        <f t="shared" si="146"/>
        <v>#VALUE!</v>
      </c>
      <c r="AE955">
        <v>8.43</v>
      </c>
    </row>
    <row r="956" spans="12:31" ht="15" x14ac:dyDescent="0.2">
      <c r="L956" s="154" t="e">
        <f t="shared" si="137"/>
        <v>#VALUE!</v>
      </c>
      <c r="M956">
        <v>8.44</v>
      </c>
      <c r="N956" s="154" t="e">
        <f t="shared" si="138"/>
        <v>#VALUE!</v>
      </c>
      <c r="O956">
        <v>8.44</v>
      </c>
      <c r="P956" s="154" t="e">
        <f t="shared" si="139"/>
        <v>#VALUE!</v>
      </c>
      <c r="Q956">
        <v>8.44</v>
      </c>
      <c r="R956" s="154" t="e">
        <f t="shared" si="140"/>
        <v>#VALUE!</v>
      </c>
      <c r="S956">
        <v>8.44</v>
      </c>
      <c r="T956" s="154" t="e">
        <f t="shared" si="141"/>
        <v>#VALUE!</v>
      </c>
      <c r="U956">
        <v>8.44</v>
      </c>
      <c r="V956" s="154" t="e">
        <f t="shared" si="142"/>
        <v>#VALUE!</v>
      </c>
      <c r="W956">
        <v>8.44</v>
      </c>
      <c r="X956" s="157" t="e">
        <f t="shared" si="143"/>
        <v>#VALUE!</v>
      </c>
      <c r="Y956">
        <v>8.44</v>
      </c>
      <c r="Z956" s="154" t="e">
        <f t="shared" si="144"/>
        <v>#VALUE!</v>
      </c>
      <c r="AA956">
        <v>8.44</v>
      </c>
      <c r="AB956" s="154" t="e">
        <f t="shared" si="145"/>
        <v>#VALUE!</v>
      </c>
      <c r="AC956">
        <v>8.44</v>
      </c>
      <c r="AD956" s="154" t="e">
        <f t="shared" si="146"/>
        <v>#VALUE!</v>
      </c>
      <c r="AE956">
        <v>8.44</v>
      </c>
    </row>
    <row r="957" spans="12:31" ht="15" x14ac:dyDescent="0.2">
      <c r="L957" s="154" t="e">
        <f t="shared" si="137"/>
        <v>#VALUE!</v>
      </c>
      <c r="M957">
        <v>8.4499999999999993</v>
      </c>
      <c r="N957" s="154" t="e">
        <f t="shared" si="138"/>
        <v>#VALUE!</v>
      </c>
      <c r="O957">
        <v>8.4499999999999993</v>
      </c>
      <c r="P957" s="154" t="e">
        <f t="shared" si="139"/>
        <v>#VALUE!</v>
      </c>
      <c r="Q957">
        <v>8.4499999999999993</v>
      </c>
      <c r="R957" s="154" t="e">
        <f t="shared" si="140"/>
        <v>#VALUE!</v>
      </c>
      <c r="S957">
        <v>8.4499999999999993</v>
      </c>
      <c r="T957" s="154" t="e">
        <f t="shared" si="141"/>
        <v>#VALUE!</v>
      </c>
      <c r="U957">
        <v>8.4499999999999993</v>
      </c>
      <c r="V957" s="154" t="e">
        <f t="shared" si="142"/>
        <v>#VALUE!</v>
      </c>
      <c r="W957">
        <v>8.4499999999999993</v>
      </c>
      <c r="X957" s="157" t="e">
        <f t="shared" si="143"/>
        <v>#VALUE!</v>
      </c>
      <c r="Y957">
        <v>8.4499999999999993</v>
      </c>
      <c r="Z957" s="154" t="e">
        <f t="shared" si="144"/>
        <v>#VALUE!</v>
      </c>
      <c r="AA957">
        <v>8.4499999999999993</v>
      </c>
      <c r="AB957" s="154" t="e">
        <f t="shared" si="145"/>
        <v>#VALUE!</v>
      </c>
      <c r="AC957">
        <v>8.4499999999999993</v>
      </c>
      <c r="AD957" s="154" t="e">
        <f t="shared" si="146"/>
        <v>#VALUE!</v>
      </c>
      <c r="AE957">
        <v>8.4499999999999993</v>
      </c>
    </row>
    <row r="958" spans="12:31" ht="15" x14ac:dyDescent="0.2">
      <c r="L958" s="154" t="e">
        <f t="shared" si="137"/>
        <v>#VALUE!</v>
      </c>
      <c r="M958">
        <v>8.4600000000000009</v>
      </c>
      <c r="N958" s="154" t="e">
        <f t="shared" si="138"/>
        <v>#VALUE!</v>
      </c>
      <c r="O958">
        <v>8.4600000000000009</v>
      </c>
      <c r="P958" s="154" t="e">
        <f t="shared" si="139"/>
        <v>#VALUE!</v>
      </c>
      <c r="Q958">
        <v>8.4600000000000009</v>
      </c>
      <c r="R958" s="154" t="e">
        <f t="shared" si="140"/>
        <v>#VALUE!</v>
      </c>
      <c r="S958">
        <v>8.4600000000000009</v>
      </c>
      <c r="T958" s="154" t="e">
        <f t="shared" si="141"/>
        <v>#VALUE!</v>
      </c>
      <c r="U958">
        <v>8.4600000000000009</v>
      </c>
      <c r="V958" s="154" t="e">
        <f t="shared" si="142"/>
        <v>#VALUE!</v>
      </c>
      <c r="W958">
        <v>8.4600000000000009</v>
      </c>
      <c r="X958" s="157" t="e">
        <f t="shared" si="143"/>
        <v>#VALUE!</v>
      </c>
      <c r="Y958">
        <v>8.4600000000000009</v>
      </c>
      <c r="Z958" s="154" t="e">
        <f t="shared" si="144"/>
        <v>#VALUE!</v>
      </c>
      <c r="AA958">
        <v>8.4600000000000009</v>
      </c>
      <c r="AB958" s="154" t="e">
        <f t="shared" si="145"/>
        <v>#VALUE!</v>
      </c>
      <c r="AC958">
        <v>8.4600000000000009</v>
      </c>
      <c r="AD958" s="154" t="e">
        <f t="shared" si="146"/>
        <v>#VALUE!</v>
      </c>
      <c r="AE958">
        <v>8.4600000000000009</v>
      </c>
    </row>
    <row r="959" spans="12:31" ht="15" x14ac:dyDescent="0.2">
      <c r="L959" s="154" t="e">
        <f t="shared" si="137"/>
        <v>#VALUE!</v>
      </c>
      <c r="M959">
        <v>8.4700000000000006</v>
      </c>
      <c r="N959" s="154" t="e">
        <f t="shared" si="138"/>
        <v>#VALUE!</v>
      </c>
      <c r="O959">
        <v>8.4700000000000006</v>
      </c>
      <c r="P959" s="154" t="e">
        <f t="shared" si="139"/>
        <v>#VALUE!</v>
      </c>
      <c r="Q959">
        <v>8.4700000000000006</v>
      </c>
      <c r="R959" s="154" t="e">
        <f t="shared" si="140"/>
        <v>#VALUE!</v>
      </c>
      <c r="S959">
        <v>8.4700000000000006</v>
      </c>
      <c r="T959" s="154" t="e">
        <f t="shared" si="141"/>
        <v>#VALUE!</v>
      </c>
      <c r="U959">
        <v>8.4700000000000006</v>
      </c>
      <c r="V959" s="154" t="e">
        <f t="shared" si="142"/>
        <v>#VALUE!</v>
      </c>
      <c r="W959">
        <v>8.4700000000000006</v>
      </c>
      <c r="X959" s="157" t="e">
        <f t="shared" si="143"/>
        <v>#VALUE!</v>
      </c>
      <c r="Y959">
        <v>8.4700000000000006</v>
      </c>
      <c r="Z959" s="154" t="e">
        <f t="shared" si="144"/>
        <v>#VALUE!</v>
      </c>
      <c r="AA959">
        <v>8.4700000000000006</v>
      </c>
      <c r="AB959" s="154" t="e">
        <f t="shared" si="145"/>
        <v>#VALUE!</v>
      </c>
      <c r="AC959">
        <v>8.4700000000000006</v>
      </c>
      <c r="AD959" s="154" t="e">
        <f t="shared" si="146"/>
        <v>#VALUE!</v>
      </c>
      <c r="AE959">
        <v>8.4700000000000006</v>
      </c>
    </row>
    <row r="960" spans="12:31" ht="15" x14ac:dyDescent="0.2">
      <c r="L960" s="154" t="e">
        <f t="shared" si="137"/>
        <v>#VALUE!</v>
      </c>
      <c r="M960">
        <v>8.48</v>
      </c>
      <c r="N960" s="154" t="e">
        <f t="shared" si="138"/>
        <v>#VALUE!</v>
      </c>
      <c r="O960">
        <v>8.48</v>
      </c>
      <c r="P960" s="154" t="e">
        <f t="shared" si="139"/>
        <v>#VALUE!</v>
      </c>
      <c r="Q960">
        <v>8.48</v>
      </c>
      <c r="R960" s="154" t="e">
        <f t="shared" si="140"/>
        <v>#VALUE!</v>
      </c>
      <c r="S960">
        <v>8.48</v>
      </c>
      <c r="T960" s="154" t="e">
        <f t="shared" si="141"/>
        <v>#VALUE!</v>
      </c>
      <c r="U960">
        <v>8.48</v>
      </c>
      <c r="V960" s="154" t="e">
        <f t="shared" si="142"/>
        <v>#VALUE!</v>
      </c>
      <c r="W960">
        <v>8.48</v>
      </c>
      <c r="X960" s="157" t="e">
        <f t="shared" si="143"/>
        <v>#VALUE!</v>
      </c>
      <c r="Y960">
        <v>8.48</v>
      </c>
      <c r="Z960" s="154" t="e">
        <f t="shared" si="144"/>
        <v>#VALUE!</v>
      </c>
      <c r="AA960">
        <v>8.48</v>
      </c>
      <c r="AB960" s="154" t="e">
        <f t="shared" si="145"/>
        <v>#VALUE!</v>
      </c>
      <c r="AC960">
        <v>8.48</v>
      </c>
      <c r="AD960" s="154" t="e">
        <f t="shared" si="146"/>
        <v>#VALUE!</v>
      </c>
      <c r="AE960">
        <v>8.48</v>
      </c>
    </row>
    <row r="961" spans="12:31" ht="15" x14ac:dyDescent="0.2">
      <c r="L961" s="154" t="e">
        <f t="shared" si="137"/>
        <v>#VALUE!</v>
      </c>
      <c r="M961">
        <v>8.49</v>
      </c>
      <c r="N961" s="154" t="e">
        <f t="shared" si="138"/>
        <v>#VALUE!</v>
      </c>
      <c r="O961">
        <v>8.49</v>
      </c>
      <c r="P961" s="154" t="e">
        <f t="shared" si="139"/>
        <v>#VALUE!</v>
      </c>
      <c r="Q961">
        <v>8.49</v>
      </c>
      <c r="R961" s="154" t="e">
        <f t="shared" si="140"/>
        <v>#VALUE!</v>
      </c>
      <c r="S961">
        <v>8.49</v>
      </c>
      <c r="T961" s="154" t="e">
        <f t="shared" si="141"/>
        <v>#VALUE!</v>
      </c>
      <c r="U961">
        <v>8.49</v>
      </c>
      <c r="V961" s="154" t="e">
        <f t="shared" si="142"/>
        <v>#VALUE!</v>
      </c>
      <c r="W961">
        <v>8.49</v>
      </c>
      <c r="X961" s="157" t="e">
        <f t="shared" si="143"/>
        <v>#VALUE!</v>
      </c>
      <c r="Y961">
        <v>8.49</v>
      </c>
      <c r="Z961" s="154" t="e">
        <f t="shared" si="144"/>
        <v>#VALUE!</v>
      </c>
      <c r="AA961">
        <v>8.49</v>
      </c>
      <c r="AB961" s="154" t="e">
        <f t="shared" si="145"/>
        <v>#VALUE!</v>
      </c>
      <c r="AC961">
        <v>8.49</v>
      </c>
      <c r="AD961" s="154" t="e">
        <f t="shared" si="146"/>
        <v>#VALUE!</v>
      </c>
      <c r="AE961">
        <v>8.49</v>
      </c>
    </row>
    <row r="962" spans="12:31" ht="15" x14ac:dyDescent="0.2">
      <c r="L962" s="154" t="e">
        <f t="shared" si="137"/>
        <v>#VALUE!</v>
      </c>
      <c r="M962">
        <v>8.5</v>
      </c>
      <c r="N962" s="154" t="e">
        <f t="shared" si="138"/>
        <v>#VALUE!</v>
      </c>
      <c r="O962">
        <v>8.5</v>
      </c>
      <c r="P962" s="154" t="e">
        <f t="shared" si="139"/>
        <v>#VALUE!</v>
      </c>
      <c r="Q962">
        <v>8.5</v>
      </c>
      <c r="R962" s="154" t="e">
        <f t="shared" si="140"/>
        <v>#VALUE!</v>
      </c>
      <c r="S962">
        <v>8.5</v>
      </c>
      <c r="T962" s="154" t="e">
        <f t="shared" si="141"/>
        <v>#VALUE!</v>
      </c>
      <c r="U962">
        <v>8.5</v>
      </c>
      <c r="V962" s="154" t="e">
        <f t="shared" si="142"/>
        <v>#VALUE!</v>
      </c>
      <c r="W962">
        <v>8.5</v>
      </c>
      <c r="X962" s="157" t="e">
        <f t="shared" si="143"/>
        <v>#VALUE!</v>
      </c>
      <c r="Y962">
        <v>8.5</v>
      </c>
      <c r="Z962" s="154" t="e">
        <f t="shared" si="144"/>
        <v>#VALUE!</v>
      </c>
      <c r="AA962">
        <v>8.5</v>
      </c>
      <c r="AB962" s="154" t="e">
        <f t="shared" si="145"/>
        <v>#VALUE!</v>
      </c>
      <c r="AC962">
        <v>8.5</v>
      </c>
      <c r="AD962" s="154" t="e">
        <f t="shared" si="146"/>
        <v>#VALUE!</v>
      </c>
      <c r="AE962">
        <v>8.5</v>
      </c>
    </row>
    <row r="963" spans="12:31" ht="15" x14ac:dyDescent="0.2">
      <c r="L963" s="154" t="e">
        <f t="shared" si="137"/>
        <v>#VALUE!</v>
      </c>
      <c r="M963">
        <v>8.51</v>
      </c>
      <c r="N963" s="154" t="e">
        <f t="shared" si="138"/>
        <v>#VALUE!</v>
      </c>
      <c r="O963">
        <v>8.51</v>
      </c>
      <c r="P963" s="154" t="e">
        <f t="shared" si="139"/>
        <v>#VALUE!</v>
      </c>
      <c r="Q963">
        <v>8.51</v>
      </c>
      <c r="R963" s="154" t="e">
        <f t="shared" si="140"/>
        <v>#VALUE!</v>
      </c>
      <c r="S963">
        <v>8.51</v>
      </c>
      <c r="T963" s="154" t="e">
        <f t="shared" si="141"/>
        <v>#VALUE!</v>
      </c>
      <c r="U963">
        <v>8.51</v>
      </c>
      <c r="V963" s="154" t="e">
        <f t="shared" si="142"/>
        <v>#VALUE!</v>
      </c>
      <c r="W963">
        <v>8.51</v>
      </c>
      <c r="X963" s="157" t="e">
        <f t="shared" si="143"/>
        <v>#VALUE!</v>
      </c>
      <c r="Y963">
        <v>8.51</v>
      </c>
      <c r="Z963" s="154" t="e">
        <f t="shared" si="144"/>
        <v>#VALUE!</v>
      </c>
      <c r="AA963">
        <v>8.51</v>
      </c>
      <c r="AB963" s="154" t="e">
        <f t="shared" si="145"/>
        <v>#VALUE!</v>
      </c>
      <c r="AC963">
        <v>8.51</v>
      </c>
      <c r="AD963" s="154" t="e">
        <f t="shared" si="146"/>
        <v>#VALUE!</v>
      </c>
      <c r="AE963">
        <v>8.51</v>
      </c>
    </row>
    <row r="964" spans="12:31" ht="15" x14ac:dyDescent="0.2">
      <c r="L964" s="154" t="e">
        <f t="shared" si="137"/>
        <v>#VALUE!</v>
      </c>
      <c r="M964">
        <v>8.52</v>
      </c>
      <c r="N964" s="154" t="e">
        <f t="shared" si="138"/>
        <v>#VALUE!</v>
      </c>
      <c r="O964">
        <v>8.52</v>
      </c>
      <c r="P964" s="154" t="e">
        <f t="shared" si="139"/>
        <v>#VALUE!</v>
      </c>
      <c r="Q964">
        <v>8.52</v>
      </c>
      <c r="R964" s="154" t="e">
        <f t="shared" si="140"/>
        <v>#VALUE!</v>
      </c>
      <c r="S964">
        <v>8.52</v>
      </c>
      <c r="T964" s="154" t="e">
        <f t="shared" si="141"/>
        <v>#VALUE!</v>
      </c>
      <c r="U964">
        <v>8.52</v>
      </c>
      <c r="V964" s="154" t="e">
        <f t="shared" si="142"/>
        <v>#VALUE!</v>
      </c>
      <c r="W964">
        <v>8.52</v>
      </c>
      <c r="X964" s="157" t="e">
        <f t="shared" si="143"/>
        <v>#VALUE!</v>
      </c>
      <c r="Y964">
        <v>8.52</v>
      </c>
      <c r="Z964" s="154" t="e">
        <f t="shared" si="144"/>
        <v>#VALUE!</v>
      </c>
      <c r="AA964">
        <v>8.52</v>
      </c>
      <c r="AB964" s="154" t="e">
        <f t="shared" si="145"/>
        <v>#VALUE!</v>
      </c>
      <c r="AC964">
        <v>8.52</v>
      </c>
      <c r="AD964" s="154" t="e">
        <f t="shared" si="146"/>
        <v>#VALUE!</v>
      </c>
      <c r="AE964">
        <v>8.52</v>
      </c>
    </row>
    <row r="965" spans="12:31" ht="15" x14ac:dyDescent="0.2">
      <c r="L965" s="154" t="e">
        <f t="shared" si="137"/>
        <v>#VALUE!</v>
      </c>
      <c r="M965">
        <v>8.5299999999999994</v>
      </c>
      <c r="N965" s="154" t="e">
        <f t="shared" si="138"/>
        <v>#VALUE!</v>
      </c>
      <c r="O965">
        <v>8.5299999999999994</v>
      </c>
      <c r="P965" s="154" t="e">
        <f t="shared" si="139"/>
        <v>#VALUE!</v>
      </c>
      <c r="Q965">
        <v>8.5299999999999994</v>
      </c>
      <c r="R965" s="154" t="e">
        <f t="shared" si="140"/>
        <v>#VALUE!</v>
      </c>
      <c r="S965">
        <v>8.5299999999999994</v>
      </c>
      <c r="T965" s="154" t="e">
        <f t="shared" si="141"/>
        <v>#VALUE!</v>
      </c>
      <c r="U965">
        <v>8.5299999999999994</v>
      </c>
      <c r="V965" s="154" t="e">
        <f t="shared" si="142"/>
        <v>#VALUE!</v>
      </c>
      <c r="W965">
        <v>8.5299999999999994</v>
      </c>
      <c r="X965" s="157" t="e">
        <f t="shared" si="143"/>
        <v>#VALUE!</v>
      </c>
      <c r="Y965">
        <v>8.5299999999999994</v>
      </c>
      <c r="Z965" s="154" t="e">
        <f t="shared" si="144"/>
        <v>#VALUE!</v>
      </c>
      <c r="AA965">
        <v>8.5299999999999994</v>
      </c>
      <c r="AB965" s="154" t="e">
        <f t="shared" si="145"/>
        <v>#VALUE!</v>
      </c>
      <c r="AC965">
        <v>8.5299999999999994</v>
      </c>
      <c r="AD965" s="154" t="e">
        <f t="shared" si="146"/>
        <v>#VALUE!</v>
      </c>
      <c r="AE965">
        <v>8.5299999999999994</v>
      </c>
    </row>
    <row r="966" spans="12:31" ht="15" x14ac:dyDescent="0.2">
      <c r="L966" s="154" t="e">
        <f t="shared" si="137"/>
        <v>#VALUE!</v>
      </c>
      <c r="M966">
        <v>8.5399999999999991</v>
      </c>
      <c r="N966" s="154" t="e">
        <f t="shared" si="138"/>
        <v>#VALUE!</v>
      </c>
      <c r="O966">
        <v>8.5399999999999991</v>
      </c>
      <c r="P966" s="154" t="e">
        <f t="shared" si="139"/>
        <v>#VALUE!</v>
      </c>
      <c r="Q966">
        <v>8.5399999999999991</v>
      </c>
      <c r="R966" s="154" t="e">
        <f t="shared" si="140"/>
        <v>#VALUE!</v>
      </c>
      <c r="S966">
        <v>8.5399999999999991</v>
      </c>
      <c r="T966" s="154" t="e">
        <f t="shared" si="141"/>
        <v>#VALUE!</v>
      </c>
      <c r="U966">
        <v>8.5399999999999991</v>
      </c>
      <c r="V966" s="154" t="e">
        <f t="shared" si="142"/>
        <v>#VALUE!</v>
      </c>
      <c r="W966">
        <v>8.5399999999999991</v>
      </c>
      <c r="X966" s="157" t="e">
        <f t="shared" si="143"/>
        <v>#VALUE!</v>
      </c>
      <c r="Y966">
        <v>8.5399999999999991</v>
      </c>
      <c r="Z966" s="154" t="e">
        <f t="shared" si="144"/>
        <v>#VALUE!</v>
      </c>
      <c r="AA966">
        <v>8.5399999999999991</v>
      </c>
      <c r="AB966" s="154" t="e">
        <f t="shared" si="145"/>
        <v>#VALUE!</v>
      </c>
      <c r="AC966">
        <v>8.5399999999999991</v>
      </c>
      <c r="AD966" s="154" t="e">
        <f t="shared" si="146"/>
        <v>#VALUE!</v>
      </c>
      <c r="AE966">
        <v>8.5399999999999991</v>
      </c>
    </row>
    <row r="967" spans="12:31" ht="15" x14ac:dyDescent="0.2">
      <c r="L967" s="154" t="e">
        <f t="shared" si="137"/>
        <v>#VALUE!</v>
      </c>
      <c r="M967">
        <v>8.5500000000000007</v>
      </c>
      <c r="N967" s="154" t="e">
        <f t="shared" si="138"/>
        <v>#VALUE!</v>
      </c>
      <c r="O967">
        <v>8.5500000000000007</v>
      </c>
      <c r="P967" s="154" t="e">
        <f t="shared" si="139"/>
        <v>#VALUE!</v>
      </c>
      <c r="Q967">
        <v>8.5500000000000007</v>
      </c>
      <c r="R967" s="154" t="e">
        <f t="shared" si="140"/>
        <v>#VALUE!</v>
      </c>
      <c r="S967">
        <v>8.5500000000000007</v>
      </c>
      <c r="T967" s="154" t="e">
        <f t="shared" si="141"/>
        <v>#VALUE!</v>
      </c>
      <c r="U967">
        <v>8.5500000000000007</v>
      </c>
      <c r="V967" s="154" t="e">
        <f t="shared" si="142"/>
        <v>#VALUE!</v>
      </c>
      <c r="W967">
        <v>8.5500000000000007</v>
      </c>
      <c r="X967" s="157" t="e">
        <f t="shared" si="143"/>
        <v>#VALUE!</v>
      </c>
      <c r="Y967">
        <v>8.5500000000000007</v>
      </c>
      <c r="Z967" s="154" t="e">
        <f t="shared" si="144"/>
        <v>#VALUE!</v>
      </c>
      <c r="AA967">
        <v>8.5500000000000007</v>
      </c>
      <c r="AB967" s="154" t="e">
        <f t="shared" si="145"/>
        <v>#VALUE!</v>
      </c>
      <c r="AC967">
        <v>8.5500000000000007</v>
      </c>
      <c r="AD967" s="154" t="e">
        <f t="shared" si="146"/>
        <v>#VALUE!</v>
      </c>
      <c r="AE967">
        <v>8.5500000000000007</v>
      </c>
    </row>
    <row r="968" spans="12:31" ht="15" x14ac:dyDescent="0.2">
      <c r="L968" s="154" t="e">
        <f t="shared" si="137"/>
        <v>#VALUE!</v>
      </c>
      <c r="M968">
        <v>8.56</v>
      </c>
      <c r="N968" s="154" t="e">
        <f t="shared" si="138"/>
        <v>#VALUE!</v>
      </c>
      <c r="O968">
        <v>8.56</v>
      </c>
      <c r="P968" s="154" t="e">
        <f t="shared" si="139"/>
        <v>#VALUE!</v>
      </c>
      <c r="Q968">
        <v>8.56</v>
      </c>
      <c r="R968" s="154" t="e">
        <f t="shared" si="140"/>
        <v>#VALUE!</v>
      </c>
      <c r="S968">
        <v>8.56</v>
      </c>
      <c r="T968" s="154" t="e">
        <f t="shared" si="141"/>
        <v>#VALUE!</v>
      </c>
      <c r="U968">
        <v>8.56</v>
      </c>
      <c r="V968" s="154" t="e">
        <f t="shared" si="142"/>
        <v>#VALUE!</v>
      </c>
      <c r="W968">
        <v>8.56</v>
      </c>
      <c r="X968" s="157" t="e">
        <f t="shared" si="143"/>
        <v>#VALUE!</v>
      </c>
      <c r="Y968">
        <v>8.56</v>
      </c>
      <c r="Z968" s="154" t="e">
        <f t="shared" si="144"/>
        <v>#VALUE!</v>
      </c>
      <c r="AA968">
        <v>8.56</v>
      </c>
      <c r="AB968" s="154" t="e">
        <f t="shared" si="145"/>
        <v>#VALUE!</v>
      </c>
      <c r="AC968">
        <v>8.56</v>
      </c>
      <c r="AD968" s="154" t="e">
        <f t="shared" si="146"/>
        <v>#VALUE!</v>
      </c>
      <c r="AE968">
        <v>8.56</v>
      </c>
    </row>
    <row r="969" spans="12:31" ht="15" x14ac:dyDescent="0.2">
      <c r="L969" s="154" t="e">
        <f t="shared" si="137"/>
        <v>#VALUE!</v>
      </c>
      <c r="M969">
        <v>8.57</v>
      </c>
      <c r="N969" s="154" t="e">
        <f t="shared" si="138"/>
        <v>#VALUE!</v>
      </c>
      <c r="O969">
        <v>8.57</v>
      </c>
      <c r="P969" s="154" t="e">
        <f t="shared" si="139"/>
        <v>#VALUE!</v>
      </c>
      <c r="Q969">
        <v>8.57</v>
      </c>
      <c r="R969" s="154" t="e">
        <f t="shared" si="140"/>
        <v>#VALUE!</v>
      </c>
      <c r="S969">
        <v>8.57</v>
      </c>
      <c r="T969" s="154" t="e">
        <f t="shared" si="141"/>
        <v>#VALUE!</v>
      </c>
      <c r="U969">
        <v>8.57</v>
      </c>
      <c r="V969" s="154" t="e">
        <f t="shared" si="142"/>
        <v>#VALUE!</v>
      </c>
      <c r="W969">
        <v>8.57</v>
      </c>
      <c r="X969" s="157" t="e">
        <f t="shared" si="143"/>
        <v>#VALUE!</v>
      </c>
      <c r="Y969">
        <v>8.57</v>
      </c>
      <c r="Z969" s="154" t="e">
        <f t="shared" si="144"/>
        <v>#VALUE!</v>
      </c>
      <c r="AA969">
        <v>8.57</v>
      </c>
      <c r="AB969" s="154" t="e">
        <f t="shared" si="145"/>
        <v>#VALUE!</v>
      </c>
      <c r="AC969">
        <v>8.57</v>
      </c>
      <c r="AD969" s="154" t="e">
        <f t="shared" si="146"/>
        <v>#VALUE!</v>
      </c>
      <c r="AE969">
        <v>8.57</v>
      </c>
    </row>
    <row r="970" spans="12:31" ht="15" x14ac:dyDescent="0.2">
      <c r="L970" s="154" t="e">
        <f t="shared" si="137"/>
        <v>#VALUE!</v>
      </c>
      <c r="M970">
        <v>8.58</v>
      </c>
      <c r="N970" s="154" t="e">
        <f t="shared" si="138"/>
        <v>#VALUE!</v>
      </c>
      <c r="O970">
        <v>8.58</v>
      </c>
      <c r="P970" s="154" t="e">
        <f t="shared" si="139"/>
        <v>#VALUE!</v>
      </c>
      <c r="Q970">
        <v>8.58</v>
      </c>
      <c r="R970" s="154" t="e">
        <f t="shared" si="140"/>
        <v>#VALUE!</v>
      </c>
      <c r="S970">
        <v>8.58</v>
      </c>
      <c r="T970" s="154" t="e">
        <f t="shared" si="141"/>
        <v>#VALUE!</v>
      </c>
      <c r="U970">
        <v>8.58</v>
      </c>
      <c r="V970" s="154" t="e">
        <f t="shared" si="142"/>
        <v>#VALUE!</v>
      </c>
      <c r="W970">
        <v>8.58</v>
      </c>
      <c r="X970" s="157" t="e">
        <f t="shared" si="143"/>
        <v>#VALUE!</v>
      </c>
      <c r="Y970">
        <v>8.58</v>
      </c>
      <c r="Z970" s="154" t="e">
        <f t="shared" si="144"/>
        <v>#VALUE!</v>
      </c>
      <c r="AA970">
        <v>8.58</v>
      </c>
      <c r="AB970" s="154" t="e">
        <f t="shared" si="145"/>
        <v>#VALUE!</v>
      </c>
      <c r="AC970">
        <v>8.58</v>
      </c>
      <c r="AD970" s="154" t="e">
        <f t="shared" si="146"/>
        <v>#VALUE!</v>
      </c>
      <c r="AE970">
        <v>8.58</v>
      </c>
    </row>
    <row r="971" spans="12:31" ht="15" x14ac:dyDescent="0.2">
      <c r="L971" s="154" t="e">
        <f t="shared" si="137"/>
        <v>#VALUE!</v>
      </c>
      <c r="M971">
        <v>8.59</v>
      </c>
      <c r="N971" s="154" t="e">
        <f t="shared" si="138"/>
        <v>#VALUE!</v>
      </c>
      <c r="O971">
        <v>8.59</v>
      </c>
      <c r="P971" s="154" t="e">
        <f t="shared" si="139"/>
        <v>#VALUE!</v>
      </c>
      <c r="Q971">
        <v>8.59</v>
      </c>
      <c r="R971" s="154" t="e">
        <f t="shared" si="140"/>
        <v>#VALUE!</v>
      </c>
      <c r="S971">
        <v>8.59</v>
      </c>
      <c r="T971" s="154" t="e">
        <f t="shared" si="141"/>
        <v>#VALUE!</v>
      </c>
      <c r="U971">
        <v>8.59</v>
      </c>
      <c r="V971" s="154" t="e">
        <f t="shared" si="142"/>
        <v>#VALUE!</v>
      </c>
      <c r="W971">
        <v>8.59</v>
      </c>
      <c r="X971" s="157" t="e">
        <f t="shared" si="143"/>
        <v>#VALUE!</v>
      </c>
      <c r="Y971">
        <v>8.59</v>
      </c>
      <c r="Z971" s="154" t="e">
        <f t="shared" si="144"/>
        <v>#VALUE!</v>
      </c>
      <c r="AA971">
        <v>8.59</v>
      </c>
      <c r="AB971" s="154" t="e">
        <f t="shared" si="145"/>
        <v>#VALUE!</v>
      </c>
      <c r="AC971">
        <v>8.59</v>
      </c>
      <c r="AD971" s="154" t="e">
        <f t="shared" si="146"/>
        <v>#VALUE!</v>
      </c>
      <c r="AE971">
        <v>8.59</v>
      </c>
    </row>
    <row r="972" spans="12:31" ht="15" x14ac:dyDescent="0.2">
      <c r="L972" s="154" t="e">
        <f t="shared" si="137"/>
        <v>#VALUE!</v>
      </c>
      <c r="M972">
        <v>8.6</v>
      </c>
      <c r="N972" s="154" t="e">
        <f t="shared" si="138"/>
        <v>#VALUE!</v>
      </c>
      <c r="O972">
        <v>8.6</v>
      </c>
      <c r="P972" s="154" t="e">
        <f t="shared" si="139"/>
        <v>#VALUE!</v>
      </c>
      <c r="Q972">
        <v>8.6</v>
      </c>
      <c r="R972" s="154" t="e">
        <f t="shared" si="140"/>
        <v>#VALUE!</v>
      </c>
      <c r="S972">
        <v>8.6</v>
      </c>
      <c r="T972" s="154" t="e">
        <f t="shared" si="141"/>
        <v>#VALUE!</v>
      </c>
      <c r="U972">
        <v>8.6</v>
      </c>
      <c r="V972" s="154" t="e">
        <f t="shared" si="142"/>
        <v>#VALUE!</v>
      </c>
      <c r="W972">
        <v>8.6</v>
      </c>
      <c r="X972" s="157" t="e">
        <f t="shared" si="143"/>
        <v>#VALUE!</v>
      </c>
      <c r="Y972">
        <v>8.6</v>
      </c>
      <c r="Z972" s="154" t="e">
        <f t="shared" si="144"/>
        <v>#VALUE!</v>
      </c>
      <c r="AA972">
        <v>8.6</v>
      </c>
      <c r="AB972" s="154" t="e">
        <f t="shared" si="145"/>
        <v>#VALUE!</v>
      </c>
      <c r="AC972">
        <v>8.6</v>
      </c>
      <c r="AD972" s="154" t="e">
        <f t="shared" si="146"/>
        <v>#VALUE!</v>
      </c>
      <c r="AE972">
        <v>8.6</v>
      </c>
    </row>
    <row r="973" spans="12:31" ht="15" x14ac:dyDescent="0.2">
      <c r="L973" s="154" t="e">
        <f t="shared" si="137"/>
        <v>#VALUE!</v>
      </c>
      <c r="M973">
        <v>8.61</v>
      </c>
      <c r="N973" s="154" t="e">
        <f t="shared" si="138"/>
        <v>#VALUE!</v>
      </c>
      <c r="O973">
        <v>8.61</v>
      </c>
      <c r="P973" s="154" t="e">
        <f t="shared" si="139"/>
        <v>#VALUE!</v>
      </c>
      <c r="Q973">
        <v>8.61</v>
      </c>
      <c r="R973" s="154" t="e">
        <f t="shared" si="140"/>
        <v>#VALUE!</v>
      </c>
      <c r="S973">
        <v>8.61</v>
      </c>
      <c r="T973" s="154" t="e">
        <f t="shared" si="141"/>
        <v>#VALUE!</v>
      </c>
      <c r="U973">
        <v>8.61</v>
      </c>
      <c r="V973" s="154" t="e">
        <f t="shared" si="142"/>
        <v>#VALUE!</v>
      </c>
      <c r="W973">
        <v>8.61</v>
      </c>
      <c r="X973" s="157" t="e">
        <f t="shared" si="143"/>
        <v>#VALUE!</v>
      </c>
      <c r="Y973">
        <v>8.61</v>
      </c>
      <c r="Z973" s="154" t="e">
        <f t="shared" si="144"/>
        <v>#VALUE!</v>
      </c>
      <c r="AA973">
        <v>8.61</v>
      </c>
      <c r="AB973" s="154" t="e">
        <f t="shared" si="145"/>
        <v>#VALUE!</v>
      </c>
      <c r="AC973">
        <v>8.61</v>
      </c>
      <c r="AD973" s="154" t="e">
        <f t="shared" si="146"/>
        <v>#VALUE!</v>
      </c>
      <c r="AE973">
        <v>8.61</v>
      </c>
    </row>
    <row r="974" spans="12:31" ht="15" x14ac:dyDescent="0.2">
      <c r="L974" s="154" t="e">
        <f t="shared" si="137"/>
        <v>#VALUE!</v>
      </c>
      <c r="M974">
        <v>8.6199999999999992</v>
      </c>
      <c r="N974" s="154" t="e">
        <f t="shared" si="138"/>
        <v>#VALUE!</v>
      </c>
      <c r="O974">
        <v>8.6199999999999992</v>
      </c>
      <c r="P974" s="154" t="e">
        <f t="shared" si="139"/>
        <v>#VALUE!</v>
      </c>
      <c r="Q974">
        <v>8.6199999999999992</v>
      </c>
      <c r="R974" s="154" t="e">
        <f t="shared" si="140"/>
        <v>#VALUE!</v>
      </c>
      <c r="S974">
        <v>8.6199999999999992</v>
      </c>
      <c r="T974" s="154" t="e">
        <f t="shared" si="141"/>
        <v>#VALUE!</v>
      </c>
      <c r="U974">
        <v>8.6199999999999992</v>
      </c>
      <c r="V974" s="154" t="e">
        <f t="shared" si="142"/>
        <v>#VALUE!</v>
      </c>
      <c r="W974">
        <v>8.6199999999999992</v>
      </c>
      <c r="X974" s="157" t="e">
        <f t="shared" si="143"/>
        <v>#VALUE!</v>
      </c>
      <c r="Y974">
        <v>8.6199999999999992</v>
      </c>
      <c r="Z974" s="154" t="e">
        <f t="shared" si="144"/>
        <v>#VALUE!</v>
      </c>
      <c r="AA974">
        <v>8.6199999999999992</v>
      </c>
      <c r="AB974" s="154" t="e">
        <f t="shared" si="145"/>
        <v>#VALUE!</v>
      </c>
      <c r="AC974">
        <v>8.6199999999999992</v>
      </c>
      <c r="AD974" s="154" t="e">
        <f t="shared" si="146"/>
        <v>#VALUE!</v>
      </c>
      <c r="AE974">
        <v>8.6199999999999992</v>
      </c>
    </row>
    <row r="975" spans="12:31" ht="15" x14ac:dyDescent="0.2">
      <c r="L975" s="154" t="e">
        <f t="shared" si="137"/>
        <v>#VALUE!</v>
      </c>
      <c r="M975">
        <v>8.6300000000000008</v>
      </c>
      <c r="N975" s="154" t="e">
        <f t="shared" si="138"/>
        <v>#VALUE!</v>
      </c>
      <c r="O975">
        <v>8.6300000000000008</v>
      </c>
      <c r="P975" s="154" t="e">
        <f t="shared" si="139"/>
        <v>#VALUE!</v>
      </c>
      <c r="Q975">
        <v>8.6300000000000008</v>
      </c>
      <c r="R975" s="154" t="e">
        <f t="shared" si="140"/>
        <v>#VALUE!</v>
      </c>
      <c r="S975">
        <v>8.6300000000000008</v>
      </c>
      <c r="T975" s="154" t="e">
        <f t="shared" si="141"/>
        <v>#VALUE!</v>
      </c>
      <c r="U975">
        <v>8.6300000000000008</v>
      </c>
      <c r="V975" s="154" t="e">
        <f t="shared" si="142"/>
        <v>#VALUE!</v>
      </c>
      <c r="W975">
        <v>8.6300000000000008</v>
      </c>
      <c r="X975" s="157" t="e">
        <f t="shared" si="143"/>
        <v>#VALUE!</v>
      </c>
      <c r="Y975">
        <v>8.6300000000000008</v>
      </c>
      <c r="Z975" s="154" t="e">
        <f t="shared" si="144"/>
        <v>#VALUE!</v>
      </c>
      <c r="AA975">
        <v>8.6300000000000008</v>
      </c>
      <c r="AB975" s="154" t="e">
        <f t="shared" si="145"/>
        <v>#VALUE!</v>
      </c>
      <c r="AC975">
        <v>8.6300000000000008</v>
      </c>
      <c r="AD975" s="154" t="e">
        <f t="shared" si="146"/>
        <v>#VALUE!</v>
      </c>
      <c r="AE975">
        <v>8.6300000000000008</v>
      </c>
    </row>
    <row r="976" spans="12:31" ht="15" x14ac:dyDescent="0.2">
      <c r="L976" s="154" t="e">
        <f t="shared" si="137"/>
        <v>#VALUE!</v>
      </c>
      <c r="M976">
        <v>8.64</v>
      </c>
      <c r="N976" s="154" t="e">
        <f t="shared" si="138"/>
        <v>#VALUE!</v>
      </c>
      <c r="O976">
        <v>8.64</v>
      </c>
      <c r="P976" s="154" t="e">
        <f t="shared" si="139"/>
        <v>#VALUE!</v>
      </c>
      <c r="Q976">
        <v>8.64</v>
      </c>
      <c r="R976" s="154" t="e">
        <f t="shared" si="140"/>
        <v>#VALUE!</v>
      </c>
      <c r="S976">
        <v>8.64</v>
      </c>
      <c r="T976" s="154" t="e">
        <f t="shared" si="141"/>
        <v>#VALUE!</v>
      </c>
      <c r="U976">
        <v>8.64</v>
      </c>
      <c r="V976" s="154" t="e">
        <f t="shared" si="142"/>
        <v>#VALUE!</v>
      </c>
      <c r="W976">
        <v>8.64</v>
      </c>
      <c r="X976" s="157" t="e">
        <f t="shared" si="143"/>
        <v>#VALUE!</v>
      </c>
      <c r="Y976">
        <v>8.64</v>
      </c>
      <c r="Z976" s="154" t="e">
        <f t="shared" si="144"/>
        <v>#VALUE!</v>
      </c>
      <c r="AA976">
        <v>8.64</v>
      </c>
      <c r="AB976" s="154" t="e">
        <f t="shared" si="145"/>
        <v>#VALUE!</v>
      </c>
      <c r="AC976">
        <v>8.64</v>
      </c>
      <c r="AD976" s="154" t="e">
        <f t="shared" si="146"/>
        <v>#VALUE!</v>
      </c>
      <c r="AE976">
        <v>8.64</v>
      </c>
    </row>
    <row r="977" spans="12:31" ht="15" x14ac:dyDescent="0.2">
      <c r="L977" s="154" t="e">
        <f t="shared" si="137"/>
        <v>#VALUE!</v>
      </c>
      <c r="M977">
        <v>8.65</v>
      </c>
      <c r="N977" s="154" t="e">
        <f t="shared" si="138"/>
        <v>#VALUE!</v>
      </c>
      <c r="O977">
        <v>8.65</v>
      </c>
      <c r="P977" s="154" t="e">
        <f t="shared" si="139"/>
        <v>#VALUE!</v>
      </c>
      <c r="Q977">
        <v>8.65</v>
      </c>
      <c r="R977" s="154" t="e">
        <f t="shared" si="140"/>
        <v>#VALUE!</v>
      </c>
      <c r="S977">
        <v>8.65</v>
      </c>
      <c r="T977" s="154" t="e">
        <f t="shared" si="141"/>
        <v>#VALUE!</v>
      </c>
      <c r="U977">
        <v>8.65</v>
      </c>
      <c r="V977" s="154" t="e">
        <f t="shared" si="142"/>
        <v>#VALUE!</v>
      </c>
      <c r="W977">
        <v>8.65</v>
      </c>
      <c r="X977" s="157" t="e">
        <f t="shared" si="143"/>
        <v>#VALUE!</v>
      </c>
      <c r="Y977">
        <v>8.65</v>
      </c>
      <c r="Z977" s="154" t="e">
        <f t="shared" si="144"/>
        <v>#VALUE!</v>
      </c>
      <c r="AA977">
        <v>8.65</v>
      </c>
      <c r="AB977" s="154" t="e">
        <f t="shared" si="145"/>
        <v>#VALUE!</v>
      </c>
      <c r="AC977">
        <v>8.65</v>
      </c>
      <c r="AD977" s="154" t="e">
        <f t="shared" si="146"/>
        <v>#VALUE!</v>
      </c>
      <c r="AE977">
        <v>8.65</v>
      </c>
    </row>
    <row r="978" spans="12:31" ht="15" x14ac:dyDescent="0.2">
      <c r="L978" s="154" t="e">
        <f t="shared" si="137"/>
        <v>#VALUE!</v>
      </c>
      <c r="M978">
        <v>8.66</v>
      </c>
      <c r="N978" s="154" t="e">
        <f t="shared" si="138"/>
        <v>#VALUE!</v>
      </c>
      <c r="O978">
        <v>8.66</v>
      </c>
      <c r="P978" s="154" t="e">
        <f t="shared" si="139"/>
        <v>#VALUE!</v>
      </c>
      <c r="Q978">
        <v>8.66</v>
      </c>
      <c r="R978" s="154" t="e">
        <f t="shared" si="140"/>
        <v>#VALUE!</v>
      </c>
      <c r="S978">
        <v>8.66</v>
      </c>
      <c r="T978" s="154" t="e">
        <f t="shared" si="141"/>
        <v>#VALUE!</v>
      </c>
      <c r="U978">
        <v>8.66</v>
      </c>
      <c r="V978" s="154" t="e">
        <f t="shared" si="142"/>
        <v>#VALUE!</v>
      </c>
      <c r="W978">
        <v>8.66</v>
      </c>
      <c r="X978" s="157" t="e">
        <f t="shared" si="143"/>
        <v>#VALUE!</v>
      </c>
      <c r="Y978">
        <v>8.66</v>
      </c>
      <c r="Z978" s="154" t="e">
        <f t="shared" si="144"/>
        <v>#VALUE!</v>
      </c>
      <c r="AA978">
        <v>8.66</v>
      </c>
      <c r="AB978" s="154" t="e">
        <f t="shared" si="145"/>
        <v>#VALUE!</v>
      </c>
      <c r="AC978">
        <v>8.66</v>
      </c>
      <c r="AD978" s="154" t="e">
        <f t="shared" si="146"/>
        <v>#VALUE!</v>
      </c>
      <c r="AE978">
        <v>8.66</v>
      </c>
    </row>
    <row r="979" spans="12:31" ht="15" x14ac:dyDescent="0.2">
      <c r="L979" s="154" t="e">
        <f t="shared" si="137"/>
        <v>#VALUE!</v>
      </c>
      <c r="M979">
        <v>8.67</v>
      </c>
      <c r="N979" s="154" t="e">
        <f t="shared" si="138"/>
        <v>#VALUE!</v>
      </c>
      <c r="O979">
        <v>8.67</v>
      </c>
      <c r="P979" s="154" t="e">
        <f t="shared" si="139"/>
        <v>#VALUE!</v>
      </c>
      <c r="Q979">
        <v>8.67</v>
      </c>
      <c r="R979" s="154" t="e">
        <f t="shared" si="140"/>
        <v>#VALUE!</v>
      </c>
      <c r="S979">
        <v>8.67</v>
      </c>
      <c r="T979" s="154" t="e">
        <f t="shared" si="141"/>
        <v>#VALUE!</v>
      </c>
      <c r="U979">
        <v>8.67</v>
      </c>
      <c r="V979" s="154" t="e">
        <f t="shared" si="142"/>
        <v>#VALUE!</v>
      </c>
      <c r="W979">
        <v>8.67</v>
      </c>
      <c r="X979" s="157" t="e">
        <f t="shared" si="143"/>
        <v>#VALUE!</v>
      </c>
      <c r="Y979">
        <v>8.67</v>
      </c>
      <c r="Z979" s="154" t="e">
        <f t="shared" si="144"/>
        <v>#VALUE!</v>
      </c>
      <c r="AA979">
        <v>8.67</v>
      </c>
      <c r="AB979" s="154" t="e">
        <f t="shared" si="145"/>
        <v>#VALUE!</v>
      </c>
      <c r="AC979">
        <v>8.67</v>
      </c>
      <c r="AD979" s="154" t="e">
        <f t="shared" si="146"/>
        <v>#VALUE!</v>
      </c>
      <c r="AE979">
        <v>8.67</v>
      </c>
    </row>
    <row r="980" spans="12:31" ht="15" x14ac:dyDescent="0.2">
      <c r="L980" s="154" t="e">
        <f t="shared" si="137"/>
        <v>#VALUE!</v>
      </c>
      <c r="M980">
        <v>8.68</v>
      </c>
      <c r="N980" s="154" t="e">
        <f t="shared" si="138"/>
        <v>#VALUE!</v>
      </c>
      <c r="O980">
        <v>8.68</v>
      </c>
      <c r="P980" s="154" t="e">
        <f t="shared" si="139"/>
        <v>#VALUE!</v>
      </c>
      <c r="Q980">
        <v>8.68</v>
      </c>
      <c r="R980" s="154" t="e">
        <f t="shared" si="140"/>
        <v>#VALUE!</v>
      </c>
      <c r="S980">
        <v>8.68</v>
      </c>
      <c r="T980" s="154" t="e">
        <f t="shared" si="141"/>
        <v>#VALUE!</v>
      </c>
      <c r="U980">
        <v>8.68</v>
      </c>
      <c r="V980" s="154" t="e">
        <f t="shared" si="142"/>
        <v>#VALUE!</v>
      </c>
      <c r="W980">
        <v>8.68</v>
      </c>
      <c r="X980" s="157" t="e">
        <f t="shared" si="143"/>
        <v>#VALUE!</v>
      </c>
      <c r="Y980">
        <v>8.68</v>
      </c>
      <c r="Z980" s="154" t="e">
        <f t="shared" si="144"/>
        <v>#VALUE!</v>
      </c>
      <c r="AA980">
        <v>8.68</v>
      </c>
      <c r="AB980" s="154" t="e">
        <f t="shared" si="145"/>
        <v>#VALUE!</v>
      </c>
      <c r="AC980">
        <v>8.68</v>
      </c>
      <c r="AD980" s="154" t="e">
        <f t="shared" si="146"/>
        <v>#VALUE!</v>
      </c>
      <c r="AE980">
        <v>8.68</v>
      </c>
    </row>
    <row r="981" spans="12:31" ht="15" x14ac:dyDescent="0.2">
      <c r="L981" s="154" t="e">
        <f t="shared" si="137"/>
        <v>#VALUE!</v>
      </c>
      <c r="M981">
        <v>8.69</v>
      </c>
      <c r="N981" s="154" t="e">
        <f t="shared" si="138"/>
        <v>#VALUE!</v>
      </c>
      <c r="O981">
        <v>8.69</v>
      </c>
      <c r="P981" s="154" t="e">
        <f t="shared" si="139"/>
        <v>#VALUE!</v>
      </c>
      <c r="Q981">
        <v>8.69</v>
      </c>
      <c r="R981" s="154" t="e">
        <f t="shared" si="140"/>
        <v>#VALUE!</v>
      </c>
      <c r="S981">
        <v>8.69</v>
      </c>
      <c r="T981" s="154" t="e">
        <f t="shared" si="141"/>
        <v>#VALUE!</v>
      </c>
      <c r="U981">
        <v>8.69</v>
      </c>
      <c r="V981" s="154" t="e">
        <f t="shared" si="142"/>
        <v>#VALUE!</v>
      </c>
      <c r="W981">
        <v>8.69</v>
      </c>
      <c r="X981" s="157" t="e">
        <f t="shared" si="143"/>
        <v>#VALUE!</v>
      </c>
      <c r="Y981">
        <v>8.69</v>
      </c>
      <c r="Z981" s="154" t="e">
        <f t="shared" si="144"/>
        <v>#VALUE!</v>
      </c>
      <c r="AA981">
        <v>8.69</v>
      </c>
      <c r="AB981" s="154" t="e">
        <f t="shared" si="145"/>
        <v>#VALUE!</v>
      </c>
      <c r="AC981">
        <v>8.69</v>
      </c>
      <c r="AD981" s="154" t="e">
        <f t="shared" si="146"/>
        <v>#VALUE!</v>
      </c>
      <c r="AE981">
        <v>8.69</v>
      </c>
    </row>
    <row r="982" spans="12:31" ht="15" x14ac:dyDescent="0.2">
      <c r="L982" s="154" t="e">
        <f t="shared" si="137"/>
        <v>#VALUE!</v>
      </c>
      <c r="M982">
        <v>8.6999999999999993</v>
      </c>
      <c r="N982" s="154" t="e">
        <f t="shared" si="138"/>
        <v>#VALUE!</v>
      </c>
      <c r="O982">
        <v>8.6999999999999993</v>
      </c>
      <c r="P982" s="154" t="e">
        <f t="shared" si="139"/>
        <v>#VALUE!</v>
      </c>
      <c r="Q982">
        <v>8.6999999999999993</v>
      </c>
      <c r="R982" s="154" t="e">
        <f t="shared" si="140"/>
        <v>#VALUE!</v>
      </c>
      <c r="S982">
        <v>8.6999999999999993</v>
      </c>
      <c r="T982" s="154" t="e">
        <f t="shared" si="141"/>
        <v>#VALUE!</v>
      </c>
      <c r="U982">
        <v>8.6999999999999993</v>
      </c>
      <c r="V982" s="154" t="e">
        <f t="shared" si="142"/>
        <v>#VALUE!</v>
      </c>
      <c r="W982">
        <v>8.6999999999999993</v>
      </c>
      <c r="X982" s="157" t="e">
        <f t="shared" si="143"/>
        <v>#VALUE!</v>
      </c>
      <c r="Y982">
        <v>8.6999999999999993</v>
      </c>
      <c r="Z982" s="154" t="e">
        <f t="shared" si="144"/>
        <v>#VALUE!</v>
      </c>
      <c r="AA982">
        <v>8.6999999999999993</v>
      </c>
      <c r="AB982" s="154" t="e">
        <f t="shared" si="145"/>
        <v>#VALUE!</v>
      </c>
      <c r="AC982">
        <v>8.6999999999999993</v>
      </c>
      <c r="AD982" s="154" t="e">
        <f t="shared" si="146"/>
        <v>#VALUE!</v>
      </c>
      <c r="AE982">
        <v>8.6999999999999993</v>
      </c>
    </row>
    <row r="983" spans="12:31" ht="15" x14ac:dyDescent="0.2">
      <c r="L983" s="154" t="e">
        <f t="shared" si="137"/>
        <v>#VALUE!</v>
      </c>
      <c r="M983">
        <v>8.7100000000000009</v>
      </c>
      <c r="N983" s="154" t="e">
        <f t="shared" si="138"/>
        <v>#VALUE!</v>
      </c>
      <c r="O983">
        <v>8.7100000000000009</v>
      </c>
      <c r="P983" s="154" t="e">
        <f t="shared" si="139"/>
        <v>#VALUE!</v>
      </c>
      <c r="Q983">
        <v>8.7100000000000009</v>
      </c>
      <c r="R983" s="154" t="e">
        <f t="shared" si="140"/>
        <v>#VALUE!</v>
      </c>
      <c r="S983">
        <v>8.7100000000000009</v>
      </c>
      <c r="T983" s="154" t="e">
        <f t="shared" si="141"/>
        <v>#VALUE!</v>
      </c>
      <c r="U983">
        <v>8.7100000000000009</v>
      </c>
      <c r="V983" s="154" t="e">
        <f t="shared" si="142"/>
        <v>#VALUE!</v>
      </c>
      <c r="W983">
        <v>8.7100000000000009</v>
      </c>
      <c r="X983" s="157" t="e">
        <f t="shared" si="143"/>
        <v>#VALUE!</v>
      </c>
      <c r="Y983">
        <v>8.7100000000000009</v>
      </c>
      <c r="Z983" s="154" t="e">
        <f t="shared" si="144"/>
        <v>#VALUE!</v>
      </c>
      <c r="AA983">
        <v>8.7100000000000009</v>
      </c>
      <c r="AB983" s="154" t="e">
        <f t="shared" si="145"/>
        <v>#VALUE!</v>
      </c>
      <c r="AC983">
        <v>8.7100000000000009</v>
      </c>
      <c r="AD983" s="154" t="e">
        <f t="shared" si="146"/>
        <v>#VALUE!</v>
      </c>
      <c r="AE983">
        <v>8.7100000000000009</v>
      </c>
    </row>
    <row r="984" spans="12:31" ht="15" x14ac:dyDescent="0.2">
      <c r="L984" s="154" t="e">
        <f t="shared" si="137"/>
        <v>#VALUE!</v>
      </c>
      <c r="M984">
        <v>8.7200000000000006</v>
      </c>
      <c r="N984" s="154" t="e">
        <f t="shared" si="138"/>
        <v>#VALUE!</v>
      </c>
      <c r="O984">
        <v>8.7200000000000006</v>
      </c>
      <c r="P984" s="154" t="e">
        <f t="shared" si="139"/>
        <v>#VALUE!</v>
      </c>
      <c r="Q984">
        <v>8.7200000000000006</v>
      </c>
      <c r="R984" s="154" t="e">
        <f t="shared" si="140"/>
        <v>#VALUE!</v>
      </c>
      <c r="S984">
        <v>8.7200000000000006</v>
      </c>
      <c r="T984" s="154" t="e">
        <f t="shared" si="141"/>
        <v>#VALUE!</v>
      </c>
      <c r="U984">
        <v>8.7200000000000006</v>
      </c>
      <c r="V984" s="154" t="e">
        <f t="shared" si="142"/>
        <v>#VALUE!</v>
      </c>
      <c r="W984">
        <v>8.7200000000000006</v>
      </c>
      <c r="X984" s="157" t="e">
        <f t="shared" si="143"/>
        <v>#VALUE!</v>
      </c>
      <c r="Y984">
        <v>8.7200000000000006</v>
      </c>
      <c r="Z984" s="154" t="e">
        <f t="shared" si="144"/>
        <v>#VALUE!</v>
      </c>
      <c r="AA984">
        <v>8.7200000000000006</v>
      </c>
      <c r="AB984" s="154" t="e">
        <f t="shared" si="145"/>
        <v>#VALUE!</v>
      </c>
      <c r="AC984">
        <v>8.7200000000000006</v>
      </c>
      <c r="AD984" s="154" t="e">
        <f t="shared" si="146"/>
        <v>#VALUE!</v>
      </c>
      <c r="AE984">
        <v>8.7200000000000006</v>
      </c>
    </row>
    <row r="985" spans="12:31" ht="15" x14ac:dyDescent="0.2">
      <c r="L985" s="154" t="e">
        <f t="shared" si="137"/>
        <v>#VALUE!</v>
      </c>
      <c r="M985">
        <v>8.73</v>
      </c>
      <c r="N985" s="154" t="e">
        <f t="shared" si="138"/>
        <v>#VALUE!</v>
      </c>
      <c r="O985">
        <v>8.73</v>
      </c>
      <c r="P985" s="154" t="e">
        <f t="shared" si="139"/>
        <v>#VALUE!</v>
      </c>
      <c r="Q985">
        <v>8.73</v>
      </c>
      <c r="R985" s="154" t="e">
        <f t="shared" si="140"/>
        <v>#VALUE!</v>
      </c>
      <c r="S985">
        <v>8.73</v>
      </c>
      <c r="T985" s="154" t="e">
        <f t="shared" si="141"/>
        <v>#VALUE!</v>
      </c>
      <c r="U985">
        <v>8.73</v>
      </c>
      <c r="V985" s="154" t="e">
        <f t="shared" si="142"/>
        <v>#VALUE!</v>
      </c>
      <c r="W985">
        <v>8.73</v>
      </c>
      <c r="X985" s="157" t="e">
        <f t="shared" si="143"/>
        <v>#VALUE!</v>
      </c>
      <c r="Y985">
        <v>8.73</v>
      </c>
      <c r="Z985" s="154" t="e">
        <f t="shared" si="144"/>
        <v>#VALUE!</v>
      </c>
      <c r="AA985">
        <v>8.73</v>
      </c>
      <c r="AB985" s="154" t="e">
        <f t="shared" si="145"/>
        <v>#VALUE!</v>
      </c>
      <c r="AC985">
        <v>8.73</v>
      </c>
      <c r="AD985" s="154" t="e">
        <f t="shared" si="146"/>
        <v>#VALUE!</v>
      </c>
      <c r="AE985">
        <v>8.73</v>
      </c>
    </row>
    <row r="986" spans="12:31" ht="15" x14ac:dyDescent="0.2">
      <c r="L986" s="154" t="e">
        <f t="shared" si="137"/>
        <v>#VALUE!</v>
      </c>
      <c r="M986">
        <v>8.74</v>
      </c>
      <c r="N986" s="154" t="e">
        <f t="shared" si="138"/>
        <v>#VALUE!</v>
      </c>
      <c r="O986">
        <v>8.74</v>
      </c>
      <c r="P986" s="154" t="e">
        <f t="shared" si="139"/>
        <v>#VALUE!</v>
      </c>
      <c r="Q986">
        <v>8.74</v>
      </c>
      <c r="R986" s="154" t="e">
        <f t="shared" si="140"/>
        <v>#VALUE!</v>
      </c>
      <c r="S986">
        <v>8.74</v>
      </c>
      <c r="T986" s="154" t="e">
        <f t="shared" si="141"/>
        <v>#VALUE!</v>
      </c>
      <c r="U986">
        <v>8.74</v>
      </c>
      <c r="V986" s="154" t="e">
        <f t="shared" si="142"/>
        <v>#VALUE!</v>
      </c>
      <c r="W986">
        <v>8.74</v>
      </c>
      <c r="X986" s="157" t="e">
        <f t="shared" si="143"/>
        <v>#VALUE!</v>
      </c>
      <c r="Y986">
        <v>8.74</v>
      </c>
      <c r="Z986" s="154" t="e">
        <f t="shared" si="144"/>
        <v>#VALUE!</v>
      </c>
      <c r="AA986">
        <v>8.74</v>
      </c>
      <c r="AB986" s="154" t="e">
        <f t="shared" si="145"/>
        <v>#VALUE!</v>
      </c>
      <c r="AC986">
        <v>8.74</v>
      </c>
      <c r="AD986" s="154" t="e">
        <f t="shared" si="146"/>
        <v>#VALUE!</v>
      </c>
      <c r="AE986">
        <v>8.74</v>
      </c>
    </row>
    <row r="987" spans="12:31" ht="15" x14ac:dyDescent="0.2">
      <c r="L987" s="154" t="e">
        <f t="shared" si="137"/>
        <v>#VALUE!</v>
      </c>
      <c r="M987">
        <v>8.75</v>
      </c>
      <c r="N987" s="154" t="e">
        <f t="shared" si="138"/>
        <v>#VALUE!</v>
      </c>
      <c r="O987">
        <v>8.75</v>
      </c>
      <c r="P987" s="154" t="e">
        <f t="shared" si="139"/>
        <v>#VALUE!</v>
      </c>
      <c r="Q987">
        <v>8.75</v>
      </c>
      <c r="R987" s="154" t="e">
        <f t="shared" si="140"/>
        <v>#VALUE!</v>
      </c>
      <c r="S987">
        <v>8.75</v>
      </c>
      <c r="T987" s="154" t="e">
        <f t="shared" si="141"/>
        <v>#VALUE!</v>
      </c>
      <c r="U987">
        <v>8.75</v>
      </c>
      <c r="V987" s="154" t="e">
        <f t="shared" si="142"/>
        <v>#VALUE!</v>
      </c>
      <c r="W987">
        <v>8.75</v>
      </c>
      <c r="X987" s="157" t="e">
        <f t="shared" si="143"/>
        <v>#VALUE!</v>
      </c>
      <c r="Y987">
        <v>8.75</v>
      </c>
      <c r="Z987" s="154" t="e">
        <f t="shared" si="144"/>
        <v>#VALUE!</v>
      </c>
      <c r="AA987">
        <v>8.75</v>
      </c>
      <c r="AB987" s="154" t="e">
        <f t="shared" si="145"/>
        <v>#VALUE!</v>
      </c>
      <c r="AC987">
        <v>8.75</v>
      </c>
      <c r="AD987" s="154" t="e">
        <f t="shared" si="146"/>
        <v>#VALUE!</v>
      </c>
      <c r="AE987">
        <v>8.75</v>
      </c>
    </row>
    <row r="988" spans="12:31" ht="15" x14ac:dyDescent="0.2">
      <c r="L988" s="154" t="e">
        <f t="shared" si="137"/>
        <v>#VALUE!</v>
      </c>
      <c r="M988">
        <v>8.76</v>
      </c>
      <c r="N988" s="154" t="e">
        <f t="shared" si="138"/>
        <v>#VALUE!</v>
      </c>
      <c r="O988">
        <v>8.76</v>
      </c>
      <c r="P988" s="154" t="e">
        <f t="shared" si="139"/>
        <v>#VALUE!</v>
      </c>
      <c r="Q988">
        <v>8.76</v>
      </c>
      <c r="R988" s="154" t="e">
        <f t="shared" si="140"/>
        <v>#VALUE!</v>
      </c>
      <c r="S988">
        <v>8.76</v>
      </c>
      <c r="T988" s="154" t="e">
        <f t="shared" si="141"/>
        <v>#VALUE!</v>
      </c>
      <c r="U988">
        <v>8.76</v>
      </c>
      <c r="V988" s="154" t="e">
        <f t="shared" si="142"/>
        <v>#VALUE!</v>
      </c>
      <c r="W988">
        <v>8.76</v>
      </c>
      <c r="X988" s="157" t="e">
        <f t="shared" si="143"/>
        <v>#VALUE!</v>
      </c>
      <c r="Y988">
        <v>8.76</v>
      </c>
      <c r="Z988" s="154" t="e">
        <f t="shared" si="144"/>
        <v>#VALUE!</v>
      </c>
      <c r="AA988">
        <v>8.76</v>
      </c>
      <c r="AB988" s="154" t="e">
        <f t="shared" si="145"/>
        <v>#VALUE!</v>
      </c>
      <c r="AC988">
        <v>8.76</v>
      </c>
      <c r="AD988" s="154" t="e">
        <f t="shared" si="146"/>
        <v>#VALUE!</v>
      </c>
      <c r="AE988">
        <v>8.76</v>
      </c>
    </row>
    <row r="989" spans="12:31" ht="15" x14ac:dyDescent="0.2">
      <c r="L989" s="154" t="e">
        <f t="shared" si="137"/>
        <v>#VALUE!</v>
      </c>
      <c r="M989">
        <v>8.77</v>
      </c>
      <c r="N989" s="154" t="e">
        <f t="shared" si="138"/>
        <v>#VALUE!</v>
      </c>
      <c r="O989">
        <v>8.77</v>
      </c>
      <c r="P989" s="154" t="e">
        <f t="shared" si="139"/>
        <v>#VALUE!</v>
      </c>
      <c r="Q989">
        <v>8.77</v>
      </c>
      <c r="R989" s="154" t="e">
        <f t="shared" si="140"/>
        <v>#VALUE!</v>
      </c>
      <c r="S989">
        <v>8.77</v>
      </c>
      <c r="T989" s="154" t="e">
        <f t="shared" si="141"/>
        <v>#VALUE!</v>
      </c>
      <c r="U989">
        <v>8.77</v>
      </c>
      <c r="V989" s="154" t="e">
        <f t="shared" si="142"/>
        <v>#VALUE!</v>
      </c>
      <c r="W989">
        <v>8.77</v>
      </c>
      <c r="X989" s="157" t="e">
        <f t="shared" si="143"/>
        <v>#VALUE!</v>
      </c>
      <c r="Y989">
        <v>8.77</v>
      </c>
      <c r="Z989" s="154" t="e">
        <f t="shared" si="144"/>
        <v>#VALUE!</v>
      </c>
      <c r="AA989">
        <v>8.77</v>
      </c>
      <c r="AB989" s="154" t="e">
        <f t="shared" si="145"/>
        <v>#VALUE!</v>
      </c>
      <c r="AC989">
        <v>8.77</v>
      </c>
      <c r="AD989" s="154" t="e">
        <f t="shared" si="146"/>
        <v>#VALUE!</v>
      </c>
      <c r="AE989">
        <v>8.77</v>
      </c>
    </row>
    <row r="990" spans="12:31" ht="15" x14ac:dyDescent="0.2">
      <c r="L990" s="154" t="e">
        <f t="shared" si="137"/>
        <v>#VALUE!</v>
      </c>
      <c r="M990">
        <v>8.7799999999999994</v>
      </c>
      <c r="N990" s="154" t="e">
        <f t="shared" si="138"/>
        <v>#VALUE!</v>
      </c>
      <c r="O990">
        <v>8.7799999999999994</v>
      </c>
      <c r="P990" s="154" t="e">
        <f t="shared" si="139"/>
        <v>#VALUE!</v>
      </c>
      <c r="Q990">
        <v>8.7799999999999994</v>
      </c>
      <c r="R990" s="154" t="e">
        <f t="shared" si="140"/>
        <v>#VALUE!</v>
      </c>
      <c r="S990">
        <v>8.7799999999999994</v>
      </c>
      <c r="T990" s="154" t="e">
        <f t="shared" si="141"/>
        <v>#VALUE!</v>
      </c>
      <c r="U990">
        <v>8.7799999999999994</v>
      </c>
      <c r="V990" s="154" t="e">
        <f t="shared" si="142"/>
        <v>#VALUE!</v>
      </c>
      <c r="W990">
        <v>8.7799999999999994</v>
      </c>
      <c r="X990" s="157" t="e">
        <f t="shared" si="143"/>
        <v>#VALUE!</v>
      </c>
      <c r="Y990">
        <v>8.7799999999999994</v>
      </c>
      <c r="Z990" s="154" t="e">
        <f t="shared" si="144"/>
        <v>#VALUE!</v>
      </c>
      <c r="AA990">
        <v>8.7799999999999994</v>
      </c>
      <c r="AB990" s="154" t="e">
        <f t="shared" si="145"/>
        <v>#VALUE!</v>
      </c>
      <c r="AC990">
        <v>8.7799999999999994</v>
      </c>
      <c r="AD990" s="154" t="e">
        <f t="shared" si="146"/>
        <v>#VALUE!</v>
      </c>
      <c r="AE990">
        <v>8.7799999999999994</v>
      </c>
    </row>
    <row r="991" spans="12:31" ht="15" x14ac:dyDescent="0.2">
      <c r="L991" s="154" t="e">
        <f t="shared" si="137"/>
        <v>#VALUE!</v>
      </c>
      <c r="M991">
        <v>8.7899999999999991</v>
      </c>
      <c r="N991" s="154" t="e">
        <f t="shared" si="138"/>
        <v>#VALUE!</v>
      </c>
      <c r="O991">
        <v>8.7899999999999991</v>
      </c>
      <c r="P991" s="154" t="e">
        <f t="shared" si="139"/>
        <v>#VALUE!</v>
      </c>
      <c r="Q991">
        <v>8.7899999999999991</v>
      </c>
      <c r="R991" s="154" t="e">
        <f t="shared" si="140"/>
        <v>#VALUE!</v>
      </c>
      <c r="S991">
        <v>8.7899999999999991</v>
      </c>
      <c r="T991" s="154" t="e">
        <f t="shared" si="141"/>
        <v>#VALUE!</v>
      </c>
      <c r="U991">
        <v>8.7899999999999991</v>
      </c>
      <c r="V991" s="154" t="e">
        <f t="shared" si="142"/>
        <v>#VALUE!</v>
      </c>
      <c r="W991">
        <v>8.7899999999999991</v>
      </c>
      <c r="X991" s="157" t="e">
        <f t="shared" si="143"/>
        <v>#VALUE!</v>
      </c>
      <c r="Y991">
        <v>8.7899999999999991</v>
      </c>
      <c r="Z991" s="154" t="e">
        <f t="shared" si="144"/>
        <v>#VALUE!</v>
      </c>
      <c r="AA991">
        <v>8.7899999999999991</v>
      </c>
      <c r="AB991" s="154" t="e">
        <f t="shared" si="145"/>
        <v>#VALUE!</v>
      </c>
      <c r="AC991">
        <v>8.7899999999999991</v>
      </c>
      <c r="AD991" s="154" t="e">
        <f t="shared" si="146"/>
        <v>#VALUE!</v>
      </c>
      <c r="AE991">
        <v>8.7899999999999991</v>
      </c>
    </row>
    <row r="992" spans="12:31" ht="15" x14ac:dyDescent="0.2">
      <c r="L992" s="154" t="e">
        <f t="shared" si="137"/>
        <v>#VALUE!</v>
      </c>
      <c r="M992">
        <v>8.8000000000000007</v>
      </c>
      <c r="N992" s="154" t="e">
        <f t="shared" si="138"/>
        <v>#VALUE!</v>
      </c>
      <c r="O992">
        <v>8.8000000000000007</v>
      </c>
      <c r="P992" s="154" t="e">
        <f t="shared" si="139"/>
        <v>#VALUE!</v>
      </c>
      <c r="Q992">
        <v>8.8000000000000007</v>
      </c>
      <c r="R992" s="154" t="e">
        <f t="shared" si="140"/>
        <v>#VALUE!</v>
      </c>
      <c r="S992">
        <v>8.8000000000000007</v>
      </c>
      <c r="T992" s="154" t="e">
        <f t="shared" si="141"/>
        <v>#VALUE!</v>
      </c>
      <c r="U992">
        <v>8.8000000000000007</v>
      </c>
      <c r="V992" s="154" t="e">
        <f t="shared" si="142"/>
        <v>#VALUE!</v>
      </c>
      <c r="W992">
        <v>8.8000000000000007</v>
      </c>
      <c r="X992" s="157" t="e">
        <f t="shared" si="143"/>
        <v>#VALUE!</v>
      </c>
      <c r="Y992">
        <v>8.8000000000000007</v>
      </c>
      <c r="Z992" s="154" t="e">
        <f t="shared" si="144"/>
        <v>#VALUE!</v>
      </c>
      <c r="AA992">
        <v>8.8000000000000007</v>
      </c>
      <c r="AB992" s="154" t="e">
        <f t="shared" si="145"/>
        <v>#VALUE!</v>
      </c>
      <c r="AC992">
        <v>8.8000000000000007</v>
      </c>
      <c r="AD992" s="154" t="e">
        <f t="shared" si="146"/>
        <v>#VALUE!</v>
      </c>
      <c r="AE992">
        <v>8.8000000000000007</v>
      </c>
    </row>
    <row r="993" spans="12:31" ht="15" x14ac:dyDescent="0.2">
      <c r="L993" s="154" t="e">
        <f t="shared" si="137"/>
        <v>#VALUE!</v>
      </c>
      <c r="M993">
        <v>8.81</v>
      </c>
      <c r="N993" s="154" t="e">
        <f t="shared" si="138"/>
        <v>#VALUE!</v>
      </c>
      <c r="O993">
        <v>8.81</v>
      </c>
      <c r="P993" s="154" t="e">
        <f t="shared" si="139"/>
        <v>#VALUE!</v>
      </c>
      <c r="Q993">
        <v>8.81</v>
      </c>
      <c r="R993" s="154" t="e">
        <f t="shared" si="140"/>
        <v>#VALUE!</v>
      </c>
      <c r="S993">
        <v>8.81</v>
      </c>
      <c r="T993" s="154" t="e">
        <f t="shared" si="141"/>
        <v>#VALUE!</v>
      </c>
      <c r="U993">
        <v>8.81</v>
      </c>
      <c r="V993" s="154" t="e">
        <f t="shared" si="142"/>
        <v>#VALUE!</v>
      </c>
      <c r="W993">
        <v>8.81</v>
      </c>
      <c r="X993" s="157" t="e">
        <f t="shared" si="143"/>
        <v>#VALUE!</v>
      </c>
      <c r="Y993">
        <v>8.81</v>
      </c>
      <c r="Z993" s="154" t="e">
        <f t="shared" si="144"/>
        <v>#VALUE!</v>
      </c>
      <c r="AA993">
        <v>8.81</v>
      </c>
      <c r="AB993" s="154" t="e">
        <f t="shared" si="145"/>
        <v>#VALUE!</v>
      </c>
      <c r="AC993">
        <v>8.81</v>
      </c>
      <c r="AD993" s="154" t="e">
        <f t="shared" si="146"/>
        <v>#VALUE!</v>
      </c>
      <c r="AE993">
        <v>8.81</v>
      </c>
    </row>
    <row r="994" spans="12:31" ht="15" x14ac:dyDescent="0.2">
      <c r="L994" s="154" t="e">
        <f t="shared" si="137"/>
        <v>#VALUE!</v>
      </c>
      <c r="M994">
        <v>8.82</v>
      </c>
      <c r="N994" s="154" t="e">
        <f t="shared" si="138"/>
        <v>#VALUE!</v>
      </c>
      <c r="O994">
        <v>8.82</v>
      </c>
      <c r="P994" s="154" t="e">
        <f t="shared" si="139"/>
        <v>#VALUE!</v>
      </c>
      <c r="Q994">
        <v>8.82</v>
      </c>
      <c r="R994" s="154" t="e">
        <f t="shared" si="140"/>
        <v>#VALUE!</v>
      </c>
      <c r="S994">
        <v>8.82</v>
      </c>
      <c r="T994" s="154" t="e">
        <f t="shared" si="141"/>
        <v>#VALUE!</v>
      </c>
      <c r="U994">
        <v>8.82</v>
      </c>
      <c r="V994" s="154" t="e">
        <f t="shared" si="142"/>
        <v>#VALUE!</v>
      </c>
      <c r="W994">
        <v>8.82</v>
      </c>
      <c r="X994" s="157" t="e">
        <f t="shared" si="143"/>
        <v>#VALUE!</v>
      </c>
      <c r="Y994">
        <v>8.82</v>
      </c>
      <c r="Z994" s="154" t="e">
        <f t="shared" si="144"/>
        <v>#VALUE!</v>
      </c>
      <c r="AA994">
        <v>8.82</v>
      </c>
      <c r="AB994" s="154" t="e">
        <f t="shared" si="145"/>
        <v>#VALUE!</v>
      </c>
      <c r="AC994">
        <v>8.82</v>
      </c>
      <c r="AD994" s="154" t="e">
        <f t="shared" si="146"/>
        <v>#VALUE!</v>
      </c>
      <c r="AE994">
        <v>8.82</v>
      </c>
    </row>
    <row r="995" spans="12:31" ht="15" x14ac:dyDescent="0.2">
      <c r="L995" s="154" t="e">
        <f t="shared" si="137"/>
        <v>#VALUE!</v>
      </c>
      <c r="M995">
        <v>8.83</v>
      </c>
      <c r="N995" s="154" t="e">
        <f t="shared" si="138"/>
        <v>#VALUE!</v>
      </c>
      <c r="O995">
        <v>8.83</v>
      </c>
      <c r="P995" s="154" t="e">
        <f t="shared" si="139"/>
        <v>#VALUE!</v>
      </c>
      <c r="Q995">
        <v>8.83</v>
      </c>
      <c r="R995" s="154" t="e">
        <f t="shared" si="140"/>
        <v>#VALUE!</v>
      </c>
      <c r="S995">
        <v>8.83</v>
      </c>
      <c r="T995" s="154" t="e">
        <f t="shared" si="141"/>
        <v>#VALUE!</v>
      </c>
      <c r="U995">
        <v>8.83</v>
      </c>
      <c r="V995" s="154" t="e">
        <f t="shared" si="142"/>
        <v>#VALUE!</v>
      </c>
      <c r="W995">
        <v>8.83</v>
      </c>
      <c r="X995" s="157" t="e">
        <f t="shared" si="143"/>
        <v>#VALUE!</v>
      </c>
      <c r="Y995">
        <v>8.83</v>
      </c>
      <c r="Z995" s="154" t="e">
        <f t="shared" si="144"/>
        <v>#VALUE!</v>
      </c>
      <c r="AA995">
        <v>8.83</v>
      </c>
      <c r="AB995" s="154" t="e">
        <f t="shared" si="145"/>
        <v>#VALUE!</v>
      </c>
      <c r="AC995">
        <v>8.83</v>
      </c>
      <c r="AD995" s="154" t="e">
        <f t="shared" si="146"/>
        <v>#VALUE!</v>
      </c>
      <c r="AE995">
        <v>8.83</v>
      </c>
    </row>
    <row r="996" spans="12:31" ht="15" x14ac:dyDescent="0.2">
      <c r="L996" s="154" t="e">
        <f t="shared" si="137"/>
        <v>#VALUE!</v>
      </c>
      <c r="M996">
        <v>8.84</v>
      </c>
      <c r="N996" s="154" t="e">
        <f t="shared" si="138"/>
        <v>#VALUE!</v>
      </c>
      <c r="O996">
        <v>8.84</v>
      </c>
      <c r="P996" s="154" t="e">
        <f t="shared" si="139"/>
        <v>#VALUE!</v>
      </c>
      <c r="Q996">
        <v>8.84</v>
      </c>
      <c r="R996" s="154" t="e">
        <f t="shared" si="140"/>
        <v>#VALUE!</v>
      </c>
      <c r="S996">
        <v>8.84</v>
      </c>
      <c r="T996" s="154" t="e">
        <f t="shared" si="141"/>
        <v>#VALUE!</v>
      </c>
      <c r="U996">
        <v>8.84</v>
      </c>
      <c r="V996" s="154" t="e">
        <f t="shared" si="142"/>
        <v>#VALUE!</v>
      </c>
      <c r="W996">
        <v>8.84</v>
      </c>
      <c r="X996" s="157" t="e">
        <f t="shared" si="143"/>
        <v>#VALUE!</v>
      </c>
      <c r="Y996">
        <v>8.84</v>
      </c>
      <c r="Z996" s="154" t="e">
        <f t="shared" si="144"/>
        <v>#VALUE!</v>
      </c>
      <c r="AA996">
        <v>8.84</v>
      </c>
      <c r="AB996" s="154" t="e">
        <f t="shared" si="145"/>
        <v>#VALUE!</v>
      </c>
      <c r="AC996">
        <v>8.84</v>
      </c>
      <c r="AD996" s="154" t="e">
        <f t="shared" si="146"/>
        <v>#VALUE!</v>
      </c>
      <c r="AE996">
        <v>8.84</v>
      </c>
    </row>
    <row r="997" spans="12:31" ht="15" x14ac:dyDescent="0.2">
      <c r="L997" s="154" t="e">
        <f t="shared" si="137"/>
        <v>#VALUE!</v>
      </c>
      <c r="M997">
        <v>8.85</v>
      </c>
      <c r="N997" s="154" t="e">
        <f t="shared" si="138"/>
        <v>#VALUE!</v>
      </c>
      <c r="O997">
        <v>8.85</v>
      </c>
      <c r="P997" s="154" t="e">
        <f t="shared" si="139"/>
        <v>#VALUE!</v>
      </c>
      <c r="Q997">
        <v>8.85</v>
      </c>
      <c r="R997" s="154" t="e">
        <f t="shared" si="140"/>
        <v>#VALUE!</v>
      </c>
      <c r="S997">
        <v>8.85</v>
      </c>
      <c r="T997" s="154" t="e">
        <f t="shared" si="141"/>
        <v>#VALUE!</v>
      </c>
      <c r="U997">
        <v>8.85</v>
      </c>
      <c r="V997" s="154" t="e">
        <f t="shared" si="142"/>
        <v>#VALUE!</v>
      </c>
      <c r="W997">
        <v>8.85</v>
      </c>
      <c r="X997" s="157" t="e">
        <f t="shared" si="143"/>
        <v>#VALUE!</v>
      </c>
      <c r="Y997">
        <v>8.85</v>
      </c>
      <c r="Z997" s="154" t="e">
        <f t="shared" si="144"/>
        <v>#VALUE!</v>
      </c>
      <c r="AA997">
        <v>8.85</v>
      </c>
      <c r="AB997" s="154" t="e">
        <f t="shared" si="145"/>
        <v>#VALUE!</v>
      </c>
      <c r="AC997">
        <v>8.85</v>
      </c>
      <c r="AD997" s="154" t="e">
        <f t="shared" si="146"/>
        <v>#VALUE!</v>
      </c>
      <c r="AE997">
        <v>8.85</v>
      </c>
    </row>
    <row r="998" spans="12:31" ht="15" x14ac:dyDescent="0.2">
      <c r="L998" s="154" t="e">
        <f t="shared" si="137"/>
        <v>#VALUE!</v>
      </c>
      <c r="M998">
        <v>8.86</v>
      </c>
      <c r="N998" s="154" t="e">
        <f t="shared" si="138"/>
        <v>#VALUE!</v>
      </c>
      <c r="O998">
        <v>8.86</v>
      </c>
      <c r="P998" s="154" t="e">
        <f t="shared" si="139"/>
        <v>#VALUE!</v>
      </c>
      <c r="Q998">
        <v>8.86</v>
      </c>
      <c r="R998" s="154" t="e">
        <f t="shared" si="140"/>
        <v>#VALUE!</v>
      </c>
      <c r="S998">
        <v>8.86</v>
      </c>
      <c r="T998" s="154" t="e">
        <f t="shared" si="141"/>
        <v>#VALUE!</v>
      </c>
      <c r="U998">
        <v>8.86</v>
      </c>
      <c r="V998" s="154" t="e">
        <f t="shared" si="142"/>
        <v>#VALUE!</v>
      </c>
      <c r="W998">
        <v>8.86</v>
      </c>
      <c r="X998" s="157" t="e">
        <f t="shared" si="143"/>
        <v>#VALUE!</v>
      </c>
      <c r="Y998">
        <v>8.86</v>
      </c>
      <c r="Z998" s="154" t="e">
        <f t="shared" si="144"/>
        <v>#VALUE!</v>
      </c>
      <c r="AA998">
        <v>8.86</v>
      </c>
      <c r="AB998" s="154" t="e">
        <f t="shared" si="145"/>
        <v>#VALUE!</v>
      </c>
      <c r="AC998">
        <v>8.86</v>
      </c>
      <c r="AD998" s="154" t="e">
        <f t="shared" si="146"/>
        <v>#VALUE!</v>
      </c>
      <c r="AE998">
        <v>8.86</v>
      </c>
    </row>
    <row r="999" spans="12:31" ht="15" x14ac:dyDescent="0.2">
      <c r="L999" s="154" t="e">
        <f t="shared" si="137"/>
        <v>#VALUE!</v>
      </c>
      <c r="M999">
        <v>8.8699999999999992</v>
      </c>
      <c r="N999" s="154" t="e">
        <f t="shared" si="138"/>
        <v>#VALUE!</v>
      </c>
      <c r="O999">
        <v>8.8699999999999992</v>
      </c>
      <c r="P999" s="154" t="e">
        <f t="shared" si="139"/>
        <v>#VALUE!</v>
      </c>
      <c r="Q999">
        <v>8.8699999999999992</v>
      </c>
      <c r="R999" s="154" t="e">
        <f t="shared" si="140"/>
        <v>#VALUE!</v>
      </c>
      <c r="S999">
        <v>8.8699999999999992</v>
      </c>
      <c r="T999" s="154" t="e">
        <f t="shared" si="141"/>
        <v>#VALUE!</v>
      </c>
      <c r="U999">
        <v>8.8699999999999992</v>
      </c>
      <c r="V999" s="154" t="e">
        <f t="shared" si="142"/>
        <v>#VALUE!</v>
      </c>
      <c r="W999">
        <v>8.8699999999999992</v>
      </c>
      <c r="X999" s="157" t="e">
        <f t="shared" si="143"/>
        <v>#VALUE!</v>
      </c>
      <c r="Y999">
        <v>8.8699999999999992</v>
      </c>
      <c r="Z999" s="154" t="e">
        <f t="shared" si="144"/>
        <v>#VALUE!</v>
      </c>
      <c r="AA999">
        <v>8.8699999999999992</v>
      </c>
      <c r="AB999" s="154" t="e">
        <f t="shared" si="145"/>
        <v>#VALUE!</v>
      </c>
      <c r="AC999">
        <v>8.8699999999999992</v>
      </c>
      <c r="AD999" s="154" t="e">
        <f t="shared" si="146"/>
        <v>#VALUE!</v>
      </c>
      <c r="AE999">
        <v>8.8699999999999992</v>
      </c>
    </row>
    <row r="1000" spans="12:31" ht="15" x14ac:dyDescent="0.2">
      <c r="L1000" s="154" t="e">
        <f t="shared" si="137"/>
        <v>#VALUE!</v>
      </c>
      <c r="M1000">
        <v>8.8800000000000008</v>
      </c>
      <c r="N1000" s="154" t="e">
        <f t="shared" si="138"/>
        <v>#VALUE!</v>
      </c>
      <c r="O1000">
        <v>8.8800000000000008</v>
      </c>
      <c r="P1000" s="154" t="e">
        <f t="shared" si="139"/>
        <v>#VALUE!</v>
      </c>
      <c r="Q1000">
        <v>8.8800000000000008</v>
      </c>
      <c r="R1000" s="154" t="e">
        <f t="shared" si="140"/>
        <v>#VALUE!</v>
      </c>
      <c r="S1000">
        <v>8.8800000000000008</v>
      </c>
      <c r="T1000" s="154" t="e">
        <f t="shared" si="141"/>
        <v>#VALUE!</v>
      </c>
      <c r="U1000">
        <v>8.8800000000000008</v>
      </c>
      <c r="V1000" s="154" t="e">
        <f t="shared" si="142"/>
        <v>#VALUE!</v>
      </c>
      <c r="W1000">
        <v>8.8800000000000008</v>
      </c>
      <c r="X1000" s="157" t="e">
        <f t="shared" si="143"/>
        <v>#VALUE!</v>
      </c>
      <c r="Y1000">
        <v>8.8800000000000008</v>
      </c>
      <c r="Z1000" s="154" t="e">
        <f t="shared" si="144"/>
        <v>#VALUE!</v>
      </c>
      <c r="AA1000">
        <v>8.8800000000000008</v>
      </c>
      <c r="AB1000" s="154" t="e">
        <f t="shared" si="145"/>
        <v>#VALUE!</v>
      </c>
      <c r="AC1000">
        <v>8.8800000000000008</v>
      </c>
      <c r="AD1000" s="154" t="e">
        <f t="shared" si="146"/>
        <v>#VALUE!</v>
      </c>
      <c r="AE1000">
        <v>8.8800000000000008</v>
      </c>
    </row>
    <row r="1001" spans="12:31" ht="15" x14ac:dyDescent="0.2">
      <c r="L1001" s="154" t="e">
        <f t="shared" si="137"/>
        <v>#VALUE!</v>
      </c>
      <c r="M1001">
        <v>8.89</v>
      </c>
      <c r="N1001" s="154" t="e">
        <f t="shared" si="138"/>
        <v>#VALUE!</v>
      </c>
      <c r="O1001">
        <v>8.89</v>
      </c>
      <c r="P1001" s="154" t="e">
        <f t="shared" si="139"/>
        <v>#VALUE!</v>
      </c>
      <c r="Q1001">
        <v>8.89</v>
      </c>
      <c r="R1001" s="154" t="e">
        <f t="shared" si="140"/>
        <v>#VALUE!</v>
      </c>
      <c r="S1001">
        <v>8.89</v>
      </c>
      <c r="T1001" s="154" t="e">
        <f t="shared" si="141"/>
        <v>#VALUE!</v>
      </c>
      <c r="U1001">
        <v>8.89</v>
      </c>
      <c r="V1001" s="154" t="e">
        <f t="shared" si="142"/>
        <v>#VALUE!</v>
      </c>
      <c r="W1001">
        <v>8.89</v>
      </c>
      <c r="X1001" s="157" t="e">
        <f t="shared" si="143"/>
        <v>#VALUE!</v>
      </c>
      <c r="Y1001">
        <v>8.89</v>
      </c>
      <c r="Z1001" s="154" t="e">
        <f t="shared" si="144"/>
        <v>#VALUE!</v>
      </c>
      <c r="AA1001">
        <v>8.89</v>
      </c>
      <c r="AB1001" s="154" t="e">
        <f t="shared" si="145"/>
        <v>#VALUE!</v>
      </c>
      <c r="AC1001">
        <v>8.89</v>
      </c>
      <c r="AD1001" s="154" t="e">
        <f t="shared" si="146"/>
        <v>#VALUE!</v>
      </c>
      <c r="AE1001">
        <v>8.89</v>
      </c>
    </row>
    <row r="1002" spans="12:31" ht="15" x14ac:dyDescent="0.2">
      <c r="L1002" s="154" t="e">
        <f t="shared" si="137"/>
        <v>#VALUE!</v>
      </c>
      <c r="M1002">
        <v>8.9</v>
      </c>
      <c r="N1002" s="154" t="e">
        <f t="shared" si="138"/>
        <v>#VALUE!</v>
      </c>
      <c r="O1002">
        <v>8.9</v>
      </c>
      <c r="P1002" s="154" t="e">
        <f t="shared" si="139"/>
        <v>#VALUE!</v>
      </c>
      <c r="Q1002">
        <v>8.9</v>
      </c>
      <c r="R1002" s="154" t="e">
        <f t="shared" si="140"/>
        <v>#VALUE!</v>
      </c>
      <c r="S1002">
        <v>8.9</v>
      </c>
      <c r="T1002" s="154" t="e">
        <f t="shared" si="141"/>
        <v>#VALUE!</v>
      </c>
      <c r="U1002">
        <v>8.9</v>
      </c>
      <c r="V1002" s="154" t="e">
        <f t="shared" si="142"/>
        <v>#VALUE!</v>
      </c>
      <c r="W1002">
        <v>8.9</v>
      </c>
      <c r="X1002" s="157" t="e">
        <f t="shared" si="143"/>
        <v>#VALUE!</v>
      </c>
      <c r="Y1002">
        <v>8.9</v>
      </c>
      <c r="Z1002" s="154" t="e">
        <f t="shared" si="144"/>
        <v>#VALUE!</v>
      </c>
      <c r="AA1002">
        <v>8.9</v>
      </c>
      <c r="AB1002" s="154" t="e">
        <f t="shared" si="145"/>
        <v>#VALUE!</v>
      </c>
      <c r="AC1002">
        <v>8.9</v>
      </c>
      <c r="AD1002" s="154" t="e">
        <f t="shared" si="146"/>
        <v>#VALUE!</v>
      </c>
      <c r="AE1002">
        <v>8.9</v>
      </c>
    </row>
    <row r="1003" spans="12:31" ht="15" x14ac:dyDescent="0.2">
      <c r="L1003" s="154" t="e">
        <f t="shared" si="137"/>
        <v>#VALUE!</v>
      </c>
      <c r="M1003">
        <v>8.91</v>
      </c>
      <c r="N1003" s="154" t="e">
        <f t="shared" si="138"/>
        <v>#VALUE!</v>
      </c>
      <c r="O1003">
        <v>8.91</v>
      </c>
      <c r="P1003" s="154" t="e">
        <f t="shared" si="139"/>
        <v>#VALUE!</v>
      </c>
      <c r="Q1003">
        <v>8.91</v>
      </c>
      <c r="R1003" s="154" t="e">
        <f t="shared" si="140"/>
        <v>#VALUE!</v>
      </c>
      <c r="S1003">
        <v>8.91</v>
      </c>
      <c r="T1003" s="154" t="e">
        <f t="shared" si="141"/>
        <v>#VALUE!</v>
      </c>
      <c r="U1003">
        <v>8.91</v>
      </c>
      <c r="V1003" s="154" t="e">
        <f t="shared" si="142"/>
        <v>#VALUE!</v>
      </c>
      <c r="W1003">
        <v>8.91</v>
      </c>
      <c r="X1003" s="157" t="e">
        <f t="shared" si="143"/>
        <v>#VALUE!</v>
      </c>
      <c r="Y1003">
        <v>8.91</v>
      </c>
      <c r="Z1003" s="154" t="e">
        <f t="shared" si="144"/>
        <v>#VALUE!</v>
      </c>
      <c r="AA1003">
        <v>8.91</v>
      </c>
      <c r="AB1003" s="154" t="e">
        <f t="shared" si="145"/>
        <v>#VALUE!</v>
      </c>
      <c r="AC1003">
        <v>8.91</v>
      </c>
      <c r="AD1003" s="154" t="e">
        <f t="shared" si="146"/>
        <v>#VALUE!</v>
      </c>
      <c r="AE1003">
        <v>8.91</v>
      </c>
    </row>
    <row r="1004" spans="12:31" ht="15" x14ac:dyDescent="0.2">
      <c r="L1004" s="154" t="e">
        <f t="shared" si="137"/>
        <v>#VALUE!</v>
      </c>
      <c r="M1004">
        <v>8.92</v>
      </c>
      <c r="N1004" s="154" t="e">
        <f t="shared" si="138"/>
        <v>#VALUE!</v>
      </c>
      <c r="O1004">
        <v>8.92</v>
      </c>
      <c r="P1004" s="154" t="e">
        <f t="shared" si="139"/>
        <v>#VALUE!</v>
      </c>
      <c r="Q1004">
        <v>8.92</v>
      </c>
      <c r="R1004" s="154" t="e">
        <f t="shared" si="140"/>
        <v>#VALUE!</v>
      </c>
      <c r="S1004">
        <v>8.92</v>
      </c>
      <c r="T1004" s="154" t="e">
        <f t="shared" si="141"/>
        <v>#VALUE!</v>
      </c>
      <c r="U1004">
        <v>8.92</v>
      </c>
      <c r="V1004" s="154" t="e">
        <f t="shared" si="142"/>
        <v>#VALUE!</v>
      </c>
      <c r="W1004">
        <v>8.92</v>
      </c>
      <c r="X1004" s="157" t="e">
        <f t="shared" si="143"/>
        <v>#VALUE!</v>
      </c>
      <c r="Y1004">
        <v>8.92</v>
      </c>
      <c r="Z1004" s="154" t="e">
        <f t="shared" si="144"/>
        <v>#VALUE!</v>
      </c>
      <c r="AA1004">
        <v>8.92</v>
      </c>
      <c r="AB1004" s="154" t="e">
        <f t="shared" si="145"/>
        <v>#VALUE!</v>
      </c>
      <c r="AC1004">
        <v>8.92</v>
      </c>
      <c r="AD1004" s="154" t="e">
        <f t="shared" si="146"/>
        <v>#VALUE!</v>
      </c>
      <c r="AE1004">
        <v>8.92</v>
      </c>
    </row>
    <row r="1005" spans="12:31" ht="15" x14ac:dyDescent="0.2">
      <c r="L1005" s="154" t="e">
        <f t="shared" si="137"/>
        <v>#VALUE!</v>
      </c>
      <c r="M1005">
        <v>8.93</v>
      </c>
      <c r="N1005" s="154" t="e">
        <f t="shared" si="138"/>
        <v>#VALUE!</v>
      </c>
      <c r="O1005">
        <v>8.93</v>
      </c>
      <c r="P1005" s="154" t="e">
        <f t="shared" si="139"/>
        <v>#VALUE!</v>
      </c>
      <c r="Q1005">
        <v>8.93</v>
      </c>
      <c r="R1005" s="154" t="e">
        <f t="shared" si="140"/>
        <v>#VALUE!</v>
      </c>
      <c r="S1005">
        <v>8.93</v>
      </c>
      <c r="T1005" s="154" t="e">
        <f t="shared" si="141"/>
        <v>#VALUE!</v>
      </c>
      <c r="U1005">
        <v>8.93</v>
      </c>
      <c r="V1005" s="154" t="e">
        <f t="shared" si="142"/>
        <v>#VALUE!</v>
      </c>
      <c r="W1005">
        <v>8.93</v>
      </c>
      <c r="X1005" s="157" t="e">
        <f t="shared" si="143"/>
        <v>#VALUE!</v>
      </c>
      <c r="Y1005">
        <v>8.93</v>
      </c>
      <c r="Z1005" s="154" t="e">
        <f t="shared" si="144"/>
        <v>#VALUE!</v>
      </c>
      <c r="AA1005">
        <v>8.93</v>
      </c>
      <c r="AB1005" s="154" t="e">
        <f t="shared" si="145"/>
        <v>#VALUE!</v>
      </c>
      <c r="AC1005">
        <v>8.93</v>
      </c>
      <c r="AD1005" s="154" t="e">
        <f t="shared" si="146"/>
        <v>#VALUE!</v>
      </c>
      <c r="AE1005">
        <v>8.93</v>
      </c>
    </row>
    <row r="1006" spans="12:31" ht="15" x14ac:dyDescent="0.2">
      <c r="L1006" s="154" t="e">
        <f t="shared" si="137"/>
        <v>#VALUE!</v>
      </c>
      <c r="M1006">
        <v>8.94</v>
      </c>
      <c r="N1006" s="154" t="e">
        <f t="shared" si="138"/>
        <v>#VALUE!</v>
      </c>
      <c r="O1006">
        <v>8.94</v>
      </c>
      <c r="P1006" s="154" t="e">
        <f t="shared" si="139"/>
        <v>#VALUE!</v>
      </c>
      <c r="Q1006">
        <v>8.94</v>
      </c>
      <c r="R1006" s="154" t="e">
        <f t="shared" si="140"/>
        <v>#VALUE!</v>
      </c>
      <c r="S1006">
        <v>8.94</v>
      </c>
      <c r="T1006" s="154" t="e">
        <f t="shared" si="141"/>
        <v>#VALUE!</v>
      </c>
      <c r="U1006">
        <v>8.94</v>
      </c>
      <c r="V1006" s="154" t="e">
        <f t="shared" si="142"/>
        <v>#VALUE!</v>
      </c>
      <c r="W1006">
        <v>8.94</v>
      </c>
      <c r="X1006" s="157" t="e">
        <f t="shared" si="143"/>
        <v>#VALUE!</v>
      </c>
      <c r="Y1006">
        <v>8.94</v>
      </c>
      <c r="Z1006" s="154" t="e">
        <f t="shared" si="144"/>
        <v>#VALUE!</v>
      </c>
      <c r="AA1006">
        <v>8.94</v>
      </c>
      <c r="AB1006" s="154" t="e">
        <f t="shared" si="145"/>
        <v>#VALUE!</v>
      </c>
      <c r="AC1006">
        <v>8.94</v>
      </c>
      <c r="AD1006" s="154" t="e">
        <f t="shared" si="146"/>
        <v>#VALUE!</v>
      </c>
      <c r="AE1006">
        <v>8.94</v>
      </c>
    </row>
    <row r="1007" spans="12:31" ht="15" x14ac:dyDescent="0.2">
      <c r="L1007" s="154" t="e">
        <f t="shared" si="137"/>
        <v>#VALUE!</v>
      </c>
      <c r="M1007">
        <v>8.9499999999999993</v>
      </c>
      <c r="N1007" s="154" t="e">
        <f t="shared" si="138"/>
        <v>#VALUE!</v>
      </c>
      <c r="O1007">
        <v>8.9499999999999993</v>
      </c>
      <c r="P1007" s="154" t="e">
        <f t="shared" si="139"/>
        <v>#VALUE!</v>
      </c>
      <c r="Q1007">
        <v>8.9499999999999993</v>
      </c>
      <c r="R1007" s="154" t="e">
        <f t="shared" si="140"/>
        <v>#VALUE!</v>
      </c>
      <c r="S1007">
        <v>8.9499999999999993</v>
      </c>
      <c r="T1007" s="154" t="e">
        <f t="shared" si="141"/>
        <v>#VALUE!</v>
      </c>
      <c r="U1007">
        <v>8.9499999999999993</v>
      </c>
      <c r="V1007" s="154" t="e">
        <f t="shared" si="142"/>
        <v>#VALUE!</v>
      </c>
      <c r="W1007">
        <v>8.9499999999999993</v>
      </c>
      <c r="X1007" s="157" t="e">
        <f t="shared" si="143"/>
        <v>#VALUE!</v>
      </c>
      <c r="Y1007">
        <v>8.9499999999999993</v>
      </c>
      <c r="Z1007" s="154" t="e">
        <f t="shared" si="144"/>
        <v>#VALUE!</v>
      </c>
      <c r="AA1007">
        <v>8.9499999999999993</v>
      </c>
      <c r="AB1007" s="154" t="e">
        <f t="shared" si="145"/>
        <v>#VALUE!</v>
      </c>
      <c r="AC1007">
        <v>8.9499999999999993</v>
      </c>
      <c r="AD1007" s="154" t="e">
        <f t="shared" si="146"/>
        <v>#VALUE!</v>
      </c>
      <c r="AE1007">
        <v>8.9499999999999993</v>
      </c>
    </row>
    <row r="1008" spans="12:31" ht="15" x14ac:dyDescent="0.2">
      <c r="L1008" s="154" t="e">
        <f t="shared" si="137"/>
        <v>#VALUE!</v>
      </c>
      <c r="M1008">
        <v>8.9600000000000009</v>
      </c>
      <c r="N1008" s="154" t="e">
        <f t="shared" si="138"/>
        <v>#VALUE!</v>
      </c>
      <c r="O1008">
        <v>8.9600000000000009</v>
      </c>
      <c r="P1008" s="154" t="e">
        <f t="shared" si="139"/>
        <v>#VALUE!</v>
      </c>
      <c r="Q1008">
        <v>8.9600000000000009</v>
      </c>
      <c r="R1008" s="154" t="e">
        <f t="shared" si="140"/>
        <v>#VALUE!</v>
      </c>
      <c r="S1008">
        <v>8.9600000000000009</v>
      </c>
      <c r="T1008" s="154" t="e">
        <f t="shared" si="141"/>
        <v>#VALUE!</v>
      </c>
      <c r="U1008">
        <v>8.9600000000000009</v>
      </c>
      <c r="V1008" s="154" t="e">
        <f t="shared" si="142"/>
        <v>#VALUE!</v>
      </c>
      <c r="W1008">
        <v>8.9600000000000009</v>
      </c>
      <c r="X1008" s="157" t="e">
        <f t="shared" si="143"/>
        <v>#VALUE!</v>
      </c>
      <c r="Y1008">
        <v>8.9600000000000009</v>
      </c>
      <c r="Z1008" s="154" t="e">
        <f t="shared" si="144"/>
        <v>#VALUE!</v>
      </c>
      <c r="AA1008">
        <v>8.9600000000000009</v>
      </c>
      <c r="AB1008" s="154" t="e">
        <f t="shared" si="145"/>
        <v>#VALUE!</v>
      </c>
      <c r="AC1008">
        <v>8.9600000000000009</v>
      </c>
      <c r="AD1008" s="154" t="e">
        <f t="shared" si="146"/>
        <v>#VALUE!</v>
      </c>
      <c r="AE1008">
        <v>8.9600000000000009</v>
      </c>
    </row>
    <row r="1009" spans="12:31" ht="15" x14ac:dyDescent="0.2">
      <c r="L1009" s="154" t="e">
        <f t="shared" ref="L1009:L1072" si="147">((1.486/$D$33)*((((PI()*($D$46/12)^2)/4)-((($D$46/12)/2)^2*((2*ACOS(((($D$46/12)/2)-(($D$46/12)-(M1009/12)))/(($D$46/12)/2)))-SIN(2*ACOS(((($D$46/12)/2)-(($D$46/12)-(M1009/12)))/(($D$46/12)/2))))/2))/((PI()*($D$46/12))-((2*ACOS(((($D$46/12)/2)-(($D$46/12)-(M1009/12)))/(($D$46/12)/2)))*(($D$46/12)/2))))^(2/3)*$H$17^0.5)*(((PI()*($D$46/12)^2)/4)-((($D$46/12)/2)^2*((2*ACOS(((($D$46/12)/2)-(($D$46/12)-(M1009/12)))/(($D$46/12)/2)))-SIN(2*ACOS(((($D$46/12)/2)-(($D$46/12)-(M1009/12)))/(($D$46/12)/2))))/2))</f>
        <v>#VALUE!</v>
      </c>
      <c r="M1009">
        <v>8.9700000000000006</v>
      </c>
      <c r="N1009" s="154" t="e">
        <f t="shared" ref="N1009:N1072" si="148">((1.486/$D$34)*((((PI()*($D$47/12)^2)/4)-((($D$47/12)/2)^2*((2*ACOS(((($D$47/12)/2)-(($D$47/12)-(O1009/12)))/(($D$47/12)/2)))-SIN(2*ACOS(((($D$47/12)/2)-(($D$47/12)-(O1009/12)))/(($D$47/12)/2))))/2))/((PI()*($D$47/12))-((2*ACOS(((($D$47/12)/2)-(($D$47/12)-(O1009/12)))/(($D$47/12)/2)))*(($D$47/12)/2))))^(2/3)*$H$18^0.5)*(((PI()*($D$47/12)^2)/4)-((($D$47/12)/2)^2*((2*ACOS(((($D$47/12)/2)-(($D$47/12)-(O1009/12)))/(($D$47/12)/2)))-SIN(2*ACOS(((($D$47/12)/2)-(($D$47/12)-(O1009/12)))/(($D$47/12)/2))))/2))</f>
        <v>#VALUE!</v>
      </c>
      <c r="O1009">
        <v>8.9700000000000006</v>
      </c>
      <c r="P1009" s="154" t="e">
        <f t="shared" ref="P1009:P1072" si="149">((1.486/$D$35)*((((PI()*($D$48/12)^2)/4)-((($D$48/12)/2)^2*((2*ACOS(((($D$48/12)/2)-(($D$48/12)-(Q1009/12)))/(($D$48/12)/2)))-SIN(2*ACOS(((($D$48/12)/2)-(($D$48/12)-(Q1009/12)))/(($D$48/12)/2))))/2))/((PI()*($D$48/12))-((2*ACOS(((($D$48/12)/2)-(($D$48/12)-(Q1009/12)))/(($D$48/12)/2)))*(($D$48/12)/2))))^(2/3)*$H$19^0.5)*(((PI()*($D$48/12)^2)/4)-((($D$48/12)/2)^2*((2*ACOS(((($D$48/12)/2)-(($D$48/12)-(Q1009/12)))/(($D$48/12)/2)))-SIN(2*ACOS(((($D$48/12)/2)-(($D$48/12)-(Q1009/12)))/(($D$48/12)/2))))/2))</f>
        <v>#VALUE!</v>
      </c>
      <c r="Q1009">
        <v>8.9700000000000006</v>
      </c>
      <c r="R1009" s="154" t="e">
        <f t="shared" ref="R1009:R1072" si="150">((1.486/$D$36)*((((PI()*($D$49/12)^2)/4)-((($D$49/12)/2)^2*((2*ACOS(((($D$49/12)/2)-(($D$49/12)-(S1009/12)))/(($D$49/12)/2)))-SIN(2*ACOS(((($D$49/12)/2)-(($D$49/12)-(S1009/12)))/(($D$49/12)/2))))/2))/((PI()*($D$49/12))-((2*ACOS(((($D$49/12)/2)-(($D$49/12)-(S1009/12)))/(($D$49/12)/2)))*(($D$49/12)/2))))^(2/3)*$H$20^0.5)*(((PI()*($D$49/12)^2)/4)-((($D$49/12)/2)^2*((2*ACOS(((($D$49/12)/2)-(($D$49/12)-(S1009/12)))/(($D$49/12)/2)))-SIN(2*ACOS(((($D$49/12)/2)-(($D$49/12)-(S1009/12)))/(($D$49/12)/2))))/2))</f>
        <v>#VALUE!</v>
      </c>
      <c r="S1009">
        <v>8.9700000000000006</v>
      </c>
      <c r="T1009" s="154" t="e">
        <f t="shared" ref="T1009:T1072" si="151">((1.486/$D$37)*((((PI()*($D$50/12)^2)/4)-((($D$50/12)/2)^2*((2*ACOS(((($D$50/12)/2)-(($D$50/12)-(U1009/12)))/(($D$50/12)/2)))-SIN(2*ACOS(((($D$50/12)/2)-(($D$50/12)-(U1009/12)))/(($D$50/12)/2))))/2))/((PI()*($D$50/12))-((2*ACOS(((($D$50/12)/2)-(($D$50/12)-(U1009/12)))/(($D$50/12)/2)))*(($D$50/12)/2))))^(2/3)*$H$21^0.5)*(((PI()*($D$50/12)^2)/4)-((($D$50/12)/2)^2*((2*ACOS(((($D$50/12)/2)-(($D$50/12)-(U1009/12)))/(($D$50/12)/2)))-SIN(2*ACOS(((($D$50/12)/2)-(($D$50/12)-(U1009/12)))/(($D$50/12)/2))))/2))</f>
        <v>#VALUE!</v>
      </c>
      <c r="U1009">
        <v>8.9700000000000006</v>
      </c>
      <c r="V1009" s="154" t="e">
        <f t="shared" ref="V1009:V1072" si="152">((1.486/$D$38)*((((PI()*($D$51/12)^2)/4)-((($D$51/12)/2)^2*((2*ACOS(((($D$51/12)/2)-(($D$51/12)-(W1009/12)))/(($D$51/12)/2)))-SIN(2*ACOS(((($D$51/12)/2)-(($D$51/12)-(W1009/12)))/(($D$51/12)/2))))/2))/((PI()*($D$51/12))-((2*ACOS(((($D$51/12)/2)-(($D$51/12)-(W1009/12)))/(($D$51/12)/2)))*(($D$51/12)/2))))^(2/3)*$H$22^0.5)*(((PI()*($D$51/12)^2)/4)-((($D$51/12)/2)^2*((2*ACOS(((($D$51/12)/2)-(($D$51/12)-(W1009/12)))/(($D$51/12)/2)))-SIN(2*ACOS(((($D$51/12)/2)-(($D$51/12)-(W1009/12)))/(($D$51/12)/2))))/2))</f>
        <v>#VALUE!</v>
      </c>
      <c r="W1009">
        <v>8.9700000000000006</v>
      </c>
      <c r="X1009" s="157" t="e">
        <f t="shared" ref="X1009:X1072" si="153">((1.486/$D$39)*((((PI()*($D$52/12)^2)/4)-((($D$52/12)/2)^2*((2*ACOS(((($D$52/12)/2)-(($D$52/12)-(Y1009/12)))/(($D$52/12)/2)))-SIN(2*ACOS(((($D$52/12)/2)-(($D$52/12)-(Y1009/12)))/(($D$52/12)/2))))/2))/((PI()*($D$52/12))-((2*ACOS(((($D$52/12)/2)-(($D$52/12)-(Y1009/12)))/(($D$52/12)/2)))*(($D$52/12)/2))))^(2/3)*$H$23^0.5)*(((PI()*($D$52/12)^2)/4)-((($D$52/12)/2)^2*((2*ACOS(((($D$52/12)/2)-(($D$52/12)-(Y1009/12)))/(($D$52/12)/2)))-SIN(2*ACOS(((($D$52/12)/2)-(($D$52/12)-(Y1009/12)))/(($D$52/12)/2))))/2))</f>
        <v>#VALUE!</v>
      </c>
      <c r="Y1009">
        <v>8.9700000000000006</v>
      </c>
      <c r="Z1009" s="154" t="e">
        <f t="shared" ref="Z1009:Z1072" si="154">((1.486/$D$40)*((((PI()*($D$53/12)^2)/4)-((($D$53/12)/2)^2*((2*ACOS(((($D$53/12)/2)-(($D$53/12)-(AA1009/12)))/(($D$53/12)/2)))-SIN(2*ACOS(((($D$53/12)/2)-(($D$53/12)-(AA1009/12)))/(($D$53/12)/2))))/2))/((PI()*($D$53/12))-((2*ACOS(((($D$53/12)/2)-(($D$53/12)-(AA1009/12)))/(($D$53/12)/2)))*(($D$53/12)/2))))^(2/3)*$H$24^0.5)*(((PI()*($D$53/12)^2)/4)-((($D$53/12)/2)^2*((2*ACOS(((($D$53/12)/2)-(($D$53/12)-(AA1009/12)))/(($D$53/12)/2)))-SIN(2*ACOS(((($D$53/12)/2)-(($D$53/12)-(AA1009/12)))/(($D$53/12)/2))))/2))</f>
        <v>#VALUE!</v>
      </c>
      <c r="AA1009">
        <v>8.9700000000000006</v>
      </c>
      <c r="AB1009" s="154" t="e">
        <f t="shared" ref="AB1009:AB1072" si="155">((1.486/$D$41)*((((PI()*($D$54/12)^2)/4)-((($D$54/12)/2)^2*((2*ACOS(((($D$54/12)/2)-(($D$54/12)-(AC1009/12)))/(($D$54/12)/2)))-SIN(2*ACOS(((($D$54/12)/2)-(($D$54/12)-(AC1009/12)))/(($D$54/12)/2))))/2))/((PI()*($D$54/12))-((2*ACOS(((($D$54/12)/2)-(($D$54/12)-(AC1009/12)))/(($D$54/12)/2)))*(($D$54/12)/2))))^(2/3)*$H$25^0.5)*(((PI()*($D$54/12)^2)/4)-((($D$54/12)/2)^2*((2*ACOS(((($D$54/12)/2)-(($D$54/12)-(AC1009/12)))/(($D$54/12)/2)))-SIN(2*ACOS(((($D$54/12)/2)-(($D$54/12)-(AC1009/12)))/(($D$54/12)/2))))/2))</f>
        <v>#VALUE!</v>
      </c>
      <c r="AC1009">
        <v>8.9700000000000006</v>
      </c>
      <c r="AD1009" s="154" t="e">
        <f t="shared" ref="AD1009:AD1072" si="156">((1.486/$D$42)*((((PI()*($D$55/12)^2)/4)-((($D$55/12)/2)^2*((2*ACOS(((($D$55/12)/2)-(($D$55/12)-(AE1009/12)))/(($D$55/12)/2)))-SIN(2*ACOS(((($D$55/12)/2)-(($D$55/12)-(AE1009/12)))/(($D$55/12)/2))))/2))/((PI()*($D$55/12))-((2*ACOS(((($D$55/12)/2)-(($D$55/12)-(AE1009/12)))/(($D$55/12)/2)))*(($D$55/12)/2))))^(2/3)*$H$26^0.5)*(((PI()*($D$55/12)^2)/4)-((($D$55/12)/2)^2*((2*ACOS(((($D$55/12)/2)-(($D$55/12)-(AE1009/12)))/(($D$55/12)/2)))-SIN(2*ACOS(((($D$55/12)/2)-(($D$55/12)-(AE1009/12)))/(($D$55/12)/2))))/2))</f>
        <v>#VALUE!</v>
      </c>
      <c r="AE1009">
        <v>8.9700000000000006</v>
      </c>
    </row>
    <row r="1010" spans="12:31" ht="15" x14ac:dyDescent="0.2">
      <c r="L1010" s="154" t="e">
        <f t="shared" si="147"/>
        <v>#VALUE!</v>
      </c>
      <c r="M1010">
        <v>8.98</v>
      </c>
      <c r="N1010" s="154" t="e">
        <f t="shared" si="148"/>
        <v>#VALUE!</v>
      </c>
      <c r="O1010">
        <v>8.98</v>
      </c>
      <c r="P1010" s="154" t="e">
        <f t="shared" si="149"/>
        <v>#VALUE!</v>
      </c>
      <c r="Q1010">
        <v>8.98</v>
      </c>
      <c r="R1010" s="154" t="e">
        <f t="shared" si="150"/>
        <v>#VALUE!</v>
      </c>
      <c r="S1010">
        <v>8.98</v>
      </c>
      <c r="T1010" s="154" t="e">
        <f t="shared" si="151"/>
        <v>#VALUE!</v>
      </c>
      <c r="U1010">
        <v>8.98</v>
      </c>
      <c r="V1010" s="154" t="e">
        <f t="shared" si="152"/>
        <v>#VALUE!</v>
      </c>
      <c r="W1010">
        <v>8.98</v>
      </c>
      <c r="X1010" s="157" t="e">
        <f t="shared" si="153"/>
        <v>#VALUE!</v>
      </c>
      <c r="Y1010">
        <v>8.98</v>
      </c>
      <c r="Z1010" s="154" t="e">
        <f t="shared" si="154"/>
        <v>#VALUE!</v>
      </c>
      <c r="AA1010">
        <v>8.98</v>
      </c>
      <c r="AB1010" s="154" t="e">
        <f t="shared" si="155"/>
        <v>#VALUE!</v>
      </c>
      <c r="AC1010">
        <v>8.98</v>
      </c>
      <c r="AD1010" s="154" t="e">
        <f t="shared" si="156"/>
        <v>#VALUE!</v>
      </c>
      <c r="AE1010">
        <v>8.98</v>
      </c>
    </row>
    <row r="1011" spans="12:31" ht="15" x14ac:dyDescent="0.2">
      <c r="L1011" s="154" t="e">
        <f t="shared" si="147"/>
        <v>#VALUE!</v>
      </c>
      <c r="M1011">
        <v>8.99</v>
      </c>
      <c r="N1011" s="154" t="e">
        <f t="shared" si="148"/>
        <v>#VALUE!</v>
      </c>
      <c r="O1011">
        <v>8.99</v>
      </c>
      <c r="P1011" s="154" t="e">
        <f t="shared" si="149"/>
        <v>#VALUE!</v>
      </c>
      <c r="Q1011">
        <v>8.99</v>
      </c>
      <c r="R1011" s="154" t="e">
        <f t="shared" si="150"/>
        <v>#VALUE!</v>
      </c>
      <c r="S1011">
        <v>8.99</v>
      </c>
      <c r="T1011" s="154" t="e">
        <f t="shared" si="151"/>
        <v>#VALUE!</v>
      </c>
      <c r="U1011">
        <v>8.99</v>
      </c>
      <c r="V1011" s="154" t="e">
        <f t="shared" si="152"/>
        <v>#VALUE!</v>
      </c>
      <c r="W1011">
        <v>8.99</v>
      </c>
      <c r="X1011" s="157" t="e">
        <f t="shared" si="153"/>
        <v>#VALUE!</v>
      </c>
      <c r="Y1011">
        <v>8.99</v>
      </c>
      <c r="Z1011" s="154" t="e">
        <f t="shared" si="154"/>
        <v>#VALUE!</v>
      </c>
      <c r="AA1011">
        <v>8.99</v>
      </c>
      <c r="AB1011" s="154" t="e">
        <f t="shared" si="155"/>
        <v>#VALUE!</v>
      </c>
      <c r="AC1011">
        <v>8.99</v>
      </c>
      <c r="AD1011" s="154" t="e">
        <f t="shared" si="156"/>
        <v>#VALUE!</v>
      </c>
      <c r="AE1011">
        <v>8.99</v>
      </c>
    </row>
    <row r="1012" spans="12:31" ht="15" x14ac:dyDescent="0.2">
      <c r="L1012" s="154" t="e">
        <f t="shared" si="147"/>
        <v>#VALUE!</v>
      </c>
      <c r="M1012">
        <v>9</v>
      </c>
      <c r="N1012" s="154" t="e">
        <f t="shared" si="148"/>
        <v>#VALUE!</v>
      </c>
      <c r="O1012">
        <v>9</v>
      </c>
      <c r="P1012" s="154" t="e">
        <f t="shared" si="149"/>
        <v>#VALUE!</v>
      </c>
      <c r="Q1012">
        <v>9</v>
      </c>
      <c r="R1012" s="154" t="e">
        <f t="shared" si="150"/>
        <v>#VALUE!</v>
      </c>
      <c r="S1012">
        <v>9</v>
      </c>
      <c r="T1012" s="154" t="e">
        <f t="shared" si="151"/>
        <v>#VALUE!</v>
      </c>
      <c r="U1012">
        <v>9</v>
      </c>
      <c r="V1012" s="154" t="e">
        <f t="shared" si="152"/>
        <v>#VALUE!</v>
      </c>
      <c r="W1012">
        <v>9</v>
      </c>
      <c r="X1012" s="157" t="e">
        <f t="shared" si="153"/>
        <v>#VALUE!</v>
      </c>
      <c r="Y1012">
        <v>9</v>
      </c>
      <c r="Z1012" s="154" t="e">
        <f t="shared" si="154"/>
        <v>#VALUE!</v>
      </c>
      <c r="AA1012">
        <v>9</v>
      </c>
      <c r="AB1012" s="154" t="e">
        <f t="shared" si="155"/>
        <v>#VALUE!</v>
      </c>
      <c r="AC1012">
        <v>9</v>
      </c>
      <c r="AD1012" s="154" t="e">
        <f t="shared" si="156"/>
        <v>#VALUE!</v>
      </c>
      <c r="AE1012">
        <v>9</v>
      </c>
    </row>
    <row r="1013" spans="12:31" ht="15" x14ac:dyDescent="0.2">
      <c r="L1013" s="154" t="e">
        <f t="shared" si="147"/>
        <v>#VALUE!</v>
      </c>
      <c r="M1013">
        <v>9.01</v>
      </c>
      <c r="N1013" s="154" t="e">
        <f t="shared" si="148"/>
        <v>#VALUE!</v>
      </c>
      <c r="O1013">
        <v>9.01</v>
      </c>
      <c r="P1013" s="154" t="e">
        <f t="shared" si="149"/>
        <v>#VALUE!</v>
      </c>
      <c r="Q1013">
        <v>9.01</v>
      </c>
      <c r="R1013" s="154" t="e">
        <f t="shared" si="150"/>
        <v>#VALUE!</v>
      </c>
      <c r="S1013">
        <v>9.01</v>
      </c>
      <c r="T1013" s="154" t="e">
        <f t="shared" si="151"/>
        <v>#VALUE!</v>
      </c>
      <c r="U1013">
        <v>9.01</v>
      </c>
      <c r="V1013" s="154" t="e">
        <f t="shared" si="152"/>
        <v>#VALUE!</v>
      </c>
      <c r="W1013">
        <v>9.01</v>
      </c>
      <c r="X1013" s="157" t="e">
        <f t="shared" si="153"/>
        <v>#VALUE!</v>
      </c>
      <c r="Y1013">
        <v>9.01</v>
      </c>
      <c r="Z1013" s="154" t="e">
        <f t="shared" si="154"/>
        <v>#VALUE!</v>
      </c>
      <c r="AA1013">
        <v>9.01</v>
      </c>
      <c r="AB1013" s="154" t="e">
        <f t="shared" si="155"/>
        <v>#VALUE!</v>
      </c>
      <c r="AC1013">
        <v>9.01</v>
      </c>
      <c r="AD1013" s="154" t="e">
        <f t="shared" si="156"/>
        <v>#VALUE!</v>
      </c>
      <c r="AE1013">
        <v>9.01</v>
      </c>
    </row>
    <row r="1014" spans="12:31" ht="15" x14ac:dyDescent="0.2">
      <c r="L1014" s="154" t="e">
        <f t="shared" si="147"/>
        <v>#VALUE!</v>
      </c>
      <c r="M1014">
        <v>9.02</v>
      </c>
      <c r="N1014" s="154" t="e">
        <f t="shared" si="148"/>
        <v>#VALUE!</v>
      </c>
      <c r="O1014">
        <v>9.02</v>
      </c>
      <c r="P1014" s="154" t="e">
        <f t="shared" si="149"/>
        <v>#VALUE!</v>
      </c>
      <c r="Q1014">
        <v>9.02</v>
      </c>
      <c r="R1014" s="154" t="e">
        <f t="shared" si="150"/>
        <v>#VALUE!</v>
      </c>
      <c r="S1014">
        <v>9.02</v>
      </c>
      <c r="T1014" s="154" t="e">
        <f t="shared" si="151"/>
        <v>#VALUE!</v>
      </c>
      <c r="U1014">
        <v>9.02</v>
      </c>
      <c r="V1014" s="154" t="e">
        <f t="shared" si="152"/>
        <v>#VALUE!</v>
      </c>
      <c r="W1014">
        <v>9.02</v>
      </c>
      <c r="X1014" s="157" t="e">
        <f t="shared" si="153"/>
        <v>#VALUE!</v>
      </c>
      <c r="Y1014">
        <v>9.02</v>
      </c>
      <c r="Z1014" s="154" t="e">
        <f t="shared" si="154"/>
        <v>#VALUE!</v>
      </c>
      <c r="AA1014">
        <v>9.02</v>
      </c>
      <c r="AB1014" s="154" t="e">
        <f t="shared" si="155"/>
        <v>#VALUE!</v>
      </c>
      <c r="AC1014">
        <v>9.02</v>
      </c>
      <c r="AD1014" s="154" t="e">
        <f t="shared" si="156"/>
        <v>#VALUE!</v>
      </c>
      <c r="AE1014">
        <v>9.02</v>
      </c>
    </row>
    <row r="1015" spans="12:31" ht="15" x14ac:dyDescent="0.2">
      <c r="L1015" s="154" t="e">
        <f t="shared" si="147"/>
        <v>#VALUE!</v>
      </c>
      <c r="M1015">
        <v>9.0299999999999994</v>
      </c>
      <c r="N1015" s="154" t="e">
        <f t="shared" si="148"/>
        <v>#VALUE!</v>
      </c>
      <c r="O1015">
        <v>9.0299999999999994</v>
      </c>
      <c r="P1015" s="154" t="e">
        <f t="shared" si="149"/>
        <v>#VALUE!</v>
      </c>
      <c r="Q1015">
        <v>9.0299999999999994</v>
      </c>
      <c r="R1015" s="154" t="e">
        <f t="shared" si="150"/>
        <v>#VALUE!</v>
      </c>
      <c r="S1015">
        <v>9.0299999999999994</v>
      </c>
      <c r="T1015" s="154" t="e">
        <f t="shared" si="151"/>
        <v>#VALUE!</v>
      </c>
      <c r="U1015">
        <v>9.0299999999999994</v>
      </c>
      <c r="V1015" s="154" t="e">
        <f t="shared" si="152"/>
        <v>#VALUE!</v>
      </c>
      <c r="W1015">
        <v>9.0299999999999994</v>
      </c>
      <c r="X1015" s="157" t="e">
        <f t="shared" si="153"/>
        <v>#VALUE!</v>
      </c>
      <c r="Y1015">
        <v>9.0299999999999994</v>
      </c>
      <c r="Z1015" s="154" t="e">
        <f t="shared" si="154"/>
        <v>#VALUE!</v>
      </c>
      <c r="AA1015">
        <v>9.0299999999999994</v>
      </c>
      <c r="AB1015" s="154" t="e">
        <f t="shared" si="155"/>
        <v>#VALUE!</v>
      </c>
      <c r="AC1015">
        <v>9.0299999999999994</v>
      </c>
      <c r="AD1015" s="154" t="e">
        <f t="shared" si="156"/>
        <v>#VALUE!</v>
      </c>
      <c r="AE1015">
        <v>9.0299999999999994</v>
      </c>
    </row>
    <row r="1016" spans="12:31" ht="15" x14ac:dyDescent="0.2">
      <c r="L1016" s="154" t="e">
        <f t="shared" si="147"/>
        <v>#VALUE!</v>
      </c>
      <c r="M1016">
        <v>9.0399999999999991</v>
      </c>
      <c r="N1016" s="154" t="e">
        <f t="shared" si="148"/>
        <v>#VALUE!</v>
      </c>
      <c r="O1016">
        <v>9.0399999999999991</v>
      </c>
      <c r="P1016" s="154" t="e">
        <f t="shared" si="149"/>
        <v>#VALUE!</v>
      </c>
      <c r="Q1016">
        <v>9.0399999999999991</v>
      </c>
      <c r="R1016" s="154" t="e">
        <f t="shared" si="150"/>
        <v>#VALUE!</v>
      </c>
      <c r="S1016">
        <v>9.0399999999999991</v>
      </c>
      <c r="T1016" s="154" t="e">
        <f t="shared" si="151"/>
        <v>#VALUE!</v>
      </c>
      <c r="U1016">
        <v>9.0399999999999991</v>
      </c>
      <c r="V1016" s="154" t="e">
        <f t="shared" si="152"/>
        <v>#VALUE!</v>
      </c>
      <c r="W1016">
        <v>9.0399999999999991</v>
      </c>
      <c r="X1016" s="157" t="e">
        <f t="shared" si="153"/>
        <v>#VALUE!</v>
      </c>
      <c r="Y1016">
        <v>9.0399999999999991</v>
      </c>
      <c r="Z1016" s="154" t="e">
        <f t="shared" si="154"/>
        <v>#VALUE!</v>
      </c>
      <c r="AA1016">
        <v>9.0399999999999991</v>
      </c>
      <c r="AB1016" s="154" t="e">
        <f t="shared" si="155"/>
        <v>#VALUE!</v>
      </c>
      <c r="AC1016">
        <v>9.0399999999999991</v>
      </c>
      <c r="AD1016" s="154" t="e">
        <f t="shared" si="156"/>
        <v>#VALUE!</v>
      </c>
      <c r="AE1016">
        <v>9.0399999999999991</v>
      </c>
    </row>
    <row r="1017" spans="12:31" ht="15" x14ac:dyDescent="0.2">
      <c r="L1017" s="154" t="e">
        <f t="shared" si="147"/>
        <v>#VALUE!</v>
      </c>
      <c r="M1017">
        <v>9.0500000000000007</v>
      </c>
      <c r="N1017" s="154" t="e">
        <f t="shared" si="148"/>
        <v>#VALUE!</v>
      </c>
      <c r="O1017">
        <v>9.0500000000000007</v>
      </c>
      <c r="P1017" s="154" t="e">
        <f t="shared" si="149"/>
        <v>#VALUE!</v>
      </c>
      <c r="Q1017">
        <v>9.0500000000000007</v>
      </c>
      <c r="R1017" s="154" t="e">
        <f t="shared" si="150"/>
        <v>#VALUE!</v>
      </c>
      <c r="S1017">
        <v>9.0500000000000007</v>
      </c>
      <c r="T1017" s="154" t="e">
        <f t="shared" si="151"/>
        <v>#VALUE!</v>
      </c>
      <c r="U1017">
        <v>9.0500000000000007</v>
      </c>
      <c r="V1017" s="154" t="e">
        <f t="shared" si="152"/>
        <v>#VALUE!</v>
      </c>
      <c r="W1017">
        <v>9.0500000000000007</v>
      </c>
      <c r="X1017" s="157" t="e">
        <f t="shared" si="153"/>
        <v>#VALUE!</v>
      </c>
      <c r="Y1017">
        <v>9.0500000000000007</v>
      </c>
      <c r="Z1017" s="154" t="e">
        <f t="shared" si="154"/>
        <v>#VALUE!</v>
      </c>
      <c r="AA1017">
        <v>9.0500000000000007</v>
      </c>
      <c r="AB1017" s="154" t="e">
        <f t="shared" si="155"/>
        <v>#VALUE!</v>
      </c>
      <c r="AC1017">
        <v>9.0500000000000007</v>
      </c>
      <c r="AD1017" s="154" t="e">
        <f t="shared" si="156"/>
        <v>#VALUE!</v>
      </c>
      <c r="AE1017">
        <v>9.0500000000000007</v>
      </c>
    </row>
    <row r="1018" spans="12:31" ht="15" x14ac:dyDescent="0.2">
      <c r="L1018" s="154" t="e">
        <f t="shared" si="147"/>
        <v>#VALUE!</v>
      </c>
      <c r="M1018">
        <v>9.06</v>
      </c>
      <c r="N1018" s="154" t="e">
        <f t="shared" si="148"/>
        <v>#VALUE!</v>
      </c>
      <c r="O1018">
        <v>9.06</v>
      </c>
      <c r="P1018" s="154" t="e">
        <f t="shared" si="149"/>
        <v>#VALUE!</v>
      </c>
      <c r="Q1018">
        <v>9.06</v>
      </c>
      <c r="R1018" s="154" t="e">
        <f t="shared" si="150"/>
        <v>#VALUE!</v>
      </c>
      <c r="S1018">
        <v>9.06</v>
      </c>
      <c r="T1018" s="154" t="e">
        <f t="shared" si="151"/>
        <v>#VALUE!</v>
      </c>
      <c r="U1018">
        <v>9.06</v>
      </c>
      <c r="V1018" s="154" t="e">
        <f t="shared" si="152"/>
        <v>#VALUE!</v>
      </c>
      <c r="W1018">
        <v>9.06</v>
      </c>
      <c r="X1018" s="157" t="e">
        <f t="shared" si="153"/>
        <v>#VALUE!</v>
      </c>
      <c r="Y1018">
        <v>9.06</v>
      </c>
      <c r="Z1018" s="154" t="e">
        <f t="shared" si="154"/>
        <v>#VALUE!</v>
      </c>
      <c r="AA1018">
        <v>9.06</v>
      </c>
      <c r="AB1018" s="154" t="e">
        <f t="shared" si="155"/>
        <v>#VALUE!</v>
      </c>
      <c r="AC1018">
        <v>9.06</v>
      </c>
      <c r="AD1018" s="154" t="e">
        <f t="shared" si="156"/>
        <v>#VALUE!</v>
      </c>
      <c r="AE1018">
        <v>9.06</v>
      </c>
    </row>
    <row r="1019" spans="12:31" ht="15" x14ac:dyDescent="0.2">
      <c r="L1019" s="154" t="e">
        <f t="shared" si="147"/>
        <v>#VALUE!</v>
      </c>
      <c r="M1019">
        <v>9.07</v>
      </c>
      <c r="N1019" s="154" t="e">
        <f t="shared" si="148"/>
        <v>#VALUE!</v>
      </c>
      <c r="O1019">
        <v>9.07</v>
      </c>
      <c r="P1019" s="154" t="e">
        <f t="shared" si="149"/>
        <v>#VALUE!</v>
      </c>
      <c r="Q1019">
        <v>9.07</v>
      </c>
      <c r="R1019" s="154" t="e">
        <f t="shared" si="150"/>
        <v>#VALUE!</v>
      </c>
      <c r="S1019">
        <v>9.07</v>
      </c>
      <c r="T1019" s="154" t="e">
        <f t="shared" si="151"/>
        <v>#VALUE!</v>
      </c>
      <c r="U1019">
        <v>9.07</v>
      </c>
      <c r="V1019" s="154" t="e">
        <f t="shared" si="152"/>
        <v>#VALUE!</v>
      </c>
      <c r="W1019">
        <v>9.07</v>
      </c>
      <c r="X1019" s="157" t="e">
        <f t="shared" si="153"/>
        <v>#VALUE!</v>
      </c>
      <c r="Y1019">
        <v>9.07</v>
      </c>
      <c r="Z1019" s="154" t="e">
        <f t="shared" si="154"/>
        <v>#VALUE!</v>
      </c>
      <c r="AA1019">
        <v>9.07</v>
      </c>
      <c r="AB1019" s="154" t="e">
        <f t="shared" si="155"/>
        <v>#VALUE!</v>
      </c>
      <c r="AC1019">
        <v>9.07</v>
      </c>
      <c r="AD1019" s="154" t="e">
        <f t="shared" si="156"/>
        <v>#VALUE!</v>
      </c>
      <c r="AE1019">
        <v>9.07</v>
      </c>
    </row>
    <row r="1020" spans="12:31" ht="15" x14ac:dyDescent="0.2">
      <c r="L1020" s="154" t="e">
        <f t="shared" si="147"/>
        <v>#VALUE!</v>
      </c>
      <c r="M1020">
        <v>9.08</v>
      </c>
      <c r="N1020" s="154" t="e">
        <f t="shared" si="148"/>
        <v>#VALUE!</v>
      </c>
      <c r="O1020">
        <v>9.08</v>
      </c>
      <c r="P1020" s="154" t="e">
        <f t="shared" si="149"/>
        <v>#VALUE!</v>
      </c>
      <c r="Q1020">
        <v>9.08</v>
      </c>
      <c r="R1020" s="154" t="e">
        <f t="shared" si="150"/>
        <v>#VALUE!</v>
      </c>
      <c r="S1020">
        <v>9.08</v>
      </c>
      <c r="T1020" s="154" t="e">
        <f t="shared" si="151"/>
        <v>#VALUE!</v>
      </c>
      <c r="U1020">
        <v>9.08</v>
      </c>
      <c r="V1020" s="154" t="e">
        <f t="shared" si="152"/>
        <v>#VALUE!</v>
      </c>
      <c r="W1020">
        <v>9.08</v>
      </c>
      <c r="X1020" s="157" t="e">
        <f t="shared" si="153"/>
        <v>#VALUE!</v>
      </c>
      <c r="Y1020">
        <v>9.08</v>
      </c>
      <c r="Z1020" s="154" t="e">
        <f t="shared" si="154"/>
        <v>#VALUE!</v>
      </c>
      <c r="AA1020">
        <v>9.08</v>
      </c>
      <c r="AB1020" s="154" t="e">
        <f t="shared" si="155"/>
        <v>#VALUE!</v>
      </c>
      <c r="AC1020">
        <v>9.08</v>
      </c>
      <c r="AD1020" s="154" t="e">
        <f t="shared" si="156"/>
        <v>#VALUE!</v>
      </c>
      <c r="AE1020">
        <v>9.08</v>
      </c>
    </row>
    <row r="1021" spans="12:31" ht="15" x14ac:dyDescent="0.2">
      <c r="L1021" s="154" t="e">
        <f t="shared" si="147"/>
        <v>#VALUE!</v>
      </c>
      <c r="M1021">
        <v>9.09</v>
      </c>
      <c r="N1021" s="154" t="e">
        <f t="shared" si="148"/>
        <v>#VALUE!</v>
      </c>
      <c r="O1021">
        <v>9.09</v>
      </c>
      <c r="P1021" s="154" t="e">
        <f t="shared" si="149"/>
        <v>#VALUE!</v>
      </c>
      <c r="Q1021">
        <v>9.09</v>
      </c>
      <c r="R1021" s="154" t="e">
        <f t="shared" si="150"/>
        <v>#VALUE!</v>
      </c>
      <c r="S1021">
        <v>9.09</v>
      </c>
      <c r="T1021" s="154" t="e">
        <f t="shared" si="151"/>
        <v>#VALUE!</v>
      </c>
      <c r="U1021">
        <v>9.09</v>
      </c>
      <c r="V1021" s="154" t="e">
        <f t="shared" si="152"/>
        <v>#VALUE!</v>
      </c>
      <c r="W1021">
        <v>9.09</v>
      </c>
      <c r="X1021" s="157" t="e">
        <f t="shared" si="153"/>
        <v>#VALUE!</v>
      </c>
      <c r="Y1021">
        <v>9.09</v>
      </c>
      <c r="Z1021" s="154" t="e">
        <f t="shared" si="154"/>
        <v>#VALUE!</v>
      </c>
      <c r="AA1021">
        <v>9.09</v>
      </c>
      <c r="AB1021" s="154" t="e">
        <f t="shared" si="155"/>
        <v>#VALUE!</v>
      </c>
      <c r="AC1021">
        <v>9.09</v>
      </c>
      <c r="AD1021" s="154" t="e">
        <f t="shared" si="156"/>
        <v>#VALUE!</v>
      </c>
      <c r="AE1021">
        <v>9.09</v>
      </c>
    </row>
    <row r="1022" spans="12:31" ht="15" x14ac:dyDescent="0.2">
      <c r="L1022" s="154" t="e">
        <f t="shared" si="147"/>
        <v>#VALUE!</v>
      </c>
      <c r="M1022">
        <v>9.1</v>
      </c>
      <c r="N1022" s="154" t="e">
        <f t="shared" si="148"/>
        <v>#VALUE!</v>
      </c>
      <c r="O1022">
        <v>9.1</v>
      </c>
      <c r="P1022" s="154" t="e">
        <f t="shared" si="149"/>
        <v>#VALUE!</v>
      </c>
      <c r="Q1022">
        <v>9.1</v>
      </c>
      <c r="R1022" s="154" t="e">
        <f t="shared" si="150"/>
        <v>#VALUE!</v>
      </c>
      <c r="S1022">
        <v>9.1</v>
      </c>
      <c r="T1022" s="154" t="e">
        <f t="shared" si="151"/>
        <v>#VALUE!</v>
      </c>
      <c r="U1022">
        <v>9.1</v>
      </c>
      <c r="V1022" s="154" t="e">
        <f t="shared" si="152"/>
        <v>#VALUE!</v>
      </c>
      <c r="W1022">
        <v>9.1</v>
      </c>
      <c r="X1022" s="157" t="e">
        <f t="shared" si="153"/>
        <v>#VALUE!</v>
      </c>
      <c r="Y1022">
        <v>9.1</v>
      </c>
      <c r="Z1022" s="154" t="e">
        <f t="shared" si="154"/>
        <v>#VALUE!</v>
      </c>
      <c r="AA1022">
        <v>9.1</v>
      </c>
      <c r="AB1022" s="154" t="e">
        <f t="shared" si="155"/>
        <v>#VALUE!</v>
      </c>
      <c r="AC1022">
        <v>9.1</v>
      </c>
      <c r="AD1022" s="154" t="e">
        <f t="shared" si="156"/>
        <v>#VALUE!</v>
      </c>
      <c r="AE1022">
        <v>9.1</v>
      </c>
    </row>
    <row r="1023" spans="12:31" ht="15" x14ac:dyDescent="0.2">
      <c r="L1023" s="154" t="e">
        <f t="shared" si="147"/>
        <v>#VALUE!</v>
      </c>
      <c r="M1023">
        <v>9.11</v>
      </c>
      <c r="N1023" s="154" t="e">
        <f t="shared" si="148"/>
        <v>#VALUE!</v>
      </c>
      <c r="O1023">
        <v>9.11</v>
      </c>
      <c r="P1023" s="154" t="e">
        <f t="shared" si="149"/>
        <v>#VALUE!</v>
      </c>
      <c r="Q1023">
        <v>9.11</v>
      </c>
      <c r="R1023" s="154" t="e">
        <f t="shared" si="150"/>
        <v>#VALUE!</v>
      </c>
      <c r="S1023">
        <v>9.11</v>
      </c>
      <c r="T1023" s="154" t="e">
        <f t="shared" si="151"/>
        <v>#VALUE!</v>
      </c>
      <c r="U1023">
        <v>9.11</v>
      </c>
      <c r="V1023" s="154" t="e">
        <f t="shared" si="152"/>
        <v>#VALUE!</v>
      </c>
      <c r="W1023">
        <v>9.11</v>
      </c>
      <c r="X1023" s="157" t="e">
        <f t="shared" si="153"/>
        <v>#VALUE!</v>
      </c>
      <c r="Y1023">
        <v>9.11</v>
      </c>
      <c r="Z1023" s="154" t="e">
        <f t="shared" si="154"/>
        <v>#VALUE!</v>
      </c>
      <c r="AA1023">
        <v>9.11</v>
      </c>
      <c r="AB1023" s="154" t="e">
        <f t="shared" si="155"/>
        <v>#VALUE!</v>
      </c>
      <c r="AC1023">
        <v>9.11</v>
      </c>
      <c r="AD1023" s="154" t="e">
        <f t="shared" si="156"/>
        <v>#VALUE!</v>
      </c>
      <c r="AE1023">
        <v>9.11</v>
      </c>
    </row>
    <row r="1024" spans="12:31" ht="15" x14ac:dyDescent="0.2">
      <c r="L1024" s="154" t="e">
        <f t="shared" si="147"/>
        <v>#VALUE!</v>
      </c>
      <c r="M1024">
        <v>9.1199999999999992</v>
      </c>
      <c r="N1024" s="154" t="e">
        <f t="shared" si="148"/>
        <v>#VALUE!</v>
      </c>
      <c r="O1024">
        <v>9.1199999999999992</v>
      </c>
      <c r="P1024" s="154" t="e">
        <f t="shared" si="149"/>
        <v>#VALUE!</v>
      </c>
      <c r="Q1024">
        <v>9.1199999999999992</v>
      </c>
      <c r="R1024" s="154" t="e">
        <f t="shared" si="150"/>
        <v>#VALUE!</v>
      </c>
      <c r="S1024">
        <v>9.1199999999999992</v>
      </c>
      <c r="T1024" s="154" t="e">
        <f t="shared" si="151"/>
        <v>#VALUE!</v>
      </c>
      <c r="U1024">
        <v>9.1199999999999992</v>
      </c>
      <c r="V1024" s="154" t="e">
        <f t="shared" si="152"/>
        <v>#VALUE!</v>
      </c>
      <c r="W1024">
        <v>9.1199999999999992</v>
      </c>
      <c r="X1024" s="157" t="e">
        <f t="shared" si="153"/>
        <v>#VALUE!</v>
      </c>
      <c r="Y1024">
        <v>9.1199999999999992</v>
      </c>
      <c r="Z1024" s="154" t="e">
        <f t="shared" si="154"/>
        <v>#VALUE!</v>
      </c>
      <c r="AA1024">
        <v>9.1199999999999992</v>
      </c>
      <c r="AB1024" s="154" t="e">
        <f t="shared" si="155"/>
        <v>#VALUE!</v>
      </c>
      <c r="AC1024">
        <v>9.1199999999999992</v>
      </c>
      <c r="AD1024" s="154" t="e">
        <f t="shared" si="156"/>
        <v>#VALUE!</v>
      </c>
      <c r="AE1024">
        <v>9.1199999999999992</v>
      </c>
    </row>
    <row r="1025" spans="12:31" ht="15" x14ac:dyDescent="0.2">
      <c r="L1025" s="154" t="e">
        <f t="shared" si="147"/>
        <v>#VALUE!</v>
      </c>
      <c r="M1025">
        <v>9.1300000000000008</v>
      </c>
      <c r="N1025" s="154" t="e">
        <f t="shared" si="148"/>
        <v>#VALUE!</v>
      </c>
      <c r="O1025">
        <v>9.1300000000000008</v>
      </c>
      <c r="P1025" s="154" t="e">
        <f t="shared" si="149"/>
        <v>#VALUE!</v>
      </c>
      <c r="Q1025">
        <v>9.1300000000000008</v>
      </c>
      <c r="R1025" s="154" t="e">
        <f t="shared" si="150"/>
        <v>#VALUE!</v>
      </c>
      <c r="S1025">
        <v>9.1300000000000008</v>
      </c>
      <c r="T1025" s="154" t="e">
        <f t="shared" si="151"/>
        <v>#VALUE!</v>
      </c>
      <c r="U1025">
        <v>9.1300000000000008</v>
      </c>
      <c r="V1025" s="154" t="e">
        <f t="shared" si="152"/>
        <v>#VALUE!</v>
      </c>
      <c r="W1025">
        <v>9.1300000000000008</v>
      </c>
      <c r="X1025" s="157" t="e">
        <f t="shared" si="153"/>
        <v>#VALUE!</v>
      </c>
      <c r="Y1025">
        <v>9.1300000000000008</v>
      </c>
      <c r="Z1025" s="154" t="e">
        <f t="shared" si="154"/>
        <v>#VALUE!</v>
      </c>
      <c r="AA1025">
        <v>9.1300000000000008</v>
      </c>
      <c r="AB1025" s="154" t="e">
        <f t="shared" si="155"/>
        <v>#VALUE!</v>
      </c>
      <c r="AC1025">
        <v>9.1300000000000008</v>
      </c>
      <c r="AD1025" s="154" t="e">
        <f t="shared" si="156"/>
        <v>#VALUE!</v>
      </c>
      <c r="AE1025">
        <v>9.1300000000000008</v>
      </c>
    </row>
    <row r="1026" spans="12:31" ht="15" x14ac:dyDescent="0.2">
      <c r="L1026" s="154" t="e">
        <f t="shared" si="147"/>
        <v>#VALUE!</v>
      </c>
      <c r="M1026">
        <v>9.14</v>
      </c>
      <c r="N1026" s="154" t="e">
        <f t="shared" si="148"/>
        <v>#VALUE!</v>
      </c>
      <c r="O1026">
        <v>9.14</v>
      </c>
      <c r="P1026" s="154" t="e">
        <f t="shared" si="149"/>
        <v>#VALUE!</v>
      </c>
      <c r="Q1026">
        <v>9.14</v>
      </c>
      <c r="R1026" s="154" t="e">
        <f t="shared" si="150"/>
        <v>#VALUE!</v>
      </c>
      <c r="S1026">
        <v>9.14</v>
      </c>
      <c r="T1026" s="154" t="e">
        <f t="shared" si="151"/>
        <v>#VALUE!</v>
      </c>
      <c r="U1026">
        <v>9.14</v>
      </c>
      <c r="V1026" s="154" t="e">
        <f t="shared" si="152"/>
        <v>#VALUE!</v>
      </c>
      <c r="W1026">
        <v>9.14</v>
      </c>
      <c r="X1026" s="157" t="e">
        <f t="shared" si="153"/>
        <v>#VALUE!</v>
      </c>
      <c r="Y1026">
        <v>9.14</v>
      </c>
      <c r="Z1026" s="154" t="e">
        <f t="shared" si="154"/>
        <v>#VALUE!</v>
      </c>
      <c r="AA1026">
        <v>9.14</v>
      </c>
      <c r="AB1026" s="154" t="e">
        <f t="shared" si="155"/>
        <v>#VALUE!</v>
      </c>
      <c r="AC1026">
        <v>9.14</v>
      </c>
      <c r="AD1026" s="154" t="e">
        <f t="shared" si="156"/>
        <v>#VALUE!</v>
      </c>
      <c r="AE1026">
        <v>9.14</v>
      </c>
    </row>
    <row r="1027" spans="12:31" ht="15" x14ac:dyDescent="0.2">
      <c r="L1027" s="154" t="e">
        <f t="shared" si="147"/>
        <v>#VALUE!</v>
      </c>
      <c r="M1027">
        <v>9.15</v>
      </c>
      <c r="N1027" s="154" t="e">
        <f t="shared" si="148"/>
        <v>#VALUE!</v>
      </c>
      <c r="O1027">
        <v>9.15</v>
      </c>
      <c r="P1027" s="154" t="e">
        <f t="shared" si="149"/>
        <v>#VALUE!</v>
      </c>
      <c r="Q1027">
        <v>9.15</v>
      </c>
      <c r="R1027" s="154" t="e">
        <f t="shared" si="150"/>
        <v>#VALUE!</v>
      </c>
      <c r="S1027">
        <v>9.15</v>
      </c>
      <c r="T1027" s="154" t="e">
        <f t="shared" si="151"/>
        <v>#VALUE!</v>
      </c>
      <c r="U1027">
        <v>9.15</v>
      </c>
      <c r="V1027" s="154" t="e">
        <f t="shared" si="152"/>
        <v>#VALUE!</v>
      </c>
      <c r="W1027">
        <v>9.15</v>
      </c>
      <c r="X1027" s="157" t="e">
        <f t="shared" si="153"/>
        <v>#VALUE!</v>
      </c>
      <c r="Y1027">
        <v>9.15</v>
      </c>
      <c r="Z1027" s="154" t="e">
        <f t="shared" si="154"/>
        <v>#VALUE!</v>
      </c>
      <c r="AA1027">
        <v>9.15</v>
      </c>
      <c r="AB1027" s="154" t="e">
        <f t="shared" si="155"/>
        <v>#VALUE!</v>
      </c>
      <c r="AC1027">
        <v>9.15</v>
      </c>
      <c r="AD1027" s="154" t="e">
        <f t="shared" si="156"/>
        <v>#VALUE!</v>
      </c>
      <c r="AE1027">
        <v>9.15</v>
      </c>
    </row>
    <row r="1028" spans="12:31" ht="15" x14ac:dyDescent="0.2">
      <c r="L1028" s="154" t="e">
        <f t="shared" si="147"/>
        <v>#VALUE!</v>
      </c>
      <c r="M1028">
        <v>9.16</v>
      </c>
      <c r="N1028" s="154" t="e">
        <f t="shared" si="148"/>
        <v>#VALUE!</v>
      </c>
      <c r="O1028">
        <v>9.16</v>
      </c>
      <c r="P1028" s="154" t="e">
        <f t="shared" si="149"/>
        <v>#VALUE!</v>
      </c>
      <c r="Q1028">
        <v>9.16</v>
      </c>
      <c r="R1028" s="154" t="e">
        <f t="shared" si="150"/>
        <v>#VALUE!</v>
      </c>
      <c r="S1028">
        <v>9.16</v>
      </c>
      <c r="T1028" s="154" t="e">
        <f t="shared" si="151"/>
        <v>#VALUE!</v>
      </c>
      <c r="U1028">
        <v>9.16</v>
      </c>
      <c r="V1028" s="154" t="e">
        <f t="shared" si="152"/>
        <v>#VALUE!</v>
      </c>
      <c r="W1028">
        <v>9.16</v>
      </c>
      <c r="X1028" s="157" t="e">
        <f t="shared" si="153"/>
        <v>#VALUE!</v>
      </c>
      <c r="Y1028">
        <v>9.16</v>
      </c>
      <c r="Z1028" s="154" t="e">
        <f t="shared" si="154"/>
        <v>#VALUE!</v>
      </c>
      <c r="AA1028">
        <v>9.16</v>
      </c>
      <c r="AB1028" s="154" t="e">
        <f t="shared" si="155"/>
        <v>#VALUE!</v>
      </c>
      <c r="AC1028">
        <v>9.16</v>
      </c>
      <c r="AD1028" s="154" t="e">
        <f t="shared" si="156"/>
        <v>#VALUE!</v>
      </c>
      <c r="AE1028">
        <v>9.16</v>
      </c>
    </row>
    <row r="1029" spans="12:31" ht="15" x14ac:dyDescent="0.2">
      <c r="L1029" s="154" t="e">
        <f t="shared" si="147"/>
        <v>#VALUE!</v>
      </c>
      <c r="M1029">
        <v>9.17</v>
      </c>
      <c r="N1029" s="154" t="e">
        <f t="shared" si="148"/>
        <v>#VALUE!</v>
      </c>
      <c r="O1029">
        <v>9.17</v>
      </c>
      <c r="P1029" s="154" t="e">
        <f t="shared" si="149"/>
        <v>#VALUE!</v>
      </c>
      <c r="Q1029">
        <v>9.17</v>
      </c>
      <c r="R1029" s="154" t="e">
        <f t="shared" si="150"/>
        <v>#VALUE!</v>
      </c>
      <c r="S1029">
        <v>9.17</v>
      </c>
      <c r="T1029" s="154" t="e">
        <f t="shared" si="151"/>
        <v>#VALUE!</v>
      </c>
      <c r="U1029">
        <v>9.17</v>
      </c>
      <c r="V1029" s="154" t="e">
        <f t="shared" si="152"/>
        <v>#VALUE!</v>
      </c>
      <c r="W1029">
        <v>9.17</v>
      </c>
      <c r="X1029" s="157" t="e">
        <f t="shared" si="153"/>
        <v>#VALUE!</v>
      </c>
      <c r="Y1029">
        <v>9.17</v>
      </c>
      <c r="Z1029" s="154" t="e">
        <f t="shared" si="154"/>
        <v>#VALUE!</v>
      </c>
      <c r="AA1029">
        <v>9.17</v>
      </c>
      <c r="AB1029" s="154" t="e">
        <f t="shared" si="155"/>
        <v>#VALUE!</v>
      </c>
      <c r="AC1029">
        <v>9.17</v>
      </c>
      <c r="AD1029" s="154" t="e">
        <f t="shared" si="156"/>
        <v>#VALUE!</v>
      </c>
      <c r="AE1029">
        <v>9.17</v>
      </c>
    </row>
    <row r="1030" spans="12:31" ht="15" x14ac:dyDescent="0.2">
      <c r="L1030" s="154" t="e">
        <f t="shared" si="147"/>
        <v>#VALUE!</v>
      </c>
      <c r="M1030">
        <v>9.18</v>
      </c>
      <c r="N1030" s="154" t="e">
        <f t="shared" si="148"/>
        <v>#VALUE!</v>
      </c>
      <c r="O1030">
        <v>9.18</v>
      </c>
      <c r="P1030" s="154" t="e">
        <f t="shared" si="149"/>
        <v>#VALUE!</v>
      </c>
      <c r="Q1030">
        <v>9.18</v>
      </c>
      <c r="R1030" s="154" t="e">
        <f t="shared" si="150"/>
        <v>#VALUE!</v>
      </c>
      <c r="S1030">
        <v>9.18</v>
      </c>
      <c r="T1030" s="154" t="e">
        <f t="shared" si="151"/>
        <v>#VALUE!</v>
      </c>
      <c r="U1030">
        <v>9.18</v>
      </c>
      <c r="V1030" s="154" t="e">
        <f t="shared" si="152"/>
        <v>#VALUE!</v>
      </c>
      <c r="W1030">
        <v>9.18</v>
      </c>
      <c r="X1030" s="157" t="e">
        <f t="shared" si="153"/>
        <v>#VALUE!</v>
      </c>
      <c r="Y1030">
        <v>9.18</v>
      </c>
      <c r="Z1030" s="154" t="e">
        <f t="shared" si="154"/>
        <v>#VALUE!</v>
      </c>
      <c r="AA1030">
        <v>9.18</v>
      </c>
      <c r="AB1030" s="154" t="e">
        <f t="shared" si="155"/>
        <v>#VALUE!</v>
      </c>
      <c r="AC1030">
        <v>9.18</v>
      </c>
      <c r="AD1030" s="154" t="e">
        <f t="shared" si="156"/>
        <v>#VALUE!</v>
      </c>
      <c r="AE1030">
        <v>9.18</v>
      </c>
    </row>
    <row r="1031" spans="12:31" ht="15" x14ac:dyDescent="0.2">
      <c r="L1031" s="154" t="e">
        <f t="shared" si="147"/>
        <v>#VALUE!</v>
      </c>
      <c r="M1031">
        <v>9.19</v>
      </c>
      <c r="N1031" s="154" t="e">
        <f t="shared" si="148"/>
        <v>#VALUE!</v>
      </c>
      <c r="O1031">
        <v>9.19</v>
      </c>
      <c r="P1031" s="154" t="e">
        <f t="shared" si="149"/>
        <v>#VALUE!</v>
      </c>
      <c r="Q1031">
        <v>9.19</v>
      </c>
      <c r="R1031" s="154" t="e">
        <f t="shared" si="150"/>
        <v>#VALUE!</v>
      </c>
      <c r="S1031">
        <v>9.19</v>
      </c>
      <c r="T1031" s="154" t="e">
        <f t="shared" si="151"/>
        <v>#VALUE!</v>
      </c>
      <c r="U1031">
        <v>9.19</v>
      </c>
      <c r="V1031" s="154" t="e">
        <f t="shared" si="152"/>
        <v>#VALUE!</v>
      </c>
      <c r="W1031">
        <v>9.19</v>
      </c>
      <c r="X1031" s="157" t="e">
        <f t="shared" si="153"/>
        <v>#VALUE!</v>
      </c>
      <c r="Y1031">
        <v>9.19</v>
      </c>
      <c r="Z1031" s="154" t="e">
        <f t="shared" si="154"/>
        <v>#VALUE!</v>
      </c>
      <c r="AA1031">
        <v>9.19</v>
      </c>
      <c r="AB1031" s="154" t="e">
        <f t="shared" si="155"/>
        <v>#VALUE!</v>
      </c>
      <c r="AC1031">
        <v>9.19</v>
      </c>
      <c r="AD1031" s="154" t="e">
        <f t="shared" si="156"/>
        <v>#VALUE!</v>
      </c>
      <c r="AE1031">
        <v>9.19</v>
      </c>
    </row>
    <row r="1032" spans="12:31" ht="15" x14ac:dyDescent="0.2">
      <c r="L1032" s="154" t="e">
        <f t="shared" si="147"/>
        <v>#VALUE!</v>
      </c>
      <c r="M1032">
        <v>9.1999999999999993</v>
      </c>
      <c r="N1032" s="154" t="e">
        <f t="shared" si="148"/>
        <v>#VALUE!</v>
      </c>
      <c r="O1032">
        <v>9.1999999999999993</v>
      </c>
      <c r="P1032" s="154" t="e">
        <f t="shared" si="149"/>
        <v>#VALUE!</v>
      </c>
      <c r="Q1032">
        <v>9.1999999999999993</v>
      </c>
      <c r="R1032" s="154" t="e">
        <f t="shared" si="150"/>
        <v>#VALUE!</v>
      </c>
      <c r="S1032">
        <v>9.1999999999999993</v>
      </c>
      <c r="T1032" s="154" t="e">
        <f t="shared" si="151"/>
        <v>#VALUE!</v>
      </c>
      <c r="U1032">
        <v>9.1999999999999993</v>
      </c>
      <c r="V1032" s="154" t="e">
        <f t="shared" si="152"/>
        <v>#VALUE!</v>
      </c>
      <c r="W1032">
        <v>9.1999999999999993</v>
      </c>
      <c r="X1032" s="157" t="e">
        <f t="shared" si="153"/>
        <v>#VALUE!</v>
      </c>
      <c r="Y1032">
        <v>9.1999999999999993</v>
      </c>
      <c r="Z1032" s="154" t="e">
        <f t="shared" si="154"/>
        <v>#VALUE!</v>
      </c>
      <c r="AA1032">
        <v>9.1999999999999993</v>
      </c>
      <c r="AB1032" s="154" t="e">
        <f t="shared" si="155"/>
        <v>#VALUE!</v>
      </c>
      <c r="AC1032">
        <v>9.1999999999999993</v>
      </c>
      <c r="AD1032" s="154" t="e">
        <f t="shared" si="156"/>
        <v>#VALUE!</v>
      </c>
      <c r="AE1032">
        <v>9.1999999999999993</v>
      </c>
    </row>
    <row r="1033" spans="12:31" ht="15" x14ac:dyDescent="0.2">
      <c r="L1033" s="154" t="e">
        <f t="shared" si="147"/>
        <v>#VALUE!</v>
      </c>
      <c r="M1033">
        <v>9.2100000000000009</v>
      </c>
      <c r="N1033" s="154" t="e">
        <f t="shared" si="148"/>
        <v>#VALUE!</v>
      </c>
      <c r="O1033">
        <v>9.2100000000000009</v>
      </c>
      <c r="P1033" s="154" t="e">
        <f t="shared" si="149"/>
        <v>#VALUE!</v>
      </c>
      <c r="Q1033">
        <v>9.2100000000000009</v>
      </c>
      <c r="R1033" s="154" t="e">
        <f t="shared" si="150"/>
        <v>#VALUE!</v>
      </c>
      <c r="S1033">
        <v>9.2100000000000009</v>
      </c>
      <c r="T1033" s="154" t="e">
        <f t="shared" si="151"/>
        <v>#VALUE!</v>
      </c>
      <c r="U1033">
        <v>9.2100000000000009</v>
      </c>
      <c r="V1033" s="154" t="e">
        <f t="shared" si="152"/>
        <v>#VALUE!</v>
      </c>
      <c r="W1033">
        <v>9.2100000000000009</v>
      </c>
      <c r="X1033" s="157" t="e">
        <f t="shared" si="153"/>
        <v>#VALUE!</v>
      </c>
      <c r="Y1033">
        <v>9.2100000000000009</v>
      </c>
      <c r="Z1033" s="154" t="e">
        <f t="shared" si="154"/>
        <v>#VALUE!</v>
      </c>
      <c r="AA1033">
        <v>9.2100000000000009</v>
      </c>
      <c r="AB1033" s="154" t="e">
        <f t="shared" si="155"/>
        <v>#VALUE!</v>
      </c>
      <c r="AC1033">
        <v>9.2100000000000009</v>
      </c>
      <c r="AD1033" s="154" t="e">
        <f t="shared" si="156"/>
        <v>#VALUE!</v>
      </c>
      <c r="AE1033">
        <v>9.2100000000000009</v>
      </c>
    </row>
    <row r="1034" spans="12:31" ht="15" x14ac:dyDescent="0.2">
      <c r="L1034" s="154" t="e">
        <f t="shared" si="147"/>
        <v>#VALUE!</v>
      </c>
      <c r="M1034">
        <v>9.2200000000000006</v>
      </c>
      <c r="N1034" s="154" t="e">
        <f t="shared" si="148"/>
        <v>#VALUE!</v>
      </c>
      <c r="O1034">
        <v>9.2200000000000006</v>
      </c>
      <c r="P1034" s="154" t="e">
        <f t="shared" si="149"/>
        <v>#VALUE!</v>
      </c>
      <c r="Q1034">
        <v>9.2200000000000006</v>
      </c>
      <c r="R1034" s="154" t="e">
        <f t="shared" si="150"/>
        <v>#VALUE!</v>
      </c>
      <c r="S1034">
        <v>9.2200000000000006</v>
      </c>
      <c r="T1034" s="154" t="e">
        <f t="shared" si="151"/>
        <v>#VALUE!</v>
      </c>
      <c r="U1034">
        <v>9.2200000000000006</v>
      </c>
      <c r="V1034" s="154" t="e">
        <f t="shared" si="152"/>
        <v>#VALUE!</v>
      </c>
      <c r="W1034">
        <v>9.2200000000000006</v>
      </c>
      <c r="X1034" s="157" t="e">
        <f t="shared" si="153"/>
        <v>#VALUE!</v>
      </c>
      <c r="Y1034">
        <v>9.2200000000000006</v>
      </c>
      <c r="Z1034" s="154" t="e">
        <f t="shared" si="154"/>
        <v>#VALUE!</v>
      </c>
      <c r="AA1034">
        <v>9.2200000000000006</v>
      </c>
      <c r="AB1034" s="154" t="e">
        <f t="shared" si="155"/>
        <v>#VALUE!</v>
      </c>
      <c r="AC1034">
        <v>9.2200000000000006</v>
      </c>
      <c r="AD1034" s="154" t="e">
        <f t="shared" si="156"/>
        <v>#VALUE!</v>
      </c>
      <c r="AE1034">
        <v>9.2200000000000006</v>
      </c>
    </row>
    <row r="1035" spans="12:31" ht="15" x14ac:dyDescent="0.2">
      <c r="L1035" s="154" t="e">
        <f t="shared" si="147"/>
        <v>#VALUE!</v>
      </c>
      <c r="M1035">
        <v>9.23</v>
      </c>
      <c r="N1035" s="154" t="e">
        <f t="shared" si="148"/>
        <v>#VALUE!</v>
      </c>
      <c r="O1035">
        <v>9.23</v>
      </c>
      <c r="P1035" s="154" t="e">
        <f t="shared" si="149"/>
        <v>#VALUE!</v>
      </c>
      <c r="Q1035">
        <v>9.23</v>
      </c>
      <c r="R1035" s="154" t="e">
        <f t="shared" si="150"/>
        <v>#VALUE!</v>
      </c>
      <c r="S1035">
        <v>9.23</v>
      </c>
      <c r="T1035" s="154" t="e">
        <f t="shared" si="151"/>
        <v>#VALUE!</v>
      </c>
      <c r="U1035">
        <v>9.23</v>
      </c>
      <c r="V1035" s="154" t="e">
        <f t="shared" si="152"/>
        <v>#VALUE!</v>
      </c>
      <c r="W1035">
        <v>9.23</v>
      </c>
      <c r="X1035" s="157" t="e">
        <f t="shared" si="153"/>
        <v>#VALUE!</v>
      </c>
      <c r="Y1035">
        <v>9.23</v>
      </c>
      <c r="Z1035" s="154" t="e">
        <f t="shared" si="154"/>
        <v>#VALUE!</v>
      </c>
      <c r="AA1035">
        <v>9.23</v>
      </c>
      <c r="AB1035" s="154" t="e">
        <f t="shared" si="155"/>
        <v>#VALUE!</v>
      </c>
      <c r="AC1035">
        <v>9.23</v>
      </c>
      <c r="AD1035" s="154" t="e">
        <f t="shared" si="156"/>
        <v>#VALUE!</v>
      </c>
      <c r="AE1035">
        <v>9.23</v>
      </c>
    </row>
    <row r="1036" spans="12:31" ht="15" x14ac:dyDescent="0.2">
      <c r="L1036" s="154" t="e">
        <f t="shared" si="147"/>
        <v>#VALUE!</v>
      </c>
      <c r="M1036">
        <v>9.24</v>
      </c>
      <c r="N1036" s="154" t="e">
        <f t="shared" si="148"/>
        <v>#VALUE!</v>
      </c>
      <c r="O1036">
        <v>9.24</v>
      </c>
      <c r="P1036" s="154" t="e">
        <f t="shared" si="149"/>
        <v>#VALUE!</v>
      </c>
      <c r="Q1036">
        <v>9.24</v>
      </c>
      <c r="R1036" s="154" t="e">
        <f t="shared" si="150"/>
        <v>#VALUE!</v>
      </c>
      <c r="S1036">
        <v>9.24</v>
      </c>
      <c r="T1036" s="154" t="e">
        <f t="shared" si="151"/>
        <v>#VALUE!</v>
      </c>
      <c r="U1036">
        <v>9.24</v>
      </c>
      <c r="V1036" s="154" t="e">
        <f t="shared" si="152"/>
        <v>#VALUE!</v>
      </c>
      <c r="W1036">
        <v>9.24</v>
      </c>
      <c r="X1036" s="157" t="e">
        <f t="shared" si="153"/>
        <v>#VALUE!</v>
      </c>
      <c r="Y1036">
        <v>9.24</v>
      </c>
      <c r="Z1036" s="154" t="e">
        <f t="shared" si="154"/>
        <v>#VALUE!</v>
      </c>
      <c r="AA1036">
        <v>9.24</v>
      </c>
      <c r="AB1036" s="154" t="e">
        <f t="shared" si="155"/>
        <v>#VALUE!</v>
      </c>
      <c r="AC1036">
        <v>9.24</v>
      </c>
      <c r="AD1036" s="154" t="e">
        <f t="shared" si="156"/>
        <v>#VALUE!</v>
      </c>
      <c r="AE1036">
        <v>9.24</v>
      </c>
    </row>
    <row r="1037" spans="12:31" ht="15" x14ac:dyDescent="0.2">
      <c r="L1037" s="154" t="e">
        <f t="shared" si="147"/>
        <v>#VALUE!</v>
      </c>
      <c r="M1037">
        <v>9.25</v>
      </c>
      <c r="N1037" s="154" t="e">
        <f t="shared" si="148"/>
        <v>#VALUE!</v>
      </c>
      <c r="O1037">
        <v>9.25</v>
      </c>
      <c r="P1037" s="154" t="e">
        <f t="shared" si="149"/>
        <v>#VALUE!</v>
      </c>
      <c r="Q1037">
        <v>9.25</v>
      </c>
      <c r="R1037" s="154" t="e">
        <f t="shared" si="150"/>
        <v>#VALUE!</v>
      </c>
      <c r="S1037">
        <v>9.25</v>
      </c>
      <c r="T1037" s="154" t="e">
        <f t="shared" si="151"/>
        <v>#VALUE!</v>
      </c>
      <c r="U1037">
        <v>9.25</v>
      </c>
      <c r="V1037" s="154" t="e">
        <f t="shared" si="152"/>
        <v>#VALUE!</v>
      </c>
      <c r="W1037">
        <v>9.25</v>
      </c>
      <c r="X1037" s="157" t="e">
        <f t="shared" si="153"/>
        <v>#VALUE!</v>
      </c>
      <c r="Y1037">
        <v>9.25</v>
      </c>
      <c r="Z1037" s="154" t="e">
        <f t="shared" si="154"/>
        <v>#VALUE!</v>
      </c>
      <c r="AA1037">
        <v>9.25</v>
      </c>
      <c r="AB1037" s="154" t="e">
        <f t="shared" si="155"/>
        <v>#VALUE!</v>
      </c>
      <c r="AC1037">
        <v>9.25</v>
      </c>
      <c r="AD1037" s="154" t="e">
        <f t="shared" si="156"/>
        <v>#VALUE!</v>
      </c>
      <c r="AE1037">
        <v>9.25</v>
      </c>
    </row>
    <row r="1038" spans="12:31" ht="15" x14ac:dyDescent="0.2">
      <c r="L1038" s="154" t="e">
        <f t="shared" si="147"/>
        <v>#VALUE!</v>
      </c>
      <c r="M1038">
        <v>9.26</v>
      </c>
      <c r="N1038" s="154" t="e">
        <f t="shared" si="148"/>
        <v>#VALUE!</v>
      </c>
      <c r="O1038">
        <v>9.26</v>
      </c>
      <c r="P1038" s="154" t="e">
        <f t="shared" si="149"/>
        <v>#VALUE!</v>
      </c>
      <c r="Q1038">
        <v>9.26</v>
      </c>
      <c r="R1038" s="154" t="e">
        <f t="shared" si="150"/>
        <v>#VALUE!</v>
      </c>
      <c r="S1038">
        <v>9.26</v>
      </c>
      <c r="T1038" s="154" t="e">
        <f t="shared" si="151"/>
        <v>#VALUE!</v>
      </c>
      <c r="U1038">
        <v>9.26</v>
      </c>
      <c r="V1038" s="154" t="e">
        <f t="shared" si="152"/>
        <v>#VALUE!</v>
      </c>
      <c r="W1038">
        <v>9.26</v>
      </c>
      <c r="X1038" s="157" t="e">
        <f t="shared" si="153"/>
        <v>#VALUE!</v>
      </c>
      <c r="Y1038">
        <v>9.26</v>
      </c>
      <c r="Z1038" s="154" t="e">
        <f t="shared" si="154"/>
        <v>#VALUE!</v>
      </c>
      <c r="AA1038">
        <v>9.26</v>
      </c>
      <c r="AB1038" s="154" t="e">
        <f t="shared" si="155"/>
        <v>#VALUE!</v>
      </c>
      <c r="AC1038">
        <v>9.26</v>
      </c>
      <c r="AD1038" s="154" t="e">
        <f t="shared" si="156"/>
        <v>#VALUE!</v>
      </c>
      <c r="AE1038">
        <v>9.26</v>
      </c>
    </row>
    <row r="1039" spans="12:31" ht="15" x14ac:dyDescent="0.2">
      <c r="L1039" s="154" t="e">
        <f t="shared" si="147"/>
        <v>#VALUE!</v>
      </c>
      <c r="M1039">
        <v>9.27</v>
      </c>
      <c r="N1039" s="154" t="e">
        <f t="shared" si="148"/>
        <v>#VALUE!</v>
      </c>
      <c r="O1039">
        <v>9.27</v>
      </c>
      <c r="P1039" s="154" t="e">
        <f t="shared" si="149"/>
        <v>#VALUE!</v>
      </c>
      <c r="Q1039">
        <v>9.27</v>
      </c>
      <c r="R1039" s="154" t="e">
        <f t="shared" si="150"/>
        <v>#VALUE!</v>
      </c>
      <c r="S1039">
        <v>9.27</v>
      </c>
      <c r="T1039" s="154" t="e">
        <f t="shared" si="151"/>
        <v>#VALUE!</v>
      </c>
      <c r="U1039">
        <v>9.27</v>
      </c>
      <c r="V1039" s="154" t="e">
        <f t="shared" si="152"/>
        <v>#VALUE!</v>
      </c>
      <c r="W1039">
        <v>9.27</v>
      </c>
      <c r="X1039" s="157" t="e">
        <f t="shared" si="153"/>
        <v>#VALUE!</v>
      </c>
      <c r="Y1039">
        <v>9.27</v>
      </c>
      <c r="Z1039" s="154" t="e">
        <f t="shared" si="154"/>
        <v>#VALUE!</v>
      </c>
      <c r="AA1039">
        <v>9.27</v>
      </c>
      <c r="AB1039" s="154" t="e">
        <f t="shared" si="155"/>
        <v>#VALUE!</v>
      </c>
      <c r="AC1039">
        <v>9.27</v>
      </c>
      <c r="AD1039" s="154" t="e">
        <f t="shared" si="156"/>
        <v>#VALUE!</v>
      </c>
      <c r="AE1039">
        <v>9.27</v>
      </c>
    </row>
    <row r="1040" spans="12:31" ht="15" x14ac:dyDescent="0.2">
      <c r="L1040" s="154" t="e">
        <f t="shared" si="147"/>
        <v>#VALUE!</v>
      </c>
      <c r="M1040">
        <v>9.2799999999999994</v>
      </c>
      <c r="N1040" s="154" t="e">
        <f t="shared" si="148"/>
        <v>#VALUE!</v>
      </c>
      <c r="O1040">
        <v>9.2799999999999994</v>
      </c>
      <c r="P1040" s="154" t="e">
        <f t="shared" si="149"/>
        <v>#VALUE!</v>
      </c>
      <c r="Q1040">
        <v>9.2799999999999994</v>
      </c>
      <c r="R1040" s="154" t="e">
        <f t="shared" si="150"/>
        <v>#VALUE!</v>
      </c>
      <c r="S1040">
        <v>9.2799999999999994</v>
      </c>
      <c r="T1040" s="154" t="e">
        <f t="shared" si="151"/>
        <v>#VALUE!</v>
      </c>
      <c r="U1040">
        <v>9.2799999999999994</v>
      </c>
      <c r="V1040" s="154" t="e">
        <f t="shared" si="152"/>
        <v>#VALUE!</v>
      </c>
      <c r="W1040">
        <v>9.2799999999999994</v>
      </c>
      <c r="X1040" s="157" t="e">
        <f t="shared" si="153"/>
        <v>#VALUE!</v>
      </c>
      <c r="Y1040">
        <v>9.2799999999999994</v>
      </c>
      <c r="Z1040" s="154" t="e">
        <f t="shared" si="154"/>
        <v>#VALUE!</v>
      </c>
      <c r="AA1040">
        <v>9.2799999999999994</v>
      </c>
      <c r="AB1040" s="154" t="e">
        <f t="shared" si="155"/>
        <v>#VALUE!</v>
      </c>
      <c r="AC1040">
        <v>9.2799999999999994</v>
      </c>
      <c r="AD1040" s="154" t="e">
        <f t="shared" si="156"/>
        <v>#VALUE!</v>
      </c>
      <c r="AE1040">
        <v>9.2799999999999994</v>
      </c>
    </row>
    <row r="1041" spans="12:31" ht="15" x14ac:dyDescent="0.2">
      <c r="L1041" s="154" t="e">
        <f t="shared" si="147"/>
        <v>#VALUE!</v>
      </c>
      <c r="M1041">
        <v>9.2899999999999991</v>
      </c>
      <c r="N1041" s="154" t="e">
        <f t="shared" si="148"/>
        <v>#VALUE!</v>
      </c>
      <c r="O1041">
        <v>9.2899999999999991</v>
      </c>
      <c r="P1041" s="154" t="e">
        <f t="shared" si="149"/>
        <v>#VALUE!</v>
      </c>
      <c r="Q1041">
        <v>9.2899999999999991</v>
      </c>
      <c r="R1041" s="154" t="e">
        <f t="shared" si="150"/>
        <v>#VALUE!</v>
      </c>
      <c r="S1041">
        <v>9.2899999999999991</v>
      </c>
      <c r="T1041" s="154" t="e">
        <f t="shared" si="151"/>
        <v>#VALUE!</v>
      </c>
      <c r="U1041">
        <v>9.2899999999999991</v>
      </c>
      <c r="V1041" s="154" t="e">
        <f t="shared" si="152"/>
        <v>#VALUE!</v>
      </c>
      <c r="W1041">
        <v>9.2899999999999991</v>
      </c>
      <c r="X1041" s="157" t="e">
        <f t="shared" si="153"/>
        <v>#VALUE!</v>
      </c>
      <c r="Y1041">
        <v>9.2899999999999991</v>
      </c>
      <c r="Z1041" s="154" t="e">
        <f t="shared" si="154"/>
        <v>#VALUE!</v>
      </c>
      <c r="AA1041">
        <v>9.2899999999999991</v>
      </c>
      <c r="AB1041" s="154" t="e">
        <f t="shared" si="155"/>
        <v>#VALUE!</v>
      </c>
      <c r="AC1041">
        <v>9.2899999999999991</v>
      </c>
      <c r="AD1041" s="154" t="e">
        <f t="shared" si="156"/>
        <v>#VALUE!</v>
      </c>
      <c r="AE1041">
        <v>9.2899999999999991</v>
      </c>
    </row>
    <row r="1042" spans="12:31" ht="15" x14ac:dyDescent="0.2">
      <c r="L1042" s="154" t="e">
        <f t="shared" si="147"/>
        <v>#VALUE!</v>
      </c>
      <c r="M1042">
        <v>9.3000000000000007</v>
      </c>
      <c r="N1042" s="154" t="e">
        <f t="shared" si="148"/>
        <v>#VALUE!</v>
      </c>
      <c r="O1042">
        <v>9.3000000000000007</v>
      </c>
      <c r="P1042" s="154" t="e">
        <f t="shared" si="149"/>
        <v>#VALUE!</v>
      </c>
      <c r="Q1042">
        <v>9.3000000000000007</v>
      </c>
      <c r="R1042" s="154" t="e">
        <f t="shared" si="150"/>
        <v>#VALUE!</v>
      </c>
      <c r="S1042">
        <v>9.3000000000000007</v>
      </c>
      <c r="T1042" s="154" t="e">
        <f t="shared" si="151"/>
        <v>#VALUE!</v>
      </c>
      <c r="U1042">
        <v>9.3000000000000007</v>
      </c>
      <c r="V1042" s="154" t="e">
        <f t="shared" si="152"/>
        <v>#VALUE!</v>
      </c>
      <c r="W1042">
        <v>9.3000000000000007</v>
      </c>
      <c r="X1042" s="157" t="e">
        <f t="shared" si="153"/>
        <v>#VALUE!</v>
      </c>
      <c r="Y1042">
        <v>9.3000000000000007</v>
      </c>
      <c r="Z1042" s="154" t="e">
        <f t="shared" si="154"/>
        <v>#VALUE!</v>
      </c>
      <c r="AA1042">
        <v>9.3000000000000007</v>
      </c>
      <c r="AB1042" s="154" t="e">
        <f t="shared" si="155"/>
        <v>#VALUE!</v>
      </c>
      <c r="AC1042">
        <v>9.3000000000000007</v>
      </c>
      <c r="AD1042" s="154" t="e">
        <f t="shared" si="156"/>
        <v>#VALUE!</v>
      </c>
      <c r="AE1042">
        <v>9.3000000000000007</v>
      </c>
    </row>
    <row r="1043" spans="12:31" ht="15" x14ac:dyDescent="0.2">
      <c r="L1043" s="154" t="e">
        <f t="shared" si="147"/>
        <v>#VALUE!</v>
      </c>
      <c r="M1043">
        <v>9.31</v>
      </c>
      <c r="N1043" s="154" t="e">
        <f t="shared" si="148"/>
        <v>#VALUE!</v>
      </c>
      <c r="O1043">
        <v>9.31</v>
      </c>
      <c r="P1043" s="154" t="e">
        <f t="shared" si="149"/>
        <v>#VALUE!</v>
      </c>
      <c r="Q1043">
        <v>9.31</v>
      </c>
      <c r="R1043" s="154" t="e">
        <f t="shared" si="150"/>
        <v>#VALUE!</v>
      </c>
      <c r="S1043">
        <v>9.31</v>
      </c>
      <c r="T1043" s="154" t="e">
        <f t="shared" si="151"/>
        <v>#VALUE!</v>
      </c>
      <c r="U1043">
        <v>9.31</v>
      </c>
      <c r="V1043" s="154" t="e">
        <f t="shared" si="152"/>
        <v>#VALUE!</v>
      </c>
      <c r="W1043">
        <v>9.31</v>
      </c>
      <c r="X1043" s="157" t="e">
        <f t="shared" si="153"/>
        <v>#VALUE!</v>
      </c>
      <c r="Y1043">
        <v>9.31</v>
      </c>
      <c r="Z1043" s="154" t="e">
        <f t="shared" si="154"/>
        <v>#VALUE!</v>
      </c>
      <c r="AA1043">
        <v>9.31</v>
      </c>
      <c r="AB1043" s="154" t="e">
        <f t="shared" si="155"/>
        <v>#VALUE!</v>
      </c>
      <c r="AC1043">
        <v>9.31</v>
      </c>
      <c r="AD1043" s="154" t="e">
        <f t="shared" si="156"/>
        <v>#VALUE!</v>
      </c>
      <c r="AE1043">
        <v>9.31</v>
      </c>
    </row>
    <row r="1044" spans="12:31" ht="15" x14ac:dyDescent="0.2">
      <c r="L1044" s="154" t="e">
        <f t="shared" si="147"/>
        <v>#VALUE!</v>
      </c>
      <c r="M1044">
        <v>9.32</v>
      </c>
      <c r="N1044" s="154" t="e">
        <f t="shared" si="148"/>
        <v>#VALUE!</v>
      </c>
      <c r="O1044">
        <v>9.32</v>
      </c>
      <c r="P1044" s="154" t="e">
        <f t="shared" si="149"/>
        <v>#VALUE!</v>
      </c>
      <c r="Q1044">
        <v>9.32</v>
      </c>
      <c r="R1044" s="154" t="e">
        <f t="shared" si="150"/>
        <v>#VALUE!</v>
      </c>
      <c r="S1044">
        <v>9.32</v>
      </c>
      <c r="T1044" s="154" t="e">
        <f t="shared" si="151"/>
        <v>#VALUE!</v>
      </c>
      <c r="U1044">
        <v>9.32</v>
      </c>
      <c r="V1044" s="154" t="e">
        <f t="shared" si="152"/>
        <v>#VALUE!</v>
      </c>
      <c r="W1044">
        <v>9.32</v>
      </c>
      <c r="X1044" s="157" t="e">
        <f t="shared" si="153"/>
        <v>#VALUE!</v>
      </c>
      <c r="Y1044">
        <v>9.32</v>
      </c>
      <c r="Z1044" s="154" t="e">
        <f t="shared" si="154"/>
        <v>#VALUE!</v>
      </c>
      <c r="AA1044">
        <v>9.32</v>
      </c>
      <c r="AB1044" s="154" t="e">
        <f t="shared" si="155"/>
        <v>#VALUE!</v>
      </c>
      <c r="AC1044">
        <v>9.32</v>
      </c>
      <c r="AD1044" s="154" t="e">
        <f t="shared" si="156"/>
        <v>#VALUE!</v>
      </c>
      <c r="AE1044">
        <v>9.32</v>
      </c>
    </row>
    <row r="1045" spans="12:31" ht="15" x14ac:dyDescent="0.2">
      <c r="L1045" s="154" t="e">
        <f t="shared" si="147"/>
        <v>#VALUE!</v>
      </c>
      <c r="M1045">
        <v>9.33</v>
      </c>
      <c r="N1045" s="154" t="e">
        <f t="shared" si="148"/>
        <v>#VALUE!</v>
      </c>
      <c r="O1045">
        <v>9.33</v>
      </c>
      <c r="P1045" s="154" t="e">
        <f t="shared" si="149"/>
        <v>#VALUE!</v>
      </c>
      <c r="Q1045">
        <v>9.33</v>
      </c>
      <c r="R1045" s="154" t="e">
        <f t="shared" si="150"/>
        <v>#VALUE!</v>
      </c>
      <c r="S1045">
        <v>9.33</v>
      </c>
      <c r="T1045" s="154" t="e">
        <f t="shared" si="151"/>
        <v>#VALUE!</v>
      </c>
      <c r="U1045">
        <v>9.33</v>
      </c>
      <c r="V1045" s="154" t="e">
        <f t="shared" si="152"/>
        <v>#VALUE!</v>
      </c>
      <c r="W1045">
        <v>9.33</v>
      </c>
      <c r="X1045" s="157" t="e">
        <f t="shared" si="153"/>
        <v>#VALUE!</v>
      </c>
      <c r="Y1045">
        <v>9.33</v>
      </c>
      <c r="Z1045" s="154" t="e">
        <f t="shared" si="154"/>
        <v>#VALUE!</v>
      </c>
      <c r="AA1045">
        <v>9.33</v>
      </c>
      <c r="AB1045" s="154" t="e">
        <f t="shared" si="155"/>
        <v>#VALUE!</v>
      </c>
      <c r="AC1045">
        <v>9.33</v>
      </c>
      <c r="AD1045" s="154" t="e">
        <f t="shared" si="156"/>
        <v>#VALUE!</v>
      </c>
      <c r="AE1045">
        <v>9.33</v>
      </c>
    </row>
    <row r="1046" spans="12:31" ht="15" x14ac:dyDescent="0.2">
      <c r="L1046" s="154" t="e">
        <f t="shared" si="147"/>
        <v>#VALUE!</v>
      </c>
      <c r="M1046">
        <v>9.34</v>
      </c>
      <c r="N1046" s="154" t="e">
        <f t="shared" si="148"/>
        <v>#VALUE!</v>
      </c>
      <c r="O1046">
        <v>9.34</v>
      </c>
      <c r="P1046" s="154" t="e">
        <f t="shared" si="149"/>
        <v>#VALUE!</v>
      </c>
      <c r="Q1046">
        <v>9.34</v>
      </c>
      <c r="R1046" s="154" t="e">
        <f t="shared" si="150"/>
        <v>#VALUE!</v>
      </c>
      <c r="S1046">
        <v>9.34</v>
      </c>
      <c r="T1046" s="154" t="e">
        <f t="shared" si="151"/>
        <v>#VALUE!</v>
      </c>
      <c r="U1046">
        <v>9.34</v>
      </c>
      <c r="V1046" s="154" t="e">
        <f t="shared" si="152"/>
        <v>#VALUE!</v>
      </c>
      <c r="W1046">
        <v>9.34</v>
      </c>
      <c r="X1046" s="157" t="e">
        <f t="shared" si="153"/>
        <v>#VALUE!</v>
      </c>
      <c r="Y1046">
        <v>9.34</v>
      </c>
      <c r="Z1046" s="154" t="e">
        <f t="shared" si="154"/>
        <v>#VALUE!</v>
      </c>
      <c r="AA1046">
        <v>9.34</v>
      </c>
      <c r="AB1046" s="154" t="e">
        <f t="shared" si="155"/>
        <v>#VALUE!</v>
      </c>
      <c r="AC1046">
        <v>9.34</v>
      </c>
      <c r="AD1046" s="154" t="e">
        <f t="shared" si="156"/>
        <v>#VALUE!</v>
      </c>
      <c r="AE1046">
        <v>9.34</v>
      </c>
    </row>
    <row r="1047" spans="12:31" ht="15" x14ac:dyDescent="0.2">
      <c r="L1047" s="154" t="e">
        <f t="shared" si="147"/>
        <v>#VALUE!</v>
      </c>
      <c r="M1047">
        <v>9.35</v>
      </c>
      <c r="N1047" s="154" t="e">
        <f t="shared" si="148"/>
        <v>#VALUE!</v>
      </c>
      <c r="O1047">
        <v>9.35</v>
      </c>
      <c r="P1047" s="154" t="e">
        <f t="shared" si="149"/>
        <v>#VALUE!</v>
      </c>
      <c r="Q1047">
        <v>9.35</v>
      </c>
      <c r="R1047" s="154" t="e">
        <f t="shared" si="150"/>
        <v>#VALUE!</v>
      </c>
      <c r="S1047">
        <v>9.35</v>
      </c>
      <c r="T1047" s="154" t="e">
        <f t="shared" si="151"/>
        <v>#VALUE!</v>
      </c>
      <c r="U1047">
        <v>9.35</v>
      </c>
      <c r="V1047" s="154" t="e">
        <f t="shared" si="152"/>
        <v>#VALUE!</v>
      </c>
      <c r="W1047">
        <v>9.35</v>
      </c>
      <c r="X1047" s="157" t="e">
        <f t="shared" si="153"/>
        <v>#VALUE!</v>
      </c>
      <c r="Y1047">
        <v>9.35</v>
      </c>
      <c r="Z1047" s="154" t="e">
        <f t="shared" si="154"/>
        <v>#VALUE!</v>
      </c>
      <c r="AA1047">
        <v>9.35</v>
      </c>
      <c r="AB1047" s="154" t="e">
        <f t="shared" si="155"/>
        <v>#VALUE!</v>
      </c>
      <c r="AC1047">
        <v>9.35</v>
      </c>
      <c r="AD1047" s="154" t="e">
        <f t="shared" si="156"/>
        <v>#VALUE!</v>
      </c>
      <c r="AE1047">
        <v>9.35</v>
      </c>
    </row>
    <row r="1048" spans="12:31" ht="15" x14ac:dyDescent="0.2">
      <c r="L1048" s="154" t="e">
        <f t="shared" si="147"/>
        <v>#VALUE!</v>
      </c>
      <c r="M1048">
        <v>9.36</v>
      </c>
      <c r="N1048" s="154" t="e">
        <f t="shared" si="148"/>
        <v>#VALUE!</v>
      </c>
      <c r="O1048">
        <v>9.36</v>
      </c>
      <c r="P1048" s="154" t="e">
        <f t="shared" si="149"/>
        <v>#VALUE!</v>
      </c>
      <c r="Q1048">
        <v>9.36</v>
      </c>
      <c r="R1048" s="154" t="e">
        <f t="shared" si="150"/>
        <v>#VALUE!</v>
      </c>
      <c r="S1048">
        <v>9.36</v>
      </c>
      <c r="T1048" s="154" t="e">
        <f t="shared" si="151"/>
        <v>#VALUE!</v>
      </c>
      <c r="U1048">
        <v>9.36</v>
      </c>
      <c r="V1048" s="154" t="e">
        <f t="shared" si="152"/>
        <v>#VALUE!</v>
      </c>
      <c r="W1048">
        <v>9.36</v>
      </c>
      <c r="X1048" s="157" t="e">
        <f t="shared" si="153"/>
        <v>#VALUE!</v>
      </c>
      <c r="Y1048">
        <v>9.36</v>
      </c>
      <c r="Z1048" s="154" t="e">
        <f t="shared" si="154"/>
        <v>#VALUE!</v>
      </c>
      <c r="AA1048">
        <v>9.36</v>
      </c>
      <c r="AB1048" s="154" t="e">
        <f t="shared" si="155"/>
        <v>#VALUE!</v>
      </c>
      <c r="AC1048">
        <v>9.36</v>
      </c>
      <c r="AD1048" s="154" t="e">
        <f t="shared" si="156"/>
        <v>#VALUE!</v>
      </c>
      <c r="AE1048">
        <v>9.36</v>
      </c>
    </row>
    <row r="1049" spans="12:31" ht="15" x14ac:dyDescent="0.2">
      <c r="L1049" s="154" t="e">
        <f t="shared" si="147"/>
        <v>#VALUE!</v>
      </c>
      <c r="M1049">
        <v>9.3699999999999992</v>
      </c>
      <c r="N1049" s="154" t="e">
        <f t="shared" si="148"/>
        <v>#VALUE!</v>
      </c>
      <c r="O1049">
        <v>9.3699999999999992</v>
      </c>
      <c r="P1049" s="154" t="e">
        <f t="shared" si="149"/>
        <v>#VALUE!</v>
      </c>
      <c r="Q1049">
        <v>9.3699999999999992</v>
      </c>
      <c r="R1049" s="154" t="e">
        <f t="shared" si="150"/>
        <v>#VALUE!</v>
      </c>
      <c r="S1049">
        <v>9.3699999999999992</v>
      </c>
      <c r="T1049" s="154" t="e">
        <f t="shared" si="151"/>
        <v>#VALUE!</v>
      </c>
      <c r="U1049">
        <v>9.3699999999999992</v>
      </c>
      <c r="V1049" s="154" t="e">
        <f t="shared" si="152"/>
        <v>#VALUE!</v>
      </c>
      <c r="W1049">
        <v>9.3699999999999992</v>
      </c>
      <c r="X1049" s="157" t="e">
        <f t="shared" si="153"/>
        <v>#VALUE!</v>
      </c>
      <c r="Y1049">
        <v>9.3699999999999992</v>
      </c>
      <c r="Z1049" s="154" t="e">
        <f t="shared" si="154"/>
        <v>#VALUE!</v>
      </c>
      <c r="AA1049">
        <v>9.3699999999999992</v>
      </c>
      <c r="AB1049" s="154" t="e">
        <f t="shared" si="155"/>
        <v>#VALUE!</v>
      </c>
      <c r="AC1049">
        <v>9.3699999999999992</v>
      </c>
      <c r="AD1049" s="154" t="e">
        <f t="shared" si="156"/>
        <v>#VALUE!</v>
      </c>
      <c r="AE1049">
        <v>9.3699999999999992</v>
      </c>
    </row>
    <row r="1050" spans="12:31" ht="15" x14ac:dyDescent="0.2">
      <c r="L1050" s="154" t="e">
        <f t="shared" si="147"/>
        <v>#VALUE!</v>
      </c>
      <c r="M1050">
        <v>9.3800000000000008</v>
      </c>
      <c r="N1050" s="154" t="e">
        <f t="shared" si="148"/>
        <v>#VALUE!</v>
      </c>
      <c r="O1050">
        <v>9.3800000000000008</v>
      </c>
      <c r="P1050" s="154" t="e">
        <f t="shared" si="149"/>
        <v>#VALUE!</v>
      </c>
      <c r="Q1050">
        <v>9.3800000000000008</v>
      </c>
      <c r="R1050" s="154" t="e">
        <f t="shared" si="150"/>
        <v>#VALUE!</v>
      </c>
      <c r="S1050">
        <v>9.3800000000000008</v>
      </c>
      <c r="T1050" s="154" t="e">
        <f t="shared" si="151"/>
        <v>#VALUE!</v>
      </c>
      <c r="U1050">
        <v>9.3800000000000008</v>
      </c>
      <c r="V1050" s="154" t="e">
        <f t="shared" si="152"/>
        <v>#VALUE!</v>
      </c>
      <c r="W1050">
        <v>9.3800000000000008</v>
      </c>
      <c r="X1050" s="157" t="e">
        <f t="shared" si="153"/>
        <v>#VALUE!</v>
      </c>
      <c r="Y1050">
        <v>9.3800000000000008</v>
      </c>
      <c r="Z1050" s="154" t="e">
        <f t="shared" si="154"/>
        <v>#VALUE!</v>
      </c>
      <c r="AA1050">
        <v>9.3800000000000008</v>
      </c>
      <c r="AB1050" s="154" t="e">
        <f t="shared" si="155"/>
        <v>#VALUE!</v>
      </c>
      <c r="AC1050">
        <v>9.3800000000000008</v>
      </c>
      <c r="AD1050" s="154" t="e">
        <f t="shared" si="156"/>
        <v>#VALUE!</v>
      </c>
      <c r="AE1050">
        <v>9.3800000000000008</v>
      </c>
    </row>
    <row r="1051" spans="12:31" ht="15" x14ac:dyDescent="0.2">
      <c r="L1051" s="154" t="e">
        <f t="shared" si="147"/>
        <v>#VALUE!</v>
      </c>
      <c r="M1051">
        <v>9.39</v>
      </c>
      <c r="N1051" s="154" t="e">
        <f t="shared" si="148"/>
        <v>#VALUE!</v>
      </c>
      <c r="O1051">
        <v>9.39</v>
      </c>
      <c r="P1051" s="154" t="e">
        <f t="shared" si="149"/>
        <v>#VALUE!</v>
      </c>
      <c r="Q1051">
        <v>9.39</v>
      </c>
      <c r="R1051" s="154" t="e">
        <f t="shared" si="150"/>
        <v>#VALUE!</v>
      </c>
      <c r="S1051">
        <v>9.39</v>
      </c>
      <c r="T1051" s="154" t="e">
        <f t="shared" si="151"/>
        <v>#VALUE!</v>
      </c>
      <c r="U1051">
        <v>9.39</v>
      </c>
      <c r="V1051" s="154" t="e">
        <f t="shared" si="152"/>
        <v>#VALUE!</v>
      </c>
      <c r="W1051">
        <v>9.39</v>
      </c>
      <c r="X1051" s="157" t="e">
        <f t="shared" si="153"/>
        <v>#VALUE!</v>
      </c>
      <c r="Y1051">
        <v>9.39</v>
      </c>
      <c r="Z1051" s="154" t="e">
        <f t="shared" si="154"/>
        <v>#VALUE!</v>
      </c>
      <c r="AA1051">
        <v>9.39</v>
      </c>
      <c r="AB1051" s="154" t="e">
        <f t="shared" si="155"/>
        <v>#VALUE!</v>
      </c>
      <c r="AC1051">
        <v>9.39</v>
      </c>
      <c r="AD1051" s="154" t="e">
        <f t="shared" si="156"/>
        <v>#VALUE!</v>
      </c>
      <c r="AE1051">
        <v>9.39</v>
      </c>
    </row>
    <row r="1052" spans="12:31" ht="15" x14ac:dyDescent="0.2">
      <c r="L1052" s="154" t="e">
        <f t="shared" si="147"/>
        <v>#VALUE!</v>
      </c>
      <c r="M1052">
        <v>9.4</v>
      </c>
      <c r="N1052" s="154" t="e">
        <f t="shared" si="148"/>
        <v>#VALUE!</v>
      </c>
      <c r="O1052">
        <v>9.4</v>
      </c>
      <c r="P1052" s="154" t="e">
        <f t="shared" si="149"/>
        <v>#VALUE!</v>
      </c>
      <c r="Q1052">
        <v>9.4</v>
      </c>
      <c r="R1052" s="154" t="e">
        <f t="shared" si="150"/>
        <v>#VALUE!</v>
      </c>
      <c r="S1052">
        <v>9.4</v>
      </c>
      <c r="T1052" s="154" t="e">
        <f t="shared" si="151"/>
        <v>#VALUE!</v>
      </c>
      <c r="U1052">
        <v>9.4</v>
      </c>
      <c r="V1052" s="154" t="e">
        <f t="shared" si="152"/>
        <v>#VALUE!</v>
      </c>
      <c r="W1052">
        <v>9.4</v>
      </c>
      <c r="X1052" s="157" t="e">
        <f t="shared" si="153"/>
        <v>#VALUE!</v>
      </c>
      <c r="Y1052">
        <v>9.4</v>
      </c>
      <c r="Z1052" s="154" t="e">
        <f t="shared" si="154"/>
        <v>#VALUE!</v>
      </c>
      <c r="AA1052">
        <v>9.4</v>
      </c>
      <c r="AB1052" s="154" t="e">
        <f t="shared" si="155"/>
        <v>#VALUE!</v>
      </c>
      <c r="AC1052">
        <v>9.4</v>
      </c>
      <c r="AD1052" s="154" t="e">
        <f t="shared" si="156"/>
        <v>#VALUE!</v>
      </c>
      <c r="AE1052">
        <v>9.4</v>
      </c>
    </row>
    <row r="1053" spans="12:31" ht="15" x14ac:dyDescent="0.2">
      <c r="L1053" s="154" t="e">
        <f t="shared" si="147"/>
        <v>#VALUE!</v>
      </c>
      <c r="M1053">
        <v>9.41</v>
      </c>
      <c r="N1053" s="154" t="e">
        <f t="shared" si="148"/>
        <v>#VALUE!</v>
      </c>
      <c r="O1053">
        <v>9.41</v>
      </c>
      <c r="P1053" s="154" t="e">
        <f t="shared" si="149"/>
        <v>#VALUE!</v>
      </c>
      <c r="Q1053">
        <v>9.41</v>
      </c>
      <c r="R1053" s="154" t="e">
        <f t="shared" si="150"/>
        <v>#VALUE!</v>
      </c>
      <c r="S1053">
        <v>9.41</v>
      </c>
      <c r="T1053" s="154" t="e">
        <f t="shared" si="151"/>
        <v>#VALUE!</v>
      </c>
      <c r="U1053">
        <v>9.41</v>
      </c>
      <c r="V1053" s="154" t="e">
        <f t="shared" si="152"/>
        <v>#VALUE!</v>
      </c>
      <c r="W1053">
        <v>9.41</v>
      </c>
      <c r="X1053" s="157" t="e">
        <f t="shared" si="153"/>
        <v>#VALUE!</v>
      </c>
      <c r="Y1053">
        <v>9.41</v>
      </c>
      <c r="Z1053" s="154" t="e">
        <f t="shared" si="154"/>
        <v>#VALUE!</v>
      </c>
      <c r="AA1053">
        <v>9.41</v>
      </c>
      <c r="AB1053" s="154" t="e">
        <f t="shared" si="155"/>
        <v>#VALUE!</v>
      </c>
      <c r="AC1053">
        <v>9.41</v>
      </c>
      <c r="AD1053" s="154" t="e">
        <f t="shared" si="156"/>
        <v>#VALUE!</v>
      </c>
      <c r="AE1053">
        <v>9.41</v>
      </c>
    </row>
    <row r="1054" spans="12:31" ht="15" x14ac:dyDescent="0.2">
      <c r="L1054" s="154" t="e">
        <f t="shared" si="147"/>
        <v>#VALUE!</v>
      </c>
      <c r="M1054">
        <v>9.42</v>
      </c>
      <c r="N1054" s="154" t="e">
        <f t="shared" si="148"/>
        <v>#VALUE!</v>
      </c>
      <c r="O1054">
        <v>9.42</v>
      </c>
      <c r="P1054" s="154" t="e">
        <f t="shared" si="149"/>
        <v>#VALUE!</v>
      </c>
      <c r="Q1054">
        <v>9.42</v>
      </c>
      <c r="R1054" s="154" t="e">
        <f t="shared" si="150"/>
        <v>#VALUE!</v>
      </c>
      <c r="S1054">
        <v>9.42</v>
      </c>
      <c r="T1054" s="154" t="e">
        <f t="shared" si="151"/>
        <v>#VALUE!</v>
      </c>
      <c r="U1054">
        <v>9.42</v>
      </c>
      <c r="V1054" s="154" t="e">
        <f t="shared" si="152"/>
        <v>#VALUE!</v>
      </c>
      <c r="W1054">
        <v>9.42</v>
      </c>
      <c r="X1054" s="157" t="e">
        <f t="shared" si="153"/>
        <v>#VALUE!</v>
      </c>
      <c r="Y1054">
        <v>9.42</v>
      </c>
      <c r="Z1054" s="154" t="e">
        <f t="shared" si="154"/>
        <v>#VALUE!</v>
      </c>
      <c r="AA1054">
        <v>9.42</v>
      </c>
      <c r="AB1054" s="154" t="e">
        <f t="shared" si="155"/>
        <v>#VALUE!</v>
      </c>
      <c r="AC1054">
        <v>9.42</v>
      </c>
      <c r="AD1054" s="154" t="e">
        <f t="shared" si="156"/>
        <v>#VALUE!</v>
      </c>
      <c r="AE1054">
        <v>9.42</v>
      </c>
    </row>
    <row r="1055" spans="12:31" ht="15" x14ac:dyDescent="0.2">
      <c r="L1055" s="154" t="e">
        <f t="shared" si="147"/>
        <v>#VALUE!</v>
      </c>
      <c r="M1055">
        <v>9.43</v>
      </c>
      <c r="N1055" s="154" t="e">
        <f t="shared" si="148"/>
        <v>#VALUE!</v>
      </c>
      <c r="O1055">
        <v>9.43</v>
      </c>
      <c r="P1055" s="154" t="e">
        <f t="shared" si="149"/>
        <v>#VALUE!</v>
      </c>
      <c r="Q1055">
        <v>9.43</v>
      </c>
      <c r="R1055" s="154" t="e">
        <f t="shared" si="150"/>
        <v>#VALUE!</v>
      </c>
      <c r="S1055">
        <v>9.43</v>
      </c>
      <c r="T1055" s="154" t="e">
        <f t="shared" si="151"/>
        <v>#VALUE!</v>
      </c>
      <c r="U1055">
        <v>9.43</v>
      </c>
      <c r="V1055" s="154" t="e">
        <f t="shared" si="152"/>
        <v>#VALUE!</v>
      </c>
      <c r="W1055">
        <v>9.43</v>
      </c>
      <c r="X1055" s="157" t="e">
        <f t="shared" si="153"/>
        <v>#VALUE!</v>
      </c>
      <c r="Y1055">
        <v>9.43</v>
      </c>
      <c r="Z1055" s="154" t="e">
        <f t="shared" si="154"/>
        <v>#VALUE!</v>
      </c>
      <c r="AA1055">
        <v>9.43</v>
      </c>
      <c r="AB1055" s="154" t="e">
        <f t="shared" si="155"/>
        <v>#VALUE!</v>
      </c>
      <c r="AC1055">
        <v>9.43</v>
      </c>
      <c r="AD1055" s="154" t="e">
        <f t="shared" si="156"/>
        <v>#VALUE!</v>
      </c>
      <c r="AE1055">
        <v>9.43</v>
      </c>
    </row>
    <row r="1056" spans="12:31" ht="15" x14ac:dyDescent="0.2">
      <c r="L1056" s="154" t="e">
        <f t="shared" si="147"/>
        <v>#VALUE!</v>
      </c>
      <c r="M1056">
        <v>9.44</v>
      </c>
      <c r="N1056" s="154" t="e">
        <f t="shared" si="148"/>
        <v>#VALUE!</v>
      </c>
      <c r="O1056">
        <v>9.44</v>
      </c>
      <c r="P1056" s="154" t="e">
        <f t="shared" si="149"/>
        <v>#VALUE!</v>
      </c>
      <c r="Q1056">
        <v>9.44</v>
      </c>
      <c r="R1056" s="154" t="e">
        <f t="shared" si="150"/>
        <v>#VALUE!</v>
      </c>
      <c r="S1056">
        <v>9.44</v>
      </c>
      <c r="T1056" s="154" t="e">
        <f t="shared" si="151"/>
        <v>#VALUE!</v>
      </c>
      <c r="U1056">
        <v>9.44</v>
      </c>
      <c r="V1056" s="154" t="e">
        <f t="shared" si="152"/>
        <v>#VALUE!</v>
      </c>
      <c r="W1056">
        <v>9.44</v>
      </c>
      <c r="X1056" s="157" t="e">
        <f t="shared" si="153"/>
        <v>#VALUE!</v>
      </c>
      <c r="Y1056">
        <v>9.44</v>
      </c>
      <c r="Z1056" s="154" t="e">
        <f t="shared" si="154"/>
        <v>#VALUE!</v>
      </c>
      <c r="AA1056">
        <v>9.44</v>
      </c>
      <c r="AB1056" s="154" t="e">
        <f t="shared" si="155"/>
        <v>#VALUE!</v>
      </c>
      <c r="AC1056">
        <v>9.44</v>
      </c>
      <c r="AD1056" s="154" t="e">
        <f t="shared" si="156"/>
        <v>#VALUE!</v>
      </c>
      <c r="AE1056">
        <v>9.44</v>
      </c>
    </row>
    <row r="1057" spans="12:31" ht="15" x14ac:dyDescent="0.2">
      <c r="L1057" s="154" t="e">
        <f t="shared" si="147"/>
        <v>#VALUE!</v>
      </c>
      <c r="M1057">
        <v>9.4499999999999993</v>
      </c>
      <c r="N1057" s="154" t="e">
        <f t="shared" si="148"/>
        <v>#VALUE!</v>
      </c>
      <c r="O1057">
        <v>9.4499999999999993</v>
      </c>
      <c r="P1057" s="154" t="e">
        <f t="shared" si="149"/>
        <v>#VALUE!</v>
      </c>
      <c r="Q1057">
        <v>9.4499999999999993</v>
      </c>
      <c r="R1057" s="154" t="e">
        <f t="shared" si="150"/>
        <v>#VALUE!</v>
      </c>
      <c r="S1057">
        <v>9.4499999999999993</v>
      </c>
      <c r="T1057" s="154" t="e">
        <f t="shared" si="151"/>
        <v>#VALUE!</v>
      </c>
      <c r="U1057">
        <v>9.4499999999999993</v>
      </c>
      <c r="V1057" s="154" t="e">
        <f t="shared" si="152"/>
        <v>#VALUE!</v>
      </c>
      <c r="W1057">
        <v>9.4499999999999993</v>
      </c>
      <c r="X1057" s="157" t="e">
        <f t="shared" si="153"/>
        <v>#VALUE!</v>
      </c>
      <c r="Y1057">
        <v>9.4499999999999993</v>
      </c>
      <c r="Z1057" s="154" t="e">
        <f t="shared" si="154"/>
        <v>#VALUE!</v>
      </c>
      <c r="AA1057">
        <v>9.4499999999999993</v>
      </c>
      <c r="AB1057" s="154" t="e">
        <f t="shared" si="155"/>
        <v>#VALUE!</v>
      </c>
      <c r="AC1057">
        <v>9.4499999999999993</v>
      </c>
      <c r="AD1057" s="154" t="e">
        <f t="shared" si="156"/>
        <v>#VALUE!</v>
      </c>
      <c r="AE1057">
        <v>9.4499999999999993</v>
      </c>
    </row>
    <row r="1058" spans="12:31" ht="15" x14ac:dyDescent="0.2">
      <c r="L1058" s="154" t="e">
        <f t="shared" si="147"/>
        <v>#VALUE!</v>
      </c>
      <c r="M1058">
        <v>9.4600000000000009</v>
      </c>
      <c r="N1058" s="154" t="e">
        <f t="shared" si="148"/>
        <v>#VALUE!</v>
      </c>
      <c r="O1058">
        <v>9.4600000000000009</v>
      </c>
      <c r="P1058" s="154" t="e">
        <f t="shared" si="149"/>
        <v>#VALUE!</v>
      </c>
      <c r="Q1058">
        <v>9.4600000000000009</v>
      </c>
      <c r="R1058" s="154" t="e">
        <f t="shared" si="150"/>
        <v>#VALUE!</v>
      </c>
      <c r="S1058">
        <v>9.4600000000000009</v>
      </c>
      <c r="T1058" s="154" t="e">
        <f t="shared" si="151"/>
        <v>#VALUE!</v>
      </c>
      <c r="U1058">
        <v>9.4600000000000009</v>
      </c>
      <c r="V1058" s="154" t="e">
        <f t="shared" si="152"/>
        <v>#VALUE!</v>
      </c>
      <c r="W1058">
        <v>9.4600000000000009</v>
      </c>
      <c r="X1058" s="157" t="e">
        <f t="shared" si="153"/>
        <v>#VALUE!</v>
      </c>
      <c r="Y1058">
        <v>9.4600000000000009</v>
      </c>
      <c r="Z1058" s="154" t="e">
        <f t="shared" si="154"/>
        <v>#VALUE!</v>
      </c>
      <c r="AA1058">
        <v>9.4600000000000009</v>
      </c>
      <c r="AB1058" s="154" t="e">
        <f t="shared" si="155"/>
        <v>#VALUE!</v>
      </c>
      <c r="AC1058">
        <v>9.4600000000000009</v>
      </c>
      <c r="AD1058" s="154" t="e">
        <f t="shared" si="156"/>
        <v>#VALUE!</v>
      </c>
      <c r="AE1058">
        <v>9.4600000000000009</v>
      </c>
    </row>
    <row r="1059" spans="12:31" ht="15" x14ac:dyDescent="0.2">
      <c r="L1059" s="154" t="e">
        <f t="shared" si="147"/>
        <v>#VALUE!</v>
      </c>
      <c r="M1059">
        <v>9.4700000000000006</v>
      </c>
      <c r="N1059" s="154" t="e">
        <f t="shared" si="148"/>
        <v>#VALUE!</v>
      </c>
      <c r="O1059">
        <v>9.4700000000000006</v>
      </c>
      <c r="P1059" s="154" t="e">
        <f t="shared" si="149"/>
        <v>#VALUE!</v>
      </c>
      <c r="Q1059">
        <v>9.4700000000000006</v>
      </c>
      <c r="R1059" s="154" t="e">
        <f t="shared" si="150"/>
        <v>#VALUE!</v>
      </c>
      <c r="S1059">
        <v>9.4700000000000006</v>
      </c>
      <c r="T1059" s="154" t="e">
        <f t="shared" si="151"/>
        <v>#VALUE!</v>
      </c>
      <c r="U1059">
        <v>9.4700000000000006</v>
      </c>
      <c r="V1059" s="154" t="e">
        <f t="shared" si="152"/>
        <v>#VALUE!</v>
      </c>
      <c r="W1059">
        <v>9.4700000000000006</v>
      </c>
      <c r="X1059" s="157" t="e">
        <f t="shared" si="153"/>
        <v>#VALUE!</v>
      </c>
      <c r="Y1059">
        <v>9.4700000000000006</v>
      </c>
      <c r="Z1059" s="154" t="e">
        <f t="shared" si="154"/>
        <v>#VALUE!</v>
      </c>
      <c r="AA1059">
        <v>9.4700000000000006</v>
      </c>
      <c r="AB1059" s="154" t="e">
        <f t="shared" si="155"/>
        <v>#VALUE!</v>
      </c>
      <c r="AC1059">
        <v>9.4700000000000006</v>
      </c>
      <c r="AD1059" s="154" t="e">
        <f t="shared" si="156"/>
        <v>#VALUE!</v>
      </c>
      <c r="AE1059">
        <v>9.4700000000000006</v>
      </c>
    </row>
    <row r="1060" spans="12:31" ht="15" x14ac:dyDescent="0.2">
      <c r="L1060" s="154" t="e">
        <f t="shared" si="147"/>
        <v>#VALUE!</v>
      </c>
      <c r="M1060">
        <v>9.48</v>
      </c>
      <c r="N1060" s="154" t="e">
        <f t="shared" si="148"/>
        <v>#VALUE!</v>
      </c>
      <c r="O1060">
        <v>9.48</v>
      </c>
      <c r="P1060" s="154" t="e">
        <f t="shared" si="149"/>
        <v>#VALUE!</v>
      </c>
      <c r="Q1060">
        <v>9.48</v>
      </c>
      <c r="R1060" s="154" t="e">
        <f t="shared" si="150"/>
        <v>#VALUE!</v>
      </c>
      <c r="S1060">
        <v>9.48</v>
      </c>
      <c r="T1060" s="154" t="e">
        <f t="shared" si="151"/>
        <v>#VALUE!</v>
      </c>
      <c r="U1060">
        <v>9.48</v>
      </c>
      <c r="V1060" s="154" t="e">
        <f t="shared" si="152"/>
        <v>#VALUE!</v>
      </c>
      <c r="W1060">
        <v>9.48</v>
      </c>
      <c r="X1060" s="157" t="e">
        <f t="shared" si="153"/>
        <v>#VALUE!</v>
      </c>
      <c r="Y1060">
        <v>9.48</v>
      </c>
      <c r="Z1060" s="154" t="e">
        <f t="shared" si="154"/>
        <v>#VALUE!</v>
      </c>
      <c r="AA1060">
        <v>9.48</v>
      </c>
      <c r="AB1060" s="154" t="e">
        <f t="shared" si="155"/>
        <v>#VALUE!</v>
      </c>
      <c r="AC1060">
        <v>9.48</v>
      </c>
      <c r="AD1060" s="154" t="e">
        <f t="shared" si="156"/>
        <v>#VALUE!</v>
      </c>
      <c r="AE1060">
        <v>9.48</v>
      </c>
    </row>
    <row r="1061" spans="12:31" ht="15" x14ac:dyDescent="0.2">
      <c r="L1061" s="154" t="e">
        <f t="shared" si="147"/>
        <v>#VALUE!</v>
      </c>
      <c r="M1061">
        <v>9.49</v>
      </c>
      <c r="N1061" s="154" t="e">
        <f t="shared" si="148"/>
        <v>#VALUE!</v>
      </c>
      <c r="O1061">
        <v>9.49</v>
      </c>
      <c r="P1061" s="154" t="e">
        <f t="shared" si="149"/>
        <v>#VALUE!</v>
      </c>
      <c r="Q1061">
        <v>9.49</v>
      </c>
      <c r="R1061" s="154" t="e">
        <f t="shared" si="150"/>
        <v>#VALUE!</v>
      </c>
      <c r="S1061">
        <v>9.49</v>
      </c>
      <c r="T1061" s="154" t="e">
        <f t="shared" si="151"/>
        <v>#VALUE!</v>
      </c>
      <c r="U1061">
        <v>9.49</v>
      </c>
      <c r="V1061" s="154" t="e">
        <f t="shared" si="152"/>
        <v>#VALUE!</v>
      </c>
      <c r="W1061">
        <v>9.49</v>
      </c>
      <c r="X1061" s="157" t="e">
        <f t="shared" si="153"/>
        <v>#VALUE!</v>
      </c>
      <c r="Y1061">
        <v>9.49</v>
      </c>
      <c r="Z1061" s="154" t="e">
        <f t="shared" si="154"/>
        <v>#VALUE!</v>
      </c>
      <c r="AA1061">
        <v>9.49</v>
      </c>
      <c r="AB1061" s="154" t="e">
        <f t="shared" si="155"/>
        <v>#VALUE!</v>
      </c>
      <c r="AC1061">
        <v>9.49</v>
      </c>
      <c r="AD1061" s="154" t="e">
        <f t="shared" si="156"/>
        <v>#VALUE!</v>
      </c>
      <c r="AE1061">
        <v>9.49</v>
      </c>
    </row>
    <row r="1062" spans="12:31" ht="15" x14ac:dyDescent="0.2">
      <c r="L1062" s="154" t="e">
        <f t="shared" si="147"/>
        <v>#VALUE!</v>
      </c>
      <c r="M1062">
        <v>9.5</v>
      </c>
      <c r="N1062" s="154" t="e">
        <f t="shared" si="148"/>
        <v>#VALUE!</v>
      </c>
      <c r="O1062">
        <v>9.5</v>
      </c>
      <c r="P1062" s="154" t="e">
        <f t="shared" si="149"/>
        <v>#VALUE!</v>
      </c>
      <c r="Q1062">
        <v>9.5</v>
      </c>
      <c r="R1062" s="154" t="e">
        <f t="shared" si="150"/>
        <v>#VALUE!</v>
      </c>
      <c r="S1062">
        <v>9.5</v>
      </c>
      <c r="T1062" s="154" t="e">
        <f t="shared" si="151"/>
        <v>#VALUE!</v>
      </c>
      <c r="U1062">
        <v>9.5</v>
      </c>
      <c r="V1062" s="154" t="e">
        <f t="shared" si="152"/>
        <v>#VALUE!</v>
      </c>
      <c r="W1062">
        <v>9.5</v>
      </c>
      <c r="X1062" s="157" t="e">
        <f t="shared" si="153"/>
        <v>#VALUE!</v>
      </c>
      <c r="Y1062">
        <v>9.5</v>
      </c>
      <c r="Z1062" s="154" t="e">
        <f t="shared" si="154"/>
        <v>#VALUE!</v>
      </c>
      <c r="AA1062">
        <v>9.5</v>
      </c>
      <c r="AB1062" s="154" t="e">
        <f t="shared" si="155"/>
        <v>#VALUE!</v>
      </c>
      <c r="AC1062">
        <v>9.5</v>
      </c>
      <c r="AD1062" s="154" t="e">
        <f t="shared" si="156"/>
        <v>#VALUE!</v>
      </c>
      <c r="AE1062">
        <v>9.5</v>
      </c>
    </row>
    <row r="1063" spans="12:31" ht="15" x14ac:dyDescent="0.2">
      <c r="L1063" s="154" t="e">
        <f t="shared" si="147"/>
        <v>#VALUE!</v>
      </c>
      <c r="M1063">
        <v>9.51</v>
      </c>
      <c r="N1063" s="154" t="e">
        <f t="shared" si="148"/>
        <v>#VALUE!</v>
      </c>
      <c r="O1063">
        <v>9.51</v>
      </c>
      <c r="P1063" s="154" t="e">
        <f t="shared" si="149"/>
        <v>#VALUE!</v>
      </c>
      <c r="Q1063">
        <v>9.51</v>
      </c>
      <c r="R1063" s="154" t="e">
        <f t="shared" si="150"/>
        <v>#VALUE!</v>
      </c>
      <c r="S1063">
        <v>9.51</v>
      </c>
      <c r="T1063" s="154" t="e">
        <f t="shared" si="151"/>
        <v>#VALUE!</v>
      </c>
      <c r="U1063">
        <v>9.51</v>
      </c>
      <c r="V1063" s="154" t="e">
        <f t="shared" si="152"/>
        <v>#VALUE!</v>
      </c>
      <c r="W1063">
        <v>9.51</v>
      </c>
      <c r="X1063" s="157" t="e">
        <f t="shared" si="153"/>
        <v>#VALUE!</v>
      </c>
      <c r="Y1063">
        <v>9.51</v>
      </c>
      <c r="Z1063" s="154" t="e">
        <f t="shared" si="154"/>
        <v>#VALUE!</v>
      </c>
      <c r="AA1063">
        <v>9.51</v>
      </c>
      <c r="AB1063" s="154" t="e">
        <f t="shared" si="155"/>
        <v>#VALUE!</v>
      </c>
      <c r="AC1063">
        <v>9.51</v>
      </c>
      <c r="AD1063" s="154" t="e">
        <f t="shared" si="156"/>
        <v>#VALUE!</v>
      </c>
      <c r="AE1063">
        <v>9.51</v>
      </c>
    </row>
    <row r="1064" spans="12:31" ht="15" x14ac:dyDescent="0.2">
      <c r="L1064" s="154" t="e">
        <f t="shared" si="147"/>
        <v>#VALUE!</v>
      </c>
      <c r="M1064">
        <v>9.52</v>
      </c>
      <c r="N1064" s="154" t="e">
        <f t="shared" si="148"/>
        <v>#VALUE!</v>
      </c>
      <c r="O1064">
        <v>9.52</v>
      </c>
      <c r="P1064" s="154" t="e">
        <f t="shared" si="149"/>
        <v>#VALUE!</v>
      </c>
      <c r="Q1064">
        <v>9.52</v>
      </c>
      <c r="R1064" s="154" t="e">
        <f t="shared" si="150"/>
        <v>#VALUE!</v>
      </c>
      <c r="S1064">
        <v>9.52</v>
      </c>
      <c r="T1064" s="154" t="e">
        <f t="shared" si="151"/>
        <v>#VALUE!</v>
      </c>
      <c r="U1064">
        <v>9.52</v>
      </c>
      <c r="V1064" s="154" t="e">
        <f t="shared" si="152"/>
        <v>#VALUE!</v>
      </c>
      <c r="W1064">
        <v>9.52</v>
      </c>
      <c r="X1064" s="157" t="e">
        <f t="shared" si="153"/>
        <v>#VALUE!</v>
      </c>
      <c r="Y1064">
        <v>9.52</v>
      </c>
      <c r="Z1064" s="154" t="e">
        <f t="shared" si="154"/>
        <v>#VALUE!</v>
      </c>
      <c r="AA1064">
        <v>9.52</v>
      </c>
      <c r="AB1064" s="154" t="e">
        <f t="shared" si="155"/>
        <v>#VALUE!</v>
      </c>
      <c r="AC1064">
        <v>9.52</v>
      </c>
      <c r="AD1064" s="154" t="e">
        <f t="shared" si="156"/>
        <v>#VALUE!</v>
      </c>
      <c r="AE1064">
        <v>9.52</v>
      </c>
    </row>
    <row r="1065" spans="12:31" ht="15" x14ac:dyDescent="0.2">
      <c r="L1065" s="154" t="e">
        <f t="shared" si="147"/>
        <v>#VALUE!</v>
      </c>
      <c r="M1065">
        <v>9.5299999999999994</v>
      </c>
      <c r="N1065" s="154" t="e">
        <f t="shared" si="148"/>
        <v>#VALUE!</v>
      </c>
      <c r="O1065">
        <v>9.5299999999999994</v>
      </c>
      <c r="P1065" s="154" t="e">
        <f t="shared" si="149"/>
        <v>#VALUE!</v>
      </c>
      <c r="Q1065">
        <v>9.5299999999999994</v>
      </c>
      <c r="R1065" s="154" t="e">
        <f t="shared" si="150"/>
        <v>#VALUE!</v>
      </c>
      <c r="S1065">
        <v>9.5299999999999994</v>
      </c>
      <c r="T1065" s="154" t="e">
        <f t="shared" si="151"/>
        <v>#VALUE!</v>
      </c>
      <c r="U1065">
        <v>9.5299999999999994</v>
      </c>
      <c r="V1065" s="154" t="e">
        <f t="shared" si="152"/>
        <v>#VALUE!</v>
      </c>
      <c r="W1065">
        <v>9.5299999999999994</v>
      </c>
      <c r="X1065" s="157" t="e">
        <f t="shared" si="153"/>
        <v>#VALUE!</v>
      </c>
      <c r="Y1065">
        <v>9.5299999999999994</v>
      </c>
      <c r="Z1065" s="154" t="e">
        <f t="shared" si="154"/>
        <v>#VALUE!</v>
      </c>
      <c r="AA1065">
        <v>9.5299999999999994</v>
      </c>
      <c r="AB1065" s="154" t="e">
        <f t="shared" si="155"/>
        <v>#VALUE!</v>
      </c>
      <c r="AC1065">
        <v>9.5299999999999994</v>
      </c>
      <c r="AD1065" s="154" t="e">
        <f t="shared" si="156"/>
        <v>#VALUE!</v>
      </c>
      <c r="AE1065">
        <v>9.5299999999999994</v>
      </c>
    </row>
    <row r="1066" spans="12:31" ht="15" x14ac:dyDescent="0.2">
      <c r="L1066" s="154" t="e">
        <f t="shared" si="147"/>
        <v>#VALUE!</v>
      </c>
      <c r="M1066">
        <v>9.5399999999999991</v>
      </c>
      <c r="N1066" s="154" t="e">
        <f t="shared" si="148"/>
        <v>#VALUE!</v>
      </c>
      <c r="O1066">
        <v>9.5399999999999991</v>
      </c>
      <c r="P1066" s="154" t="e">
        <f t="shared" si="149"/>
        <v>#VALUE!</v>
      </c>
      <c r="Q1066">
        <v>9.5399999999999991</v>
      </c>
      <c r="R1066" s="154" t="e">
        <f t="shared" si="150"/>
        <v>#VALUE!</v>
      </c>
      <c r="S1066">
        <v>9.5399999999999991</v>
      </c>
      <c r="T1066" s="154" t="e">
        <f t="shared" si="151"/>
        <v>#VALUE!</v>
      </c>
      <c r="U1066">
        <v>9.5399999999999991</v>
      </c>
      <c r="V1066" s="154" t="e">
        <f t="shared" si="152"/>
        <v>#VALUE!</v>
      </c>
      <c r="W1066">
        <v>9.5399999999999991</v>
      </c>
      <c r="X1066" s="157" t="e">
        <f t="shared" si="153"/>
        <v>#VALUE!</v>
      </c>
      <c r="Y1066">
        <v>9.5399999999999991</v>
      </c>
      <c r="Z1066" s="154" t="e">
        <f t="shared" si="154"/>
        <v>#VALUE!</v>
      </c>
      <c r="AA1066">
        <v>9.5399999999999991</v>
      </c>
      <c r="AB1066" s="154" t="e">
        <f t="shared" si="155"/>
        <v>#VALUE!</v>
      </c>
      <c r="AC1066">
        <v>9.5399999999999991</v>
      </c>
      <c r="AD1066" s="154" t="e">
        <f t="shared" si="156"/>
        <v>#VALUE!</v>
      </c>
      <c r="AE1066">
        <v>9.5399999999999991</v>
      </c>
    </row>
    <row r="1067" spans="12:31" ht="15" x14ac:dyDescent="0.2">
      <c r="L1067" s="154" t="e">
        <f t="shared" si="147"/>
        <v>#VALUE!</v>
      </c>
      <c r="M1067">
        <v>9.5500000000000007</v>
      </c>
      <c r="N1067" s="154" t="e">
        <f t="shared" si="148"/>
        <v>#VALUE!</v>
      </c>
      <c r="O1067">
        <v>9.5500000000000007</v>
      </c>
      <c r="P1067" s="154" t="e">
        <f t="shared" si="149"/>
        <v>#VALUE!</v>
      </c>
      <c r="Q1067">
        <v>9.5500000000000007</v>
      </c>
      <c r="R1067" s="154" t="e">
        <f t="shared" si="150"/>
        <v>#VALUE!</v>
      </c>
      <c r="S1067">
        <v>9.5500000000000007</v>
      </c>
      <c r="T1067" s="154" t="e">
        <f t="shared" si="151"/>
        <v>#VALUE!</v>
      </c>
      <c r="U1067">
        <v>9.5500000000000007</v>
      </c>
      <c r="V1067" s="154" t="e">
        <f t="shared" si="152"/>
        <v>#VALUE!</v>
      </c>
      <c r="W1067">
        <v>9.5500000000000007</v>
      </c>
      <c r="X1067" s="157" t="e">
        <f t="shared" si="153"/>
        <v>#VALUE!</v>
      </c>
      <c r="Y1067">
        <v>9.5500000000000007</v>
      </c>
      <c r="Z1067" s="154" t="e">
        <f t="shared" si="154"/>
        <v>#VALUE!</v>
      </c>
      <c r="AA1067">
        <v>9.5500000000000007</v>
      </c>
      <c r="AB1067" s="154" t="e">
        <f t="shared" si="155"/>
        <v>#VALUE!</v>
      </c>
      <c r="AC1067">
        <v>9.5500000000000007</v>
      </c>
      <c r="AD1067" s="154" t="e">
        <f t="shared" si="156"/>
        <v>#VALUE!</v>
      </c>
      <c r="AE1067">
        <v>9.5500000000000007</v>
      </c>
    </row>
    <row r="1068" spans="12:31" ht="15" x14ac:dyDescent="0.2">
      <c r="L1068" s="154" t="e">
        <f t="shared" si="147"/>
        <v>#VALUE!</v>
      </c>
      <c r="M1068">
        <v>9.56</v>
      </c>
      <c r="N1068" s="154" t="e">
        <f t="shared" si="148"/>
        <v>#VALUE!</v>
      </c>
      <c r="O1068">
        <v>9.56</v>
      </c>
      <c r="P1068" s="154" t="e">
        <f t="shared" si="149"/>
        <v>#VALUE!</v>
      </c>
      <c r="Q1068">
        <v>9.56</v>
      </c>
      <c r="R1068" s="154" t="e">
        <f t="shared" si="150"/>
        <v>#VALUE!</v>
      </c>
      <c r="S1068">
        <v>9.56</v>
      </c>
      <c r="T1068" s="154" t="e">
        <f t="shared" si="151"/>
        <v>#VALUE!</v>
      </c>
      <c r="U1068">
        <v>9.56</v>
      </c>
      <c r="V1068" s="154" t="e">
        <f t="shared" si="152"/>
        <v>#VALUE!</v>
      </c>
      <c r="W1068">
        <v>9.56</v>
      </c>
      <c r="X1068" s="157" t="e">
        <f t="shared" si="153"/>
        <v>#VALUE!</v>
      </c>
      <c r="Y1068">
        <v>9.56</v>
      </c>
      <c r="Z1068" s="154" t="e">
        <f t="shared" si="154"/>
        <v>#VALUE!</v>
      </c>
      <c r="AA1068">
        <v>9.56</v>
      </c>
      <c r="AB1068" s="154" t="e">
        <f t="shared" si="155"/>
        <v>#VALUE!</v>
      </c>
      <c r="AC1068">
        <v>9.56</v>
      </c>
      <c r="AD1068" s="154" t="e">
        <f t="shared" si="156"/>
        <v>#VALUE!</v>
      </c>
      <c r="AE1068">
        <v>9.56</v>
      </c>
    </row>
    <row r="1069" spans="12:31" ht="15" x14ac:dyDescent="0.2">
      <c r="L1069" s="154" t="e">
        <f t="shared" si="147"/>
        <v>#VALUE!</v>
      </c>
      <c r="M1069">
        <v>9.57</v>
      </c>
      <c r="N1069" s="154" t="e">
        <f t="shared" si="148"/>
        <v>#VALUE!</v>
      </c>
      <c r="O1069">
        <v>9.57</v>
      </c>
      <c r="P1069" s="154" t="e">
        <f t="shared" si="149"/>
        <v>#VALUE!</v>
      </c>
      <c r="Q1069">
        <v>9.57</v>
      </c>
      <c r="R1069" s="154" t="e">
        <f t="shared" si="150"/>
        <v>#VALUE!</v>
      </c>
      <c r="S1069">
        <v>9.57</v>
      </c>
      <c r="T1069" s="154" t="e">
        <f t="shared" si="151"/>
        <v>#VALUE!</v>
      </c>
      <c r="U1069">
        <v>9.57</v>
      </c>
      <c r="V1069" s="154" t="e">
        <f t="shared" si="152"/>
        <v>#VALUE!</v>
      </c>
      <c r="W1069">
        <v>9.57</v>
      </c>
      <c r="X1069" s="157" t="e">
        <f t="shared" si="153"/>
        <v>#VALUE!</v>
      </c>
      <c r="Y1069">
        <v>9.57</v>
      </c>
      <c r="Z1069" s="154" t="e">
        <f t="shared" si="154"/>
        <v>#VALUE!</v>
      </c>
      <c r="AA1069">
        <v>9.57</v>
      </c>
      <c r="AB1069" s="154" t="e">
        <f t="shared" si="155"/>
        <v>#VALUE!</v>
      </c>
      <c r="AC1069">
        <v>9.57</v>
      </c>
      <c r="AD1069" s="154" t="e">
        <f t="shared" si="156"/>
        <v>#VALUE!</v>
      </c>
      <c r="AE1069">
        <v>9.57</v>
      </c>
    </row>
    <row r="1070" spans="12:31" ht="15" x14ac:dyDescent="0.2">
      <c r="L1070" s="154" t="e">
        <f t="shared" si="147"/>
        <v>#VALUE!</v>
      </c>
      <c r="M1070">
        <v>9.58</v>
      </c>
      <c r="N1070" s="154" t="e">
        <f t="shared" si="148"/>
        <v>#VALUE!</v>
      </c>
      <c r="O1070">
        <v>9.58</v>
      </c>
      <c r="P1070" s="154" t="e">
        <f t="shared" si="149"/>
        <v>#VALUE!</v>
      </c>
      <c r="Q1070">
        <v>9.58</v>
      </c>
      <c r="R1070" s="154" t="e">
        <f t="shared" si="150"/>
        <v>#VALUE!</v>
      </c>
      <c r="S1070">
        <v>9.58</v>
      </c>
      <c r="T1070" s="154" t="e">
        <f t="shared" si="151"/>
        <v>#VALUE!</v>
      </c>
      <c r="U1070">
        <v>9.58</v>
      </c>
      <c r="V1070" s="154" t="e">
        <f t="shared" si="152"/>
        <v>#VALUE!</v>
      </c>
      <c r="W1070">
        <v>9.58</v>
      </c>
      <c r="X1070" s="157" t="e">
        <f t="shared" si="153"/>
        <v>#VALUE!</v>
      </c>
      <c r="Y1070">
        <v>9.58</v>
      </c>
      <c r="Z1070" s="154" t="e">
        <f t="shared" si="154"/>
        <v>#VALUE!</v>
      </c>
      <c r="AA1070">
        <v>9.58</v>
      </c>
      <c r="AB1070" s="154" t="e">
        <f t="shared" si="155"/>
        <v>#VALUE!</v>
      </c>
      <c r="AC1070">
        <v>9.58</v>
      </c>
      <c r="AD1070" s="154" t="e">
        <f t="shared" si="156"/>
        <v>#VALUE!</v>
      </c>
      <c r="AE1070">
        <v>9.58</v>
      </c>
    </row>
    <row r="1071" spans="12:31" ht="15" x14ac:dyDescent="0.2">
      <c r="L1071" s="154" t="e">
        <f t="shared" si="147"/>
        <v>#VALUE!</v>
      </c>
      <c r="M1071">
        <v>9.59</v>
      </c>
      <c r="N1071" s="154" t="e">
        <f t="shared" si="148"/>
        <v>#VALUE!</v>
      </c>
      <c r="O1071">
        <v>9.59</v>
      </c>
      <c r="P1071" s="154" t="e">
        <f t="shared" si="149"/>
        <v>#VALUE!</v>
      </c>
      <c r="Q1071">
        <v>9.59</v>
      </c>
      <c r="R1071" s="154" t="e">
        <f t="shared" si="150"/>
        <v>#VALUE!</v>
      </c>
      <c r="S1071">
        <v>9.59</v>
      </c>
      <c r="T1071" s="154" t="e">
        <f t="shared" si="151"/>
        <v>#VALUE!</v>
      </c>
      <c r="U1071">
        <v>9.59</v>
      </c>
      <c r="V1071" s="154" t="e">
        <f t="shared" si="152"/>
        <v>#VALUE!</v>
      </c>
      <c r="W1071">
        <v>9.59</v>
      </c>
      <c r="X1071" s="157" t="e">
        <f t="shared" si="153"/>
        <v>#VALUE!</v>
      </c>
      <c r="Y1071">
        <v>9.59</v>
      </c>
      <c r="Z1071" s="154" t="e">
        <f t="shared" si="154"/>
        <v>#VALUE!</v>
      </c>
      <c r="AA1071">
        <v>9.59</v>
      </c>
      <c r="AB1071" s="154" t="e">
        <f t="shared" si="155"/>
        <v>#VALUE!</v>
      </c>
      <c r="AC1071">
        <v>9.59</v>
      </c>
      <c r="AD1071" s="154" t="e">
        <f t="shared" si="156"/>
        <v>#VALUE!</v>
      </c>
      <c r="AE1071">
        <v>9.59</v>
      </c>
    </row>
    <row r="1072" spans="12:31" ht="15" x14ac:dyDescent="0.2">
      <c r="L1072" s="154" t="e">
        <f t="shared" si="147"/>
        <v>#VALUE!</v>
      </c>
      <c r="M1072">
        <v>9.6</v>
      </c>
      <c r="N1072" s="154" t="e">
        <f t="shared" si="148"/>
        <v>#VALUE!</v>
      </c>
      <c r="O1072">
        <v>9.6</v>
      </c>
      <c r="P1072" s="154" t="e">
        <f t="shared" si="149"/>
        <v>#VALUE!</v>
      </c>
      <c r="Q1072">
        <v>9.6</v>
      </c>
      <c r="R1072" s="154" t="e">
        <f t="shared" si="150"/>
        <v>#VALUE!</v>
      </c>
      <c r="S1072">
        <v>9.6</v>
      </c>
      <c r="T1072" s="154" t="e">
        <f t="shared" si="151"/>
        <v>#VALUE!</v>
      </c>
      <c r="U1072">
        <v>9.6</v>
      </c>
      <c r="V1072" s="154" t="e">
        <f t="shared" si="152"/>
        <v>#VALUE!</v>
      </c>
      <c r="W1072">
        <v>9.6</v>
      </c>
      <c r="X1072" s="157" t="e">
        <f t="shared" si="153"/>
        <v>#VALUE!</v>
      </c>
      <c r="Y1072">
        <v>9.6</v>
      </c>
      <c r="Z1072" s="154" t="e">
        <f t="shared" si="154"/>
        <v>#VALUE!</v>
      </c>
      <c r="AA1072">
        <v>9.6</v>
      </c>
      <c r="AB1072" s="154" t="e">
        <f t="shared" si="155"/>
        <v>#VALUE!</v>
      </c>
      <c r="AC1072">
        <v>9.6</v>
      </c>
      <c r="AD1072" s="154" t="e">
        <f t="shared" si="156"/>
        <v>#VALUE!</v>
      </c>
      <c r="AE1072">
        <v>9.6</v>
      </c>
    </row>
    <row r="1073" spans="12:31" ht="15" x14ac:dyDescent="0.2">
      <c r="L1073" s="154" t="e">
        <f t="shared" ref="L1073:L1136" si="157">((1.486/$D$33)*((((PI()*($D$46/12)^2)/4)-((($D$46/12)/2)^2*((2*ACOS(((($D$46/12)/2)-(($D$46/12)-(M1073/12)))/(($D$46/12)/2)))-SIN(2*ACOS(((($D$46/12)/2)-(($D$46/12)-(M1073/12)))/(($D$46/12)/2))))/2))/((PI()*($D$46/12))-((2*ACOS(((($D$46/12)/2)-(($D$46/12)-(M1073/12)))/(($D$46/12)/2)))*(($D$46/12)/2))))^(2/3)*$H$17^0.5)*(((PI()*($D$46/12)^2)/4)-((($D$46/12)/2)^2*((2*ACOS(((($D$46/12)/2)-(($D$46/12)-(M1073/12)))/(($D$46/12)/2)))-SIN(2*ACOS(((($D$46/12)/2)-(($D$46/12)-(M1073/12)))/(($D$46/12)/2))))/2))</f>
        <v>#VALUE!</v>
      </c>
      <c r="M1073">
        <v>9.61</v>
      </c>
      <c r="N1073" s="154" t="e">
        <f t="shared" ref="N1073:N1136" si="158">((1.486/$D$34)*((((PI()*($D$47/12)^2)/4)-((($D$47/12)/2)^2*((2*ACOS(((($D$47/12)/2)-(($D$47/12)-(O1073/12)))/(($D$47/12)/2)))-SIN(2*ACOS(((($D$47/12)/2)-(($D$47/12)-(O1073/12)))/(($D$47/12)/2))))/2))/((PI()*($D$47/12))-((2*ACOS(((($D$47/12)/2)-(($D$47/12)-(O1073/12)))/(($D$47/12)/2)))*(($D$47/12)/2))))^(2/3)*$H$18^0.5)*(((PI()*($D$47/12)^2)/4)-((($D$47/12)/2)^2*((2*ACOS(((($D$47/12)/2)-(($D$47/12)-(O1073/12)))/(($D$47/12)/2)))-SIN(2*ACOS(((($D$47/12)/2)-(($D$47/12)-(O1073/12)))/(($D$47/12)/2))))/2))</f>
        <v>#VALUE!</v>
      </c>
      <c r="O1073">
        <v>9.61</v>
      </c>
      <c r="P1073" s="154" t="e">
        <f t="shared" ref="P1073:P1136" si="159">((1.486/$D$35)*((((PI()*($D$48/12)^2)/4)-((($D$48/12)/2)^2*((2*ACOS(((($D$48/12)/2)-(($D$48/12)-(Q1073/12)))/(($D$48/12)/2)))-SIN(2*ACOS(((($D$48/12)/2)-(($D$48/12)-(Q1073/12)))/(($D$48/12)/2))))/2))/((PI()*($D$48/12))-((2*ACOS(((($D$48/12)/2)-(($D$48/12)-(Q1073/12)))/(($D$48/12)/2)))*(($D$48/12)/2))))^(2/3)*$H$19^0.5)*(((PI()*($D$48/12)^2)/4)-((($D$48/12)/2)^2*((2*ACOS(((($D$48/12)/2)-(($D$48/12)-(Q1073/12)))/(($D$48/12)/2)))-SIN(2*ACOS(((($D$48/12)/2)-(($D$48/12)-(Q1073/12)))/(($D$48/12)/2))))/2))</f>
        <v>#VALUE!</v>
      </c>
      <c r="Q1073">
        <v>9.61</v>
      </c>
      <c r="R1073" s="154" t="e">
        <f t="shared" ref="R1073:R1136" si="160">((1.486/$D$36)*((((PI()*($D$49/12)^2)/4)-((($D$49/12)/2)^2*((2*ACOS(((($D$49/12)/2)-(($D$49/12)-(S1073/12)))/(($D$49/12)/2)))-SIN(2*ACOS(((($D$49/12)/2)-(($D$49/12)-(S1073/12)))/(($D$49/12)/2))))/2))/((PI()*($D$49/12))-((2*ACOS(((($D$49/12)/2)-(($D$49/12)-(S1073/12)))/(($D$49/12)/2)))*(($D$49/12)/2))))^(2/3)*$H$20^0.5)*(((PI()*($D$49/12)^2)/4)-((($D$49/12)/2)^2*((2*ACOS(((($D$49/12)/2)-(($D$49/12)-(S1073/12)))/(($D$49/12)/2)))-SIN(2*ACOS(((($D$49/12)/2)-(($D$49/12)-(S1073/12)))/(($D$49/12)/2))))/2))</f>
        <v>#VALUE!</v>
      </c>
      <c r="S1073">
        <v>9.61</v>
      </c>
      <c r="T1073" s="154" t="e">
        <f t="shared" ref="T1073:T1136" si="161">((1.486/$D$37)*((((PI()*($D$50/12)^2)/4)-((($D$50/12)/2)^2*((2*ACOS(((($D$50/12)/2)-(($D$50/12)-(U1073/12)))/(($D$50/12)/2)))-SIN(2*ACOS(((($D$50/12)/2)-(($D$50/12)-(U1073/12)))/(($D$50/12)/2))))/2))/((PI()*($D$50/12))-((2*ACOS(((($D$50/12)/2)-(($D$50/12)-(U1073/12)))/(($D$50/12)/2)))*(($D$50/12)/2))))^(2/3)*$H$21^0.5)*(((PI()*($D$50/12)^2)/4)-((($D$50/12)/2)^2*((2*ACOS(((($D$50/12)/2)-(($D$50/12)-(U1073/12)))/(($D$50/12)/2)))-SIN(2*ACOS(((($D$50/12)/2)-(($D$50/12)-(U1073/12)))/(($D$50/12)/2))))/2))</f>
        <v>#VALUE!</v>
      </c>
      <c r="U1073">
        <v>9.61</v>
      </c>
      <c r="V1073" s="154" t="e">
        <f t="shared" ref="V1073:V1136" si="162">((1.486/$D$38)*((((PI()*($D$51/12)^2)/4)-((($D$51/12)/2)^2*((2*ACOS(((($D$51/12)/2)-(($D$51/12)-(W1073/12)))/(($D$51/12)/2)))-SIN(2*ACOS(((($D$51/12)/2)-(($D$51/12)-(W1073/12)))/(($D$51/12)/2))))/2))/((PI()*($D$51/12))-((2*ACOS(((($D$51/12)/2)-(($D$51/12)-(W1073/12)))/(($D$51/12)/2)))*(($D$51/12)/2))))^(2/3)*$H$22^0.5)*(((PI()*($D$51/12)^2)/4)-((($D$51/12)/2)^2*((2*ACOS(((($D$51/12)/2)-(($D$51/12)-(W1073/12)))/(($D$51/12)/2)))-SIN(2*ACOS(((($D$51/12)/2)-(($D$51/12)-(W1073/12)))/(($D$51/12)/2))))/2))</f>
        <v>#VALUE!</v>
      </c>
      <c r="W1073">
        <v>9.61</v>
      </c>
      <c r="X1073" s="157" t="e">
        <f t="shared" ref="X1073:X1136" si="163">((1.486/$D$39)*((((PI()*($D$52/12)^2)/4)-((($D$52/12)/2)^2*((2*ACOS(((($D$52/12)/2)-(($D$52/12)-(Y1073/12)))/(($D$52/12)/2)))-SIN(2*ACOS(((($D$52/12)/2)-(($D$52/12)-(Y1073/12)))/(($D$52/12)/2))))/2))/((PI()*($D$52/12))-((2*ACOS(((($D$52/12)/2)-(($D$52/12)-(Y1073/12)))/(($D$52/12)/2)))*(($D$52/12)/2))))^(2/3)*$H$23^0.5)*(((PI()*($D$52/12)^2)/4)-((($D$52/12)/2)^2*((2*ACOS(((($D$52/12)/2)-(($D$52/12)-(Y1073/12)))/(($D$52/12)/2)))-SIN(2*ACOS(((($D$52/12)/2)-(($D$52/12)-(Y1073/12)))/(($D$52/12)/2))))/2))</f>
        <v>#VALUE!</v>
      </c>
      <c r="Y1073">
        <v>9.61</v>
      </c>
      <c r="Z1073" s="154" t="e">
        <f t="shared" ref="Z1073:Z1136" si="164">((1.486/$D$40)*((((PI()*($D$53/12)^2)/4)-((($D$53/12)/2)^2*((2*ACOS(((($D$53/12)/2)-(($D$53/12)-(AA1073/12)))/(($D$53/12)/2)))-SIN(2*ACOS(((($D$53/12)/2)-(($D$53/12)-(AA1073/12)))/(($D$53/12)/2))))/2))/((PI()*($D$53/12))-((2*ACOS(((($D$53/12)/2)-(($D$53/12)-(AA1073/12)))/(($D$53/12)/2)))*(($D$53/12)/2))))^(2/3)*$H$24^0.5)*(((PI()*($D$53/12)^2)/4)-((($D$53/12)/2)^2*((2*ACOS(((($D$53/12)/2)-(($D$53/12)-(AA1073/12)))/(($D$53/12)/2)))-SIN(2*ACOS(((($D$53/12)/2)-(($D$53/12)-(AA1073/12)))/(($D$53/12)/2))))/2))</f>
        <v>#VALUE!</v>
      </c>
      <c r="AA1073">
        <v>9.61</v>
      </c>
      <c r="AB1073" s="154" t="e">
        <f t="shared" ref="AB1073:AB1136" si="165">((1.486/$D$41)*((((PI()*($D$54/12)^2)/4)-((($D$54/12)/2)^2*((2*ACOS(((($D$54/12)/2)-(($D$54/12)-(AC1073/12)))/(($D$54/12)/2)))-SIN(2*ACOS(((($D$54/12)/2)-(($D$54/12)-(AC1073/12)))/(($D$54/12)/2))))/2))/((PI()*($D$54/12))-((2*ACOS(((($D$54/12)/2)-(($D$54/12)-(AC1073/12)))/(($D$54/12)/2)))*(($D$54/12)/2))))^(2/3)*$H$25^0.5)*(((PI()*($D$54/12)^2)/4)-((($D$54/12)/2)^2*((2*ACOS(((($D$54/12)/2)-(($D$54/12)-(AC1073/12)))/(($D$54/12)/2)))-SIN(2*ACOS(((($D$54/12)/2)-(($D$54/12)-(AC1073/12)))/(($D$54/12)/2))))/2))</f>
        <v>#VALUE!</v>
      </c>
      <c r="AC1073">
        <v>9.61</v>
      </c>
      <c r="AD1073" s="154" t="e">
        <f t="shared" ref="AD1073:AD1136" si="166">((1.486/$D$42)*((((PI()*($D$55/12)^2)/4)-((($D$55/12)/2)^2*((2*ACOS(((($D$55/12)/2)-(($D$55/12)-(AE1073/12)))/(($D$55/12)/2)))-SIN(2*ACOS(((($D$55/12)/2)-(($D$55/12)-(AE1073/12)))/(($D$55/12)/2))))/2))/((PI()*($D$55/12))-((2*ACOS(((($D$55/12)/2)-(($D$55/12)-(AE1073/12)))/(($D$55/12)/2)))*(($D$55/12)/2))))^(2/3)*$H$26^0.5)*(((PI()*($D$55/12)^2)/4)-((($D$55/12)/2)^2*((2*ACOS(((($D$55/12)/2)-(($D$55/12)-(AE1073/12)))/(($D$55/12)/2)))-SIN(2*ACOS(((($D$55/12)/2)-(($D$55/12)-(AE1073/12)))/(($D$55/12)/2))))/2))</f>
        <v>#VALUE!</v>
      </c>
      <c r="AE1073">
        <v>9.61</v>
      </c>
    </row>
    <row r="1074" spans="12:31" ht="15" x14ac:dyDescent="0.2">
      <c r="L1074" s="154" t="e">
        <f t="shared" si="157"/>
        <v>#VALUE!</v>
      </c>
      <c r="M1074">
        <v>9.6199999999999992</v>
      </c>
      <c r="N1074" s="154" t="e">
        <f t="shared" si="158"/>
        <v>#VALUE!</v>
      </c>
      <c r="O1074">
        <v>9.6199999999999992</v>
      </c>
      <c r="P1074" s="154" t="e">
        <f t="shared" si="159"/>
        <v>#VALUE!</v>
      </c>
      <c r="Q1074">
        <v>9.6199999999999992</v>
      </c>
      <c r="R1074" s="154" t="e">
        <f t="shared" si="160"/>
        <v>#VALUE!</v>
      </c>
      <c r="S1074">
        <v>9.6199999999999992</v>
      </c>
      <c r="T1074" s="154" t="e">
        <f t="shared" si="161"/>
        <v>#VALUE!</v>
      </c>
      <c r="U1074">
        <v>9.6199999999999992</v>
      </c>
      <c r="V1074" s="154" t="e">
        <f t="shared" si="162"/>
        <v>#VALUE!</v>
      </c>
      <c r="W1074">
        <v>9.6199999999999992</v>
      </c>
      <c r="X1074" s="157" t="e">
        <f t="shared" si="163"/>
        <v>#VALUE!</v>
      </c>
      <c r="Y1074">
        <v>9.6199999999999992</v>
      </c>
      <c r="Z1074" s="154" t="e">
        <f t="shared" si="164"/>
        <v>#VALUE!</v>
      </c>
      <c r="AA1074">
        <v>9.6199999999999992</v>
      </c>
      <c r="AB1074" s="154" t="e">
        <f t="shared" si="165"/>
        <v>#VALUE!</v>
      </c>
      <c r="AC1074">
        <v>9.6199999999999992</v>
      </c>
      <c r="AD1074" s="154" t="e">
        <f t="shared" si="166"/>
        <v>#VALUE!</v>
      </c>
      <c r="AE1074">
        <v>9.6199999999999992</v>
      </c>
    </row>
    <row r="1075" spans="12:31" ht="15" x14ac:dyDescent="0.2">
      <c r="L1075" s="154" t="e">
        <f t="shared" si="157"/>
        <v>#VALUE!</v>
      </c>
      <c r="M1075">
        <v>9.6300000000000008</v>
      </c>
      <c r="N1075" s="154" t="e">
        <f t="shared" si="158"/>
        <v>#VALUE!</v>
      </c>
      <c r="O1075">
        <v>9.6300000000000008</v>
      </c>
      <c r="P1075" s="154" t="e">
        <f t="shared" si="159"/>
        <v>#VALUE!</v>
      </c>
      <c r="Q1075">
        <v>9.6300000000000008</v>
      </c>
      <c r="R1075" s="154" t="e">
        <f t="shared" si="160"/>
        <v>#VALUE!</v>
      </c>
      <c r="S1075">
        <v>9.6300000000000008</v>
      </c>
      <c r="T1075" s="154" t="e">
        <f t="shared" si="161"/>
        <v>#VALUE!</v>
      </c>
      <c r="U1075">
        <v>9.6300000000000008</v>
      </c>
      <c r="V1075" s="154" t="e">
        <f t="shared" si="162"/>
        <v>#VALUE!</v>
      </c>
      <c r="W1075">
        <v>9.6300000000000008</v>
      </c>
      <c r="X1075" s="157" t="e">
        <f t="shared" si="163"/>
        <v>#VALUE!</v>
      </c>
      <c r="Y1075">
        <v>9.6300000000000008</v>
      </c>
      <c r="Z1075" s="154" t="e">
        <f t="shared" si="164"/>
        <v>#VALUE!</v>
      </c>
      <c r="AA1075">
        <v>9.6300000000000008</v>
      </c>
      <c r="AB1075" s="154" t="e">
        <f t="shared" si="165"/>
        <v>#VALUE!</v>
      </c>
      <c r="AC1075">
        <v>9.6300000000000008</v>
      </c>
      <c r="AD1075" s="154" t="e">
        <f t="shared" si="166"/>
        <v>#VALUE!</v>
      </c>
      <c r="AE1075">
        <v>9.6300000000000008</v>
      </c>
    </row>
    <row r="1076" spans="12:31" ht="15" x14ac:dyDescent="0.2">
      <c r="L1076" s="154" t="e">
        <f t="shared" si="157"/>
        <v>#VALUE!</v>
      </c>
      <c r="M1076">
        <v>9.64</v>
      </c>
      <c r="N1076" s="154" t="e">
        <f t="shared" si="158"/>
        <v>#VALUE!</v>
      </c>
      <c r="O1076">
        <v>9.64</v>
      </c>
      <c r="P1076" s="154" t="e">
        <f t="shared" si="159"/>
        <v>#VALUE!</v>
      </c>
      <c r="Q1076">
        <v>9.64</v>
      </c>
      <c r="R1076" s="154" t="e">
        <f t="shared" si="160"/>
        <v>#VALUE!</v>
      </c>
      <c r="S1076">
        <v>9.64</v>
      </c>
      <c r="T1076" s="154" t="e">
        <f t="shared" si="161"/>
        <v>#VALUE!</v>
      </c>
      <c r="U1076">
        <v>9.64</v>
      </c>
      <c r="V1076" s="154" t="e">
        <f t="shared" si="162"/>
        <v>#VALUE!</v>
      </c>
      <c r="W1076">
        <v>9.64</v>
      </c>
      <c r="X1076" s="157" t="e">
        <f t="shared" si="163"/>
        <v>#VALUE!</v>
      </c>
      <c r="Y1076">
        <v>9.64</v>
      </c>
      <c r="Z1076" s="154" t="e">
        <f t="shared" si="164"/>
        <v>#VALUE!</v>
      </c>
      <c r="AA1076">
        <v>9.64</v>
      </c>
      <c r="AB1076" s="154" t="e">
        <f t="shared" si="165"/>
        <v>#VALUE!</v>
      </c>
      <c r="AC1076">
        <v>9.64</v>
      </c>
      <c r="AD1076" s="154" t="e">
        <f t="shared" si="166"/>
        <v>#VALUE!</v>
      </c>
      <c r="AE1076">
        <v>9.64</v>
      </c>
    </row>
    <row r="1077" spans="12:31" ht="15" x14ac:dyDescent="0.2">
      <c r="L1077" s="154" t="e">
        <f t="shared" si="157"/>
        <v>#VALUE!</v>
      </c>
      <c r="M1077">
        <v>9.65</v>
      </c>
      <c r="N1077" s="154" t="e">
        <f t="shared" si="158"/>
        <v>#VALUE!</v>
      </c>
      <c r="O1077">
        <v>9.65</v>
      </c>
      <c r="P1077" s="154" t="e">
        <f t="shared" si="159"/>
        <v>#VALUE!</v>
      </c>
      <c r="Q1077">
        <v>9.65</v>
      </c>
      <c r="R1077" s="154" t="e">
        <f t="shared" si="160"/>
        <v>#VALUE!</v>
      </c>
      <c r="S1077">
        <v>9.65</v>
      </c>
      <c r="T1077" s="154" t="e">
        <f t="shared" si="161"/>
        <v>#VALUE!</v>
      </c>
      <c r="U1077">
        <v>9.65</v>
      </c>
      <c r="V1077" s="154" t="e">
        <f t="shared" si="162"/>
        <v>#VALUE!</v>
      </c>
      <c r="W1077">
        <v>9.65</v>
      </c>
      <c r="X1077" s="157" t="e">
        <f t="shared" si="163"/>
        <v>#VALUE!</v>
      </c>
      <c r="Y1077">
        <v>9.65</v>
      </c>
      <c r="Z1077" s="154" t="e">
        <f t="shared" si="164"/>
        <v>#VALUE!</v>
      </c>
      <c r="AA1077">
        <v>9.65</v>
      </c>
      <c r="AB1077" s="154" t="e">
        <f t="shared" si="165"/>
        <v>#VALUE!</v>
      </c>
      <c r="AC1077">
        <v>9.65</v>
      </c>
      <c r="AD1077" s="154" t="e">
        <f t="shared" si="166"/>
        <v>#VALUE!</v>
      </c>
      <c r="AE1077">
        <v>9.65</v>
      </c>
    </row>
    <row r="1078" spans="12:31" ht="15" x14ac:dyDescent="0.2">
      <c r="L1078" s="154" t="e">
        <f t="shared" si="157"/>
        <v>#VALUE!</v>
      </c>
      <c r="M1078">
        <v>9.66</v>
      </c>
      <c r="N1078" s="154" t="e">
        <f t="shared" si="158"/>
        <v>#VALUE!</v>
      </c>
      <c r="O1078">
        <v>9.66</v>
      </c>
      <c r="P1078" s="154" t="e">
        <f t="shared" si="159"/>
        <v>#VALUE!</v>
      </c>
      <c r="Q1078">
        <v>9.66</v>
      </c>
      <c r="R1078" s="154" t="e">
        <f t="shared" si="160"/>
        <v>#VALUE!</v>
      </c>
      <c r="S1078">
        <v>9.66</v>
      </c>
      <c r="T1078" s="154" t="e">
        <f t="shared" si="161"/>
        <v>#VALUE!</v>
      </c>
      <c r="U1078">
        <v>9.66</v>
      </c>
      <c r="V1078" s="154" t="e">
        <f t="shared" si="162"/>
        <v>#VALUE!</v>
      </c>
      <c r="W1078">
        <v>9.66</v>
      </c>
      <c r="X1078" s="157" t="e">
        <f t="shared" si="163"/>
        <v>#VALUE!</v>
      </c>
      <c r="Y1078">
        <v>9.66</v>
      </c>
      <c r="Z1078" s="154" t="e">
        <f t="shared" si="164"/>
        <v>#VALUE!</v>
      </c>
      <c r="AA1078">
        <v>9.66</v>
      </c>
      <c r="AB1078" s="154" t="e">
        <f t="shared" si="165"/>
        <v>#VALUE!</v>
      </c>
      <c r="AC1078">
        <v>9.66</v>
      </c>
      <c r="AD1078" s="154" t="e">
        <f t="shared" si="166"/>
        <v>#VALUE!</v>
      </c>
      <c r="AE1078">
        <v>9.66</v>
      </c>
    </row>
    <row r="1079" spans="12:31" ht="15" x14ac:dyDescent="0.2">
      <c r="L1079" s="154" t="e">
        <f t="shared" si="157"/>
        <v>#VALUE!</v>
      </c>
      <c r="M1079">
        <v>9.67</v>
      </c>
      <c r="N1079" s="154" t="e">
        <f t="shared" si="158"/>
        <v>#VALUE!</v>
      </c>
      <c r="O1079">
        <v>9.67</v>
      </c>
      <c r="P1079" s="154" t="e">
        <f t="shared" si="159"/>
        <v>#VALUE!</v>
      </c>
      <c r="Q1079">
        <v>9.67</v>
      </c>
      <c r="R1079" s="154" t="e">
        <f t="shared" si="160"/>
        <v>#VALUE!</v>
      </c>
      <c r="S1079">
        <v>9.67</v>
      </c>
      <c r="T1079" s="154" t="e">
        <f t="shared" si="161"/>
        <v>#VALUE!</v>
      </c>
      <c r="U1079">
        <v>9.67</v>
      </c>
      <c r="V1079" s="154" t="e">
        <f t="shared" si="162"/>
        <v>#VALUE!</v>
      </c>
      <c r="W1079">
        <v>9.67</v>
      </c>
      <c r="X1079" s="157" t="e">
        <f t="shared" si="163"/>
        <v>#VALUE!</v>
      </c>
      <c r="Y1079">
        <v>9.67</v>
      </c>
      <c r="Z1079" s="154" t="e">
        <f t="shared" si="164"/>
        <v>#VALUE!</v>
      </c>
      <c r="AA1079">
        <v>9.67</v>
      </c>
      <c r="AB1079" s="154" t="e">
        <f t="shared" si="165"/>
        <v>#VALUE!</v>
      </c>
      <c r="AC1079">
        <v>9.67</v>
      </c>
      <c r="AD1079" s="154" t="e">
        <f t="shared" si="166"/>
        <v>#VALUE!</v>
      </c>
      <c r="AE1079">
        <v>9.67</v>
      </c>
    </row>
    <row r="1080" spans="12:31" ht="15" x14ac:dyDescent="0.2">
      <c r="L1080" s="154" t="e">
        <f t="shared" si="157"/>
        <v>#VALUE!</v>
      </c>
      <c r="M1080">
        <v>9.68</v>
      </c>
      <c r="N1080" s="154" t="e">
        <f t="shared" si="158"/>
        <v>#VALUE!</v>
      </c>
      <c r="O1080">
        <v>9.68</v>
      </c>
      <c r="P1080" s="154" t="e">
        <f t="shared" si="159"/>
        <v>#VALUE!</v>
      </c>
      <c r="Q1080">
        <v>9.68</v>
      </c>
      <c r="R1080" s="154" t="e">
        <f t="shared" si="160"/>
        <v>#VALUE!</v>
      </c>
      <c r="S1080">
        <v>9.68</v>
      </c>
      <c r="T1080" s="154" t="e">
        <f t="shared" si="161"/>
        <v>#VALUE!</v>
      </c>
      <c r="U1080">
        <v>9.68</v>
      </c>
      <c r="V1080" s="154" t="e">
        <f t="shared" si="162"/>
        <v>#VALUE!</v>
      </c>
      <c r="W1080">
        <v>9.68</v>
      </c>
      <c r="X1080" s="157" t="e">
        <f t="shared" si="163"/>
        <v>#VALUE!</v>
      </c>
      <c r="Y1080">
        <v>9.68</v>
      </c>
      <c r="Z1080" s="154" t="e">
        <f t="shared" si="164"/>
        <v>#VALUE!</v>
      </c>
      <c r="AA1080">
        <v>9.68</v>
      </c>
      <c r="AB1080" s="154" t="e">
        <f t="shared" si="165"/>
        <v>#VALUE!</v>
      </c>
      <c r="AC1080">
        <v>9.68</v>
      </c>
      <c r="AD1080" s="154" t="e">
        <f t="shared" si="166"/>
        <v>#VALUE!</v>
      </c>
      <c r="AE1080">
        <v>9.68</v>
      </c>
    </row>
    <row r="1081" spans="12:31" ht="15" x14ac:dyDescent="0.2">
      <c r="L1081" s="154" t="e">
        <f t="shared" si="157"/>
        <v>#VALUE!</v>
      </c>
      <c r="M1081">
        <v>9.69</v>
      </c>
      <c r="N1081" s="154" t="e">
        <f t="shared" si="158"/>
        <v>#VALUE!</v>
      </c>
      <c r="O1081">
        <v>9.69</v>
      </c>
      <c r="P1081" s="154" t="e">
        <f t="shared" si="159"/>
        <v>#VALUE!</v>
      </c>
      <c r="Q1081">
        <v>9.69</v>
      </c>
      <c r="R1081" s="154" t="e">
        <f t="shared" si="160"/>
        <v>#VALUE!</v>
      </c>
      <c r="S1081">
        <v>9.69</v>
      </c>
      <c r="T1081" s="154" t="e">
        <f t="shared" si="161"/>
        <v>#VALUE!</v>
      </c>
      <c r="U1081">
        <v>9.69</v>
      </c>
      <c r="V1081" s="154" t="e">
        <f t="shared" si="162"/>
        <v>#VALUE!</v>
      </c>
      <c r="W1081">
        <v>9.69</v>
      </c>
      <c r="X1081" s="157" t="e">
        <f t="shared" si="163"/>
        <v>#VALUE!</v>
      </c>
      <c r="Y1081">
        <v>9.69</v>
      </c>
      <c r="Z1081" s="154" t="e">
        <f t="shared" si="164"/>
        <v>#VALUE!</v>
      </c>
      <c r="AA1081">
        <v>9.69</v>
      </c>
      <c r="AB1081" s="154" t="e">
        <f t="shared" si="165"/>
        <v>#VALUE!</v>
      </c>
      <c r="AC1081">
        <v>9.69</v>
      </c>
      <c r="AD1081" s="154" t="e">
        <f t="shared" si="166"/>
        <v>#VALUE!</v>
      </c>
      <c r="AE1081">
        <v>9.69</v>
      </c>
    </row>
    <row r="1082" spans="12:31" ht="15" x14ac:dyDescent="0.2">
      <c r="L1082" s="154" t="e">
        <f t="shared" si="157"/>
        <v>#VALUE!</v>
      </c>
      <c r="M1082">
        <v>9.6999999999999993</v>
      </c>
      <c r="N1082" s="154" t="e">
        <f t="shared" si="158"/>
        <v>#VALUE!</v>
      </c>
      <c r="O1082">
        <v>9.6999999999999993</v>
      </c>
      <c r="P1082" s="154" t="e">
        <f t="shared" si="159"/>
        <v>#VALUE!</v>
      </c>
      <c r="Q1082">
        <v>9.6999999999999993</v>
      </c>
      <c r="R1082" s="154" t="e">
        <f t="shared" si="160"/>
        <v>#VALUE!</v>
      </c>
      <c r="S1082">
        <v>9.6999999999999993</v>
      </c>
      <c r="T1082" s="154" t="e">
        <f t="shared" si="161"/>
        <v>#VALUE!</v>
      </c>
      <c r="U1082">
        <v>9.6999999999999993</v>
      </c>
      <c r="V1082" s="154" t="e">
        <f t="shared" si="162"/>
        <v>#VALUE!</v>
      </c>
      <c r="W1082">
        <v>9.6999999999999993</v>
      </c>
      <c r="X1082" s="157" t="e">
        <f t="shared" si="163"/>
        <v>#VALUE!</v>
      </c>
      <c r="Y1082">
        <v>9.6999999999999993</v>
      </c>
      <c r="Z1082" s="154" t="e">
        <f t="shared" si="164"/>
        <v>#VALUE!</v>
      </c>
      <c r="AA1082">
        <v>9.6999999999999993</v>
      </c>
      <c r="AB1082" s="154" t="e">
        <f t="shared" si="165"/>
        <v>#VALUE!</v>
      </c>
      <c r="AC1082">
        <v>9.6999999999999993</v>
      </c>
      <c r="AD1082" s="154" t="e">
        <f t="shared" si="166"/>
        <v>#VALUE!</v>
      </c>
      <c r="AE1082">
        <v>9.6999999999999993</v>
      </c>
    </row>
    <row r="1083" spans="12:31" ht="15" x14ac:dyDescent="0.2">
      <c r="L1083" s="154" t="e">
        <f t="shared" si="157"/>
        <v>#VALUE!</v>
      </c>
      <c r="M1083">
        <v>9.7100000000000009</v>
      </c>
      <c r="N1083" s="154" t="e">
        <f t="shared" si="158"/>
        <v>#VALUE!</v>
      </c>
      <c r="O1083">
        <v>9.7100000000000009</v>
      </c>
      <c r="P1083" s="154" t="e">
        <f t="shared" si="159"/>
        <v>#VALUE!</v>
      </c>
      <c r="Q1083">
        <v>9.7100000000000009</v>
      </c>
      <c r="R1083" s="154" t="e">
        <f t="shared" si="160"/>
        <v>#VALUE!</v>
      </c>
      <c r="S1083">
        <v>9.7100000000000009</v>
      </c>
      <c r="T1083" s="154" t="e">
        <f t="shared" si="161"/>
        <v>#VALUE!</v>
      </c>
      <c r="U1083">
        <v>9.7100000000000009</v>
      </c>
      <c r="V1083" s="154" t="e">
        <f t="shared" si="162"/>
        <v>#VALUE!</v>
      </c>
      <c r="W1083">
        <v>9.7100000000000009</v>
      </c>
      <c r="X1083" s="157" t="e">
        <f t="shared" si="163"/>
        <v>#VALUE!</v>
      </c>
      <c r="Y1083">
        <v>9.7100000000000009</v>
      </c>
      <c r="Z1083" s="154" t="e">
        <f t="shared" si="164"/>
        <v>#VALUE!</v>
      </c>
      <c r="AA1083">
        <v>9.7100000000000009</v>
      </c>
      <c r="AB1083" s="154" t="e">
        <f t="shared" si="165"/>
        <v>#VALUE!</v>
      </c>
      <c r="AC1083">
        <v>9.7100000000000009</v>
      </c>
      <c r="AD1083" s="154" t="e">
        <f t="shared" si="166"/>
        <v>#VALUE!</v>
      </c>
      <c r="AE1083">
        <v>9.7100000000000009</v>
      </c>
    </row>
    <row r="1084" spans="12:31" ht="15" x14ac:dyDescent="0.2">
      <c r="L1084" s="154" t="e">
        <f t="shared" si="157"/>
        <v>#VALUE!</v>
      </c>
      <c r="M1084">
        <v>9.7200000000000006</v>
      </c>
      <c r="N1084" s="154" t="e">
        <f t="shared" si="158"/>
        <v>#VALUE!</v>
      </c>
      <c r="O1084">
        <v>9.7200000000000006</v>
      </c>
      <c r="P1084" s="154" t="e">
        <f t="shared" si="159"/>
        <v>#VALUE!</v>
      </c>
      <c r="Q1084">
        <v>9.7200000000000006</v>
      </c>
      <c r="R1084" s="154" t="e">
        <f t="shared" si="160"/>
        <v>#VALUE!</v>
      </c>
      <c r="S1084">
        <v>9.7200000000000006</v>
      </c>
      <c r="T1084" s="154" t="e">
        <f t="shared" si="161"/>
        <v>#VALUE!</v>
      </c>
      <c r="U1084">
        <v>9.7200000000000006</v>
      </c>
      <c r="V1084" s="154" t="e">
        <f t="shared" si="162"/>
        <v>#VALUE!</v>
      </c>
      <c r="W1084">
        <v>9.7200000000000006</v>
      </c>
      <c r="X1084" s="157" t="e">
        <f t="shared" si="163"/>
        <v>#VALUE!</v>
      </c>
      <c r="Y1084">
        <v>9.7200000000000006</v>
      </c>
      <c r="Z1084" s="154" t="e">
        <f t="shared" si="164"/>
        <v>#VALUE!</v>
      </c>
      <c r="AA1084">
        <v>9.7200000000000006</v>
      </c>
      <c r="AB1084" s="154" t="e">
        <f t="shared" si="165"/>
        <v>#VALUE!</v>
      </c>
      <c r="AC1084">
        <v>9.7200000000000006</v>
      </c>
      <c r="AD1084" s="154" t="e">
        <f t="shared" si="166"/>
        <v>#VALUE!</v>
      </c>
      <c r="AE1084">
        <v>9.7200000000000006</v>
      </c>
    </row>
    <row r="1085" spans="12:31" ht="15" x14ac:dyDescent="0.2">
      <c r="L1085" s="154" t="e">
        <f t="shared" si="157"/>
        <v>#VALUE!</v>
      </c>
      <c r="M1085">
        <v>9.73</v>
      </c>
      <c r="N1085" s="154" t="e">
        <f t="shared" si="158"/>
        <v>#VALUE!</v>
      </c>
      <c r="O1085">
        <v>9.73</v>
      </c>
      <c r="P1085" s="154" t="e">
        <f t="shared" si="159"/>
        <v>#VALUE!</v>
      </c>
      <c r="Q1085">
        <v>9.73</v>
      </c>
      <c r="R1085" s="154" t="e">
        <f t="shared" si="160"/>
        <v>#VALUE!</v>
      </c>
      <c r="S1085">
        <v>9.73</v>
      </c>
      <c r="T1085" s="154" t="e">
        <f t="shared" si="161"/>
        <v>#VALUE!</v>
      </c>
      <c r="U1085">
        <v>9.73</v>
      </c>
      <c r="V1085" s="154" t="e">
        <f t="shared" si="162"/>
        <v>#VALUE!</v>
      </c>
      <c r="W1085">
        <v>9.73</v>
      </c>
      <c r="X1085" s="157" t="e">
        <f t="shared" si="163"/>
        <v>#VALUE!</v>
      </c>
      <c r="Y1085">
        <v>9.73</v>
      </c>
      <c r="Z1085" s="154" t="e">
        <f t="shared" si="164"/>
        <v>#VALUE!</v>
      </c>
      <c r="AA1085">
        <v>9.73</v>
      </c>
      <c r="AB1085" s="154" t="e">
        <f t="shared" si="165"/>
        <v>#VALUE!</v>
      </c>
      <c r="AC1085">
        <v>9.73</v>
      </c>
      <c r="AD1085" s="154" t="e">
        <f t="shared" si="166"/>
        <v>#VALUE!</v>
      </c>
      <c r="AE1085">
        <v>9.73</v>
      </c>
    </row>
    <row r="1086" spans="12:31" ht="15" x14ac:dyDescent="0.2">
      <c r="L1086" s="154" t="e">
        <f t="shared" si="157"/>
        <v>#VALUE!</v>
      </c>
      <c r="M1086">
        <v>9.74</v>
      </c>
      <c r="N1086" s="154" t="e">
        <f t="shared" si="158"/>
        <v>#VALUE!</v>
      </c>
      <c r="O1086">
        <v>9.74</v>
      </c>
      <c r="P1086" s="154" t="e">
        <f t="shared" si="159"/>
        <v>#VALUE!</v>
      </c>
      <c r="Q1086">
        <v>9.74</v>
      </c>
      <c r="R1086" s="154" t="e">
        <f t="shared" si="160"/>
        <v>#VALUE!</v>
      </c>
      <c r="S1086">
        <v>9.74</v>
      </c>
      <c r="T1086" s="154" t="e">
        <f t="shared" si="161"/>
        <v>#VALUE!</v>
      </c>
      <c r="U1086">
        <v>9.74</v>
      </c>
      <c r="V1086" s="154" t="e">
        <f t="shared" si="162"/>
        <v>#VALUE!</v>
      </c>
      <c r="W1086">
        <v>9.74</v>
      </c>
      <c r="X1086" s="157" t="e">
        <f t="shared" si="163"/>
        <v>#VALUE!</v>
      </c>
      <c r="Y1086">
        <v>9.74</v>
      </c>
      <c r="Z1086" s="154" t="e">
        <f t="shared" si="164"/>
        <v>#VALUE!</v>
      </c>
      <c r="AA1086">
        <v>9.74</v>
      </c>
      <c r="AB1086" s="154" t="e">
        <f t="shared" si="165"/>
        <v>#VALUE!</v>
      </c>
      <c r="AC1086">
        <v>9.74</v>
      </c>
      <c r="AD1086" s="154" t="e">
        <f t="shared" si="166"/>
        <v>#VALUE!</v>
      </c>
      <c r="AE1086">
        <v>9.74</v>
      </c>
    </row>
    <row r="1087" spans="12:31" ht="15" x14ac:dyDescent="0.2">
      <c r="L1087" s="154" t="e">
        <f t="shared" si="157"/>
        <v>#VALUE!</v>
      </c>
      <c r="M1087">
        <v>9.75</v>
      </c>
      <c r="N1087" s="154" t="e">
        <f t="shared" si="158"/>
        <v>#VALUE!</v>
      </c>
      <c r="O1087">
        <v>9.75</v>
      </c>
      <c r="P1087" s="154" t="e">
        <f t="shared" si="159"/>
        <v>#VALUE!</v>
      </c>
      <c r="Q1087">
        <v>9.75</v>
      </c>
      <c r="R1087" s="154" t="e">
        <f t="shared" si="160"/>
        <v>#VALUE!</v>
      </c>
      <c r="S1087">
        <v>9.75</v>
      </c>
      <c r="T1087" s="154" t="e">
        <f t="shared" si="161"/>
        <v>#VALUE!</v>
      </c>
      <c r="U1087">
        <v>9.75</v>
      </c>
      <c r="V1087" s="154" t="e">
        <f t="shared" si="162"/>
        <v>#VALUE!</v>
      </c>
      <c r="W1087">
        <v>9.75</v>
      </c>
      <c r="X1087" s="157" t="e">
        <f t="shared" si="163"/>
        <v>#VALUE!</v>
      </c>
      <c r="Y1087">
        <v>9.75</v>
      </c>
      <c r="Z1087" s="154" t="e">
        <f t="shared" si="164"/>
        <v>#VALUE!</v>
      </c>
      <c r="AA1087">
        <v>9.75</v>
      </c>
      <c r="AB1087" s="154" t="e">
        <f t="shared" si="165"/>
        <v>#VALUE!</v>
      </c>
      <c r="AC1087">
        <v>9.75</v>
      </c>
      <c r="AD1087" s="154" t="e">
        <f t="shared" si="166"/>
        <v>#VALUE!</v>
      </c>
      <c r="AE1087">
        <v>9.75</v>
      </c>
    </row>
    <row r="1088" spans="12:31" ht="15" x14ac:dyDescent="0.2">
      <c r="L1088" s="154" t="e">
        <f t="shared" si="157"/>
        <v>#VALUE!</v>
      </c>
      <c r="M1088">
        <v>9.76</v>
      </c>
      <c r="N1088" s="154" t="e">
        <f t="shared" si="158"/>
        <v>#VALUE!</v>
      </c>
      <c r="O1088">
        <v>9.76</v>
      </c>
      <c r="P1088" s="154" t="e">
        <f t="shared" si="159"/>
        <v>#VALUE!</v>
      </c>
      <c r="Q1088">
        <v>9.76</v>
      </c>
      <c r="R1088" s="154" t="e">
        <f t="shared" si="160"/>
        <v>#VALUE!</v>
      </c>
      <c r="S1088">
        <v>9.76</v>
      </c>
      <c r="T1088" s="154" t="e">
        <f t="shared" si="161"/>
        <v>#VALUE!</v>
      </c>
      <c r="U1088">
        <v>9.76</v>
      </c>
      <c r="V1088" s="154" t="e">
        <f t="shared" si="162"/>
        <v>#VALUE!</v>
      </c>
      <c r="W1088">
        <v>9.76</v>
      </c>
      <c r="X1088" s="157" t="e">
        <f t="shared" si="163"/>
        <v>#VALUE!</v>
      </c>
      <c r="Y1088">
        <v>9.76</v>
      </c>
      <c r="Z1088" s="154" t="e">
        <f t="shared" si="164"/>
        <v>#VALUE!</v>
      </c>
      <c r="AA1088">
        <v>9.76</v>
      </c>
      <c r="AB1088" s="154" t="e">
        <f t="shared" si="165"/>
        <v>#VALUE!</v>
      </c>
      <c r="AC1088">
        <v>9.76</v>
      </c>
      <c r="AD1088" s="154" t="e">
        <f t="shared" si="166"/>
        <v>#VALUE!</v>
      </c>
      <c r="AE1088">
        <v>9.76</v>
      </c>
    </row>
    <row r="1089" spans="12:31" ht="15" x14ac:dyDescent="0.2">
      <c r="L1089" s="154" t="e">
        <f t="shared" si="157"/>
        <v>#VALUE!</v>
      </c>
      <c r="M1089">
        <v>9.77</v>
      </c>
      <c r="N1089" s="154" t="e">
        <f t="shared" si="158"/>
        <v>#VALUE!</v>
      </c>
      <c r="O1089">
        <v>9.77</v>
      </c>
      <c r="P1089" s="154" t="e">
        <f t="shared" si="159"/>
        <v>#VALUE!</v>
      </c>
      <c r="Q1089">
        <v>9.77</v>
      </c>
      <c r="R1089" s="154" t="e">
        <f t="shared" si="160"/>
        <v>#VALUE!</v>
      </c>
      <c r="S1089">
        <v>9.77</v>
      </c>
      <c r="T1089" s="154" t="e">
        <f t="shared" si="161"/>
        <v>#VALUE!</v>
      </c>
      <c r="U1089">
        <v>9.77</v>
      </c>
      <c r="V1089" s="154" t="e">
        <f t="shared" si="162"/>
        <v>#VALUE!</v>
      </c>
      <c r="W1089">
        <v>9.77</v>
      </c>
      <c r="X1089" s="157" t="e">
        <f t="shared" si="163"/>
        <v>#VALUE!</v>
      </c>
      <c r="Y1089">
        <v>9.77</v>
      </c>
      <c r="Z1089" s="154" t="e">
        <f t="shared" si="164"/>
        <v>#VALUE!</v>
      </c>
      <c r="AA1089">
        <v>9.77</v>
      </c>
      <c r="AB1089" s="154" t="e">
        <f t="shared" si="165"/>
        <v>#VALUE!</v>
      </c>
      <c r="AC1089">
        <v>9.77</v>
      </c>
      <c r="AD1089" s="154" t="e">
        <f t="shared" si="166"/>
        <v>#VALUE!</v>
      </c>
      <c r="AE1089">
        <v>9.77</v>
      </c>
    </row>
    <row r="1090" spans="12:31" ht="15" x14ac:dyDescent="0.2">
      <c r="L1090" s="154" t="e">
        <f t="shared" si="157"/>
        <v>#VALUE!</v>
      </c>
      <c r="M1090">
        <v>9.7799999999999994</v>
      </c>
      <c r="N1090" s="154" t="e">
        <f t="shared" si="158"/>
        <v>#VALUE!</v>
      </c>
      <c r="O1090">
        <v>9.7799999999999994</v>
      </c>
      <c r="P1090" s="154" t="e">
        <f t="shared" si="159"/>
        <v>#VALUE!</v>
      </c>
      <c r="Q1090">
        <v>9.7799999999999994</v>
      </c>
      <c r="R1090" s="154" t="e">
        <f t="shared" si="160"/>
        <v>#VALUE!</v>
      </c>
      <c r="S1090">
        <v>9.7799999999999994</v>
      </c>
      <c r="T1090" s="154" t="e">
        <f t="shared" si="161"/>
        <v>#VALUE!</v>
      </c>
      <c r="U1090">
        <v>9.7799999999999994</v>
      </c>
      <c r="V1090" s="154" t="e">
        <f t="shared" si="162"/>
        <v>#VALUE!</v>
      </c>
      <c r="W1090">
        <v>9.7799999999999994</v>
      </c>
      <c r="X1090" s="157" t="e">
        <f t="shared" si="163"/>
        <v>#VALUE!</v>
      </c>
      <c r="Y1090">
        <v>9.7799999999999994</v>
      </c>
      <c r="Z1090" s="154" t="e">
        <f t="shared" si="164"/>
        <v>#VALUE!</v>
      </c>
      <c r="AA1090">
        <v>9.7799999999999994</v>
      </c>
      <c r="AB1090" s="154" t="e">
        <f t="shared" si="165"/>
        <v>#VALUE!</v>
      </c>
      <c r="AC1090">
        <v>9.7799999999999994</v>
      </c>
      <c r="AD1090" s="154" t="e">
        <f t="shared" si="166"/>
        <v>#VALUE!</v>
      </c>
      <c r="AE1090">
        <v>9.7799999999999994</v>
      </c>
    </row>
    <row r="1091" spans="12:31" ht="15" x14ac:dyDescent="0.2">
      <c r="L1091" s="154" t="e">
        <f t="shared" si="157"/>
        <v>#VALUE!</v>
      </c>
      <c r="M1091">
        <v>9.7899999999999991</v>
      </c>
      <c r="N1091" s="154" t="e">
        <f t="shared" si="158"/>
        <v>#VALUE!</v>
      </c>
      <c r="O1091">
        <v>9.7899999999999991</v>
      </c>
      <c r="P1091" s="154" t="e">
        <f t="shared" si="159"/>
        <v>#VALUE!</v>
      </c>
      <c r="Q1091">
        <v>9.7899999999999991</v>
      </c>
      <c r="R1091" s="154" t="e">
        <f t="shared" si="160"/>
        <v>#VALUE!</v>
      </c>
      <c r="S1091">
        <v>9.7899999999999991</v>
      </c>
      <c r="T1091" s="154" t="e">
        <f t="shared" si="161"/>
        <v>#VALUE!</v>
      </c>
      <c r="U1091">
        <v>9.7899999999999991</v>
      </c>
      <c r="V1091" s="154" t="e">
        <f t="shared" si="162"/>
        <v>#VALUE!</v>
      </c>
      <c r="W1091">
        <v>9.7899999999999991</v>
      </c>
      <c r="X1091" s="157" t="e">
        <f t="shared" si="163"/>
        <v>#VALUE!</v>
      </c>
      <c r="Y1091">
        <v>9.7899999999999991</v>
      </c>
      <c r="Z1091" s="154" t="e">
        <f t="shared" si="164"/>
        <v>#VALUE!</v>
      </c>
      <c r="AA1091">
        <v>9.7899999999999991</v>
      </c>
      <c r="AB1091" s="154" t="e">
        <f t="shared" si="165"/>
        <v>#VALUE!</v>
      </c>
      <c r="AC1091">
        <v>9.7899999999999991</v>
      </c>
      <c r="AD1091" s="154" t="e">
        <f t="shared" si="166"/>
        <v>#VALUE!</v>
      </c>
      <c r="AE1091">
        <v>9.7899999999999991</v>
      </c>
    </row>
    <row r="1092" spans="12:31" ht="15" x14ac:dyDescent="0.2">
      <c r="L1092" s="154" t="e">
        <f t="shared" si="157"/>
        <v>#VALUE!</v>
      </c>
      <c r="M1092">
        <v>9.8000000000000007</v>
      </c>
      <c r="N1092" s="154" t="e">
        <f t="shared" si="158"/>
        <v>#VALUE!</v>
      </c>
      <c r="O1092">
        <v>9.8000000000000007</v>
      </c>
      <c r="P1092" s="154" t="e">
        <f t="shared" si="159"/>
        <v>#VALUE!</v>
      </c>
      <c r="Q1092">
        <v>9.8000000000000007</v>
      </c>
      <c r="R1092" s="154" t="e">
        <f t="shared" si="160"/>
        <v>#VALUE!</v>
      </c>
      <c r="S1092">
        <v>9.8000000000000007</v>
      </c>
      <c r="T1092" s="154" t="e">
        <f t="shared" si="161"/>
        <v>#VALUE!</v>
      </c>
      <c r="U1092">
        <v>9.8000000000000007</v>
      </c>
      <c r="V1092" s="154" t="e">
        <f t="shared" si="162"/>
        <v>#VALUE!</v>
      </c>
      <c r="W1092">
        <v>9.8000000000000007</v>
      </c>
      <c r="X1092" s="157" t="e">
        <f t="shared" si="163"/>
        <v>#VALUE!</v>
      </c>
      <c r="Y1092">
        <v>9.8000000000000007</v>
      </c>
      <c r="Z1092" s="154" t="e">
        <f t="shared" si="164"/>
        <v>#VALUE!</v>
      </c>
      <c r="AA1092">
        <v>9.8000000000000007</v>
      </c>
      <c r="AB1092" s="154" t="e">
        <f t="shared" si="165"/>
        <v>#VALUE!</v>
      </c>
      <c r="AC1092">
        <v>9.8000000000000007</v>
      </c>
      <c r="AD1092" s="154" t="e">
        <f t="shared" si="166"/>
        <v>#VALUE!</v>
      </c>
      <c r="AE1092">
        <v>9.8000000000000007</v>
      </c>
    </row>
    <row r="1093" spans="12:31" ht="15" x14ac:dyDescent="0.2">
      <c r="L1093" s="154" t="e">
        <f t="shared" si="157"/>
        <v>#VALUE!</v>
      </c>
      <c r="M1093">
        <v>9.81</v>
      </c>
      <c r="N1093" s="154" t="e">
        <f t="shared" si="158"/>
        <v>#VALUE!</v>
      </c>
      <c r="O1093">
        <v>9.81</v>
      </c>
      <c r="P1093" s="154" t="e">
        <f t="shared" si="159"/>
        <v>#VALUE!</v>
      </c>
      <c r="Q1093">
        <v>9.81</v>
      </c>
      <c r="R1093" s="154" t="e">
        <f t="shared" si="160"/>
        <v>#VALUE!</v>
      </c>
      <c r="S1093">
        <v>9.81</v>
      </c>
      <c r="T1093" s="154" t="e">
        <f t="shared" si="161"/>
        <v>#VALUE!</v>
      </c>
      <c r="U1093">
        <v>9.81</v>
      </c>
      <c r="V1093" s="154" t="e">
        <f t="shared" si="162"/>
        <v>#VALUE!</v>
      </c>
      <c r="W1093">
        <v>9.81</v>
      </c>
      <c r="X1093" s="157" t="e">
        <f t="shared" si="163"/>
        <v>#VALUE!</v>
      </c>
      <c r="Y1093">
        <v>9.81</v>
      </c>
      <c r="Z1093" s="154" t="e">
        <f t="shared" si="164"/>
        <v>#VALUE!</v>
      </c>
      <c r="AA1093">
        <v>9.81</v>
      </c>
      <c r="AB1093" s="154" t="e">
        <f t="shared" si="165"/>
        <v>#VALUE!</v>
      </c>
      <c r="AC1093">
        <v>9.81</v>
      </c>
      <c r="AD1093" s="154" t="e">
        <f t="shared" si="166"/>
        <v>#VALUE!</v>
      </c>
      <c r="AE1093">
        <v>9.81</v>
      </c>
    </row>
    <row r="1094" spans="12:31" ht="15" x14ac:dyDescent="0.2">
      <c r="L1094" s="154" t="e">
        <f t="shared" si="157"/>
        <v>#VALUE!</v>
      </c>
      <c r="M1094">
        <v>9.82</v>
      </c>
      <c r="N1094" s="154" t="e">
        <f t="shared" si="158"/>
        <v>#VALUE!</v>
      </c>
      <c r="O1094">
        <v>9.82</v>
      </c>
      <c r="P1094" s="154" t="e">
        <f t="shared" si="159"/>
        <v>#VALUE!</v>
      </c>
      <c r="Q1094">
        <v>9.82</v>
      </c>
      <c r="R1094" s="154" t="e">
        <f t="shared" si="160"/>
        <v>#VALUE!</v>
      </c>
      <c r="S1094">
        <v>9.82</v>
      </c>
      <c r="T1094" s="154" t="e">
        <f t="shared" si="161"/>
        <v>#VALUE!</v>
      </c>
      <c r="U1094">
        <v>9.82</v>
      </c>
      <c r="V1094" s="154" t="e">
        <f t="shared" si="162"/>
        <v>#VALUE!</v>
      </c>
      <c r="W1094">
        <v>9.82</v>
      </c>
      <c r="X1094" s="157" t="e">
        <f t="shared" si="163"/>
        <v>#VALUE!</v>
      </c>
      <c r="Y1094">
        <v>9.82</v>
      </c>
      <c r="Z1094" s="154" t="e">
        <f t="shared" si="164"/>
        <v>#VALUE!</v>
      </c>
      <c r="AA1094">
        <v>9.82</v>
      </c>
      <c r="AB1094" s="154" t="e">
        <f t="shared" si="165"/>
        <v>#VALUE!</v>
      </c>
      <c r="AC1094">
        <v>9.82</v>
      </c>
      <c r="AD1094" s="154" t="e">
        <f t="shared" si="166"/>
        <v>#VALUE!</v>
      </c>
      <c r="AE1094">
        <v>9.82</v>
      </c>
    </row>
    <row r="1095" spans="12:31" ht="15" x14ac:dyDescent="0.2">
      <c r="L1095" s="154" t="e">
        <f t="shared" si="157"/>
        <v>#VALUE!</v>
      </c>
      <c r="M1095">
        <v>9.83</v>
      </c>
      <c r="N1095" s="154" t="e">
        <f t="shared" si="158"/>
        <v>#VALUE!</v>
      </c>
      <c r="O1095">
        <v>9.83</v>
      </c>
      <c r="P1095" s="154" t="e">
        <f t="shared" si="159"/>
        <v>#VALUE!</v>
      </c>
      <c r="Q1095">
        <v>9.83</v>
      </c>
      <c r="R1095" s="154" t="e">
        <f t="shared" si="160"/>
        <v>#VALUE!</v>
      </c>
      <c r="S1095">
        <v>9.83</v>
      </c>
      <c r="T1095" s="154" t="e">
        <f t="shared" si="161"/>
        <v>#VALUE!</v>
      </c>
      <c r="U1095">
        <v>9.83</v>
      </c>
      <c r="V1095" s="154" t="e">
        <f t="shared" si="162"/>
        <v>#VALUE!</v>
      </c>
      <c r="W1095">
        <v>9.83</v>
      </c>
      <c r="X1095" s="157" t="e">
        <f t="shared" si="163"/>
        <v>#VALUE!</v>
      </c>
      <c r="Y1095">
        <v>9.83</v>
      </c>
      <c r="Z1095" s="154" t="e">
        <f t="shared" si="164"/>
        <v>#VALUE!</v>
      </c>
      <c r="AA1095">
        <v>9.83</v>
      </c>
      <c r="AB1095" s="154" t="e">
        <f t="shared" si="165"/>
        <v>#VALUE!</v>
      </c>
      <c r="AC1095">
        <v>9.83</v>
      </c>
      <c r="AD1095" s="154" t="e">
        <f t="shared" si="166"/>
        <v>#VALUE!</v>
      </c>
      <c r="AE1095">
        <v>9.83</v>
      </c>
    </row>
    <row r="1096" spans="12:31" ht="15" x14ac:dyDescent="0.2">
      <c r="L1096" s="154" t="e">
        <f t="shared" si="157"/>
        <v>#VALUE!</v>
      </c>
      <c r="M1096">
        <v>9.84</v>
      </c>
      <c r="N1096" s="154" t="e">
        <f t="shared" si="158"/>
        <v>#VALUE!</v>
      </c>
      <c r="O1096">
        <v>9.84</v>
      </c>
      <c r="P1096" s="154" t="e">
        <f t="shared" si="159"/>
        <v>#VALUE!</v>
      </c>
      <c r="Q1096">
        <v>9.84</v>
      </c>
      <c r="R1096" s="154" t="e">
        <f t="shared" si="160"/>
        <v>#VALUE!</v>
      </c>
      <c r="S1096">
        <v>9.84</v>
      </c>
      <c r="T1096" s="154" t="e">
        <f t="shared" si="161"/>
        <v>#VALUE!</v>
      </c>
      <c r="U1096">
        <v>9.84</v>
      </c>
      <c r="V1096" s="154" t="e">
        <f t="shared" si="162"/>
        <v>#VALUE!</v>
      </c>
      <c r="W1096">
        <v>9.84</v>
      </c>
      <c r="X1096" s="157" t="e">
        <f t="shared" si="163"/>
        <v>#VALUE!</v>
      </c>
      <c r="Y1096">
        <v>9.84</v>
      </c>
      <c r="Z1096" s="154" t="e">
        <f t="shared" si="164"/>
        <v>#VALUE!</v>
      </c>
      <c r="AA1096">
        <v>9.84</v>
      </c>
      <c r="AB1096" s="154" t="e">
        <f t="shared" si="165"/>
        <v>#VALUE!</v>
      </c>
      <c r="AC1096">
        <v>9.84</v>
      </c>
      <c r="AD1096" s="154" t="e">
        <f t="shared" si="166"/>
        <v>#VALUE!</v>
      </c>
      <c r="AE1096">
        <v>9.84</v>
      </c>
    </row>
    <row r="1097" spans="12:31" ht="15" x14ac:dyDescent="0.2">
      <c r="L1097" s="154" t="e">
        <f t="shared" si="157"/>
        <v>#VALUE!</v>
      </c>
      <c r="M1097">
        <v>9.85</v>
      </c>
      <c r="N1097" s="154" t="e">
        <f t="shared" si="158"/>
        <v>#VALUE!</v>
      </c>
      <c r="O1097">
        <v>9.85</v>
      </c>
      <c r="P1097" s="154" t="e">
        <f t="shared" si="159"/>
        <v>#VALUE!</v>
      </c>
      <c r="Q1097">
        <v>9.85</v>
      </c>
      <c r="R1097" s="154" t="e">
        <f t="shared" si="160"/>
        <v>#VALUE!</v>
      </c>
      <c r="S1097">
        <v>9.85</v>
      </c>
      <c r="T1097" s="154" t="e">
        <f t="shared" si="161"/>
        <v>#VALUE!</v>
      </c>
      <c r="U1097">
        <v>9.85</v>
      </c>
      <c r="V1097" s="154" t="e">
        <f t="shared" si="162"/>
        <v>#VALUE!</v>
      </c>
      <c r="W1097">
        <v>9.85</v>
      </c>
      <c r="X1097" s="157" t="e">
        <f t="shared" si="163"/>
        <v>#VALUE!</v>
      </c>
      <c r="Y1097">
        <v>9.85</v>
      </c>
      <c r="Z1097" s="154" t="e">
        <f t="shared" si="164"/>
        <v>#VALUE!</v>
      </c>
      <c r="AA1097">
        <v>9.85</v>
      </c>
      <c r="AB1097" s="154" t="e">
        <f t="shared" si="165"/>
        <v>#VALUE!</v>
      </c>
      <c r="AC1097">
        <v>9.85</v>
      </c>
      <c r="AD1097" s="154" t="e">
        <f t="shared" si="166"/>
        <v>#VALUE!</v>
      </c>
      <c r="AE1097">
        <v>9.85</v>
      </c>
    </row>
    <row r="1098" spans="12:31" ht="15" x14ac:dyDescent="0.2">
      <c r="L1098" s="154" t="e">
        <f t="shared" si="157"/>
        <v>#VALUE!</v>
      </c>
      <c r="M1098">
        <v>9.86</v>
      </c>
      <c r="N1098" s="154" t="e">
        <f t="shared" si="158"/>
        <v>#VALUE!</v>
      </c>
      <c r="O1098">
        <v>9.86</v>
      </c>
      <c r="P1098" s="154" t="e">
        <f t="shared" si="159"/>
        <v>#VALUE!</v>
      </c>
      <c r="Q1098">
        <v>9.86</v>
      </c>
      <c r="R1098" s="154" t="e">
        <f t="shared" si="160"/>
        <v>#VALUE!</v>
      </c>
      <c r="S1098">
        <v>9.86</v>
      </c>
      <c r="T1098" s="154" t="e">
        <f t="shared" si="161"/>
        <v>#VALUE!</v>
      </c>
      <c r="U1098">
        <v>9.86</v>
      </c>
      <c r="V1098" s="154" t="e">
        <f t="shared" si="162"/>
        <v>#VALUE!</v>
      </c>
      <c r="W1098">
        <v>9.86</v>
      </c>
      <c r="X1098" s="157" t="e">
        <f t="shared" si="163"/>
        <v>#VALUE!</v>
      </c>
      <c r="Y1098">
        <v>9.86</v>
      </c>
      <c r="Z1098" s="154" t="e">
        <f t="shared" si="164"/>
        <v>#VALUE!</v>
      </c>
      <c r="AA1098">
        <v>9.86</v>
      </c>
      <c r="AB1098" s="154" t="e">
        <f t="shared" si="165"/>
        <v>#VALUE!</v>
      </c>
      <c r="AC1098">
        <v>9.86</v>
      </c>
      <c r="AD1098" s="154" t="e">
        <f t="shared" si="166"/>
        <v>#VALUE!</v>
      </c>
      <c r="AE1098">
        <v>9.86</v>
      </c>
    </row>
    <row r="1099" spans="12:31" ht="15" x14ac:dyDescent="0.2">
      <c r="L1099" s="154" t="e">
        <f t="shared" si="157"/>
        <v>#VALUE!</v>
      </c>
      <c r="M1099">
        <v>9.8699999999999992</v>
      </c>
      <c r="N1099" s="154" t="e">
        <f t="shared" si="158"/>
        <v>#VALUE!</v>
      </c>
      <c r="O1099">
        <v>9.8699999999999992</v>
      </c>
      <c r="P1099" s="154" t="e">
        <f t="shared" si="159"/>
        <v>#VALUE!</v>
      </c>
      <c r="Q1099">
        <v>9.8699999999999992</v>
      </c>
      <c r="R1099" s="154" t="e">
        <f t="shared" si="160"/>
        <v>#VALUE!</v>
      </c>
      <c r="S1099">
        <v>9.8699999999999992</v>
      </c>
      <c r="T1099" s="154" t="e">
        <f t="shared" si="161"/>
        <v>#VALUE!</v>
      </c>
      <c r="U1099">
        <v>9.8699999999999992</v>
      </c>
      <c r="V1099" s="154" t="e">
        <f t="shared" si="162"/>
        <v>#VALUE!</v>
      </c>
      <c r="W1099">
        <v>9.8699999999999992</v>
      </c>
      <c r="X1099" s="157" t="e">
        <f t="shared" si="163"/>
        <v>#VALUE!</v>
      </c>
      <c r="Y1099">
        <v>9.8699999999999992</v>
      </c>
      <c r="Z1099" s="154" t="e">
        <f t="shared" si="164"/>
        <v>#VALUE!</v>
      </c>
      <c r="AA1099">
        <v>9.8699999999999992</v>
      </c>
      <c r="AB1099" s="154" t="e">
        <f t="shared" si="165"/>
        <v>#VALUE!</v>
      </c>
      <c r="AC1099">
        <v>9.8699999999999992</v>
      </c>
      <c r="AD1099" s="154" t="e">
        <f t="shared" si="166"/>
        <v>#VALUE!</v>
      </c>
      <c r="AE1099">
        <v>9.8699999999999992</v>
      </c>
    </row>
    <row r="1100" spans="12:31" ht="15" x14ac:dyDescent="0.2">
      <c r="L1100" s="154" t="e">
        <f t="shared" si="157"/>
        <v>#VALUE!</v>
      </c>
      <c r="M1100">
        <v>9.8800000000000008</v>
      </c>
      <c r="N1100" s="154" t="e">
        <f t="shared" si="158"/>
        <v>#VALUE!</v>
      </c>
      <c r="O1100">
        <v>9.8800000000000008</v>
      </c>
      <c r="P1100" s="154" t="e">
        <f t="shared" si="159"/>
        <v>#VALUE!</v>
      </c>
      <c r="Q1100">
        <v>9.8800000000000008</v>
      </c>
      <c r="R1100" s="154" t="e">
        <f t="shared" si="160"/>
        <v>#VALUE!</v>
      </c>
      <c r="S1100">
        <v>9.8800000000000008</v>
      </c>
      <c r="T1100" s="154" t="e">
        <f t="shared" si="161"/>
        <v>#VALUE!</v>
      </c>
      <c r="U1100">
        <v>9.8800000000000008</v>
      </c>
      <c r="V1100" s="154" t="e">
        <f t="shared" si="162"/>
        <v>#VALUE!</v>
      </c>
      <c r="W1100">
        <v>9.8800000000000008</v>
      </c>
      <c r="X1100" s="157" t="e">
        <f t="shared" si="163"/>
        <v>#VALUE!</v>
      </c>
      <c r="Y1100">
        <v>9.8800000000000008</v>
      </c>
      <c r="Z1100" s="154" t="e">
        <f t="shared" si="164"/>
        <v>#VALUE!</v>
      </c>
      <c r="AA1100">
        <v>9.8800000000000008</v>
      </c>
      <c r="AB1100" s="154" t="e">
        <f t="shared" si="165"/>
        <v>#VALUE!</v>
      </c>
      <c r="AC1100">
        <v>9.8800000000000008</v>
      </c>
      <c r="AD1100" s="154" t="e">
        <f t="shared" si="166"/>
        <v>#VALUE!</v>
      </c>
      <c r="AE1100">
        <v>9.8800000000000008</v>
      </c>
    </row>
    <row r="1101" spans="12:31" ht="15" x14ac:dyDescent="0.2">
      <c r="L1101" s="154" t="e">
        <f t="shared" si="157"/>
        <v>#VALUE!</v>
      </c>
      <c r="M1101">
        <v>9.89</v>
      </c>
      <c r="N1101" s="154" t="e">
        <f t="shared" si="158"/>
        <v>#VALUE!</v>
      </c>
      <c r="O1101">
        <v>9.89</v>
      </c>
      <c r="P1101" s="154" t="e">
        <f t="shared" si="159"/>
        <v>#VALUE!</v>
      </c>
      <c r="Q1101">
        <v>9.89</v>
      </c>
      <c r="R1101" s="154" t="e">
        <f t="shared" si="160"/>
        <v>#VALUE!</v>
      </c>
      <c r="S1101">
        <v>9.89</v>
      </c>
      <c r="T1101" s="154" t="e">
        <f t="shared" si="161"/>
        <v>#VALUE!</v>
      </c>
      <c r="U1101">
        <v>9.89</v>
      </c>
      <c r="V1101" s="154" t="e">
        <f t="shared" si="162"/>
        <v>#VALUE!</v>
      </c>
      <c r="W1101">
        <v>9.89</v>
      </c>
      <c r="X1101" s="157" t="e">
        <f t="shared" si="163"/>
        <v>#VALUE!</v>
      </c>
      <c r="Y1101">
        <v>9.89</v>
      </c>
      <c r="Z1101" s="154" t="e">
        <f t="shared" si="164"/>
        <v>#VALUE!</v>
      </c>
      <c r="AA1101">
        <v>9.89</v>
      </c>
      <c r="AB1101" s="154" t="e">
        <f t="shared" si="165"/>
        <v>#VALUE!</v>
      </c>
      <c r="AC1101">
        <v>9.89</v>
      </c>
      <c r="AD1101" s="154" t="e">
        <f t="shared" si="166"/>
        <v>#VALUE!</v>
      </c>
      <c r="AE1101">
        <v>9.89</v>
      </c>
    </row>
    <row r="1102" spans="12:31" ht="15" x14ac:dyDescent="0.2">
      <c r="L1102" s="154" t="e">
        <f t="shared" si="157"/>
        <v>#VALUE!</v>
      </c>
      <c r="M1102">
        <v>9.9</v>
      </c>
      <c r="N1102" s="154" t="e">
        <f t="shared" si="158"/>
        <v>#VALUE!</v>
      </c>
      <c r="O1102">
        <v>9.9</v>
      </c>
      <c r="P1102" s="154" t="e">
        <f t="shared" si="159"/>
        <v>#VALUE!</v>
      </c>
      <c r="Q1102">
        <v>9.9</v>
      </c>
      <c r="R1102" s="154" t="e">
        <f t="shared" si="160"/>
        <v>#VALUE!</v>
      </c>
      <c r="S1102">
        <v>9.9</v>
      </c>
      <c r="T1102" s="154" t="e">
        <f t="shared" si="161"/>
        <v>#VALUE!</v>
      </c>
      <c r="U1102">
        <v>9.9</v>
      </c>
      <c r="V1102" s="154" t="e">
        <f t="shared" si="162"/>
        <v>#VALUE!</v>
      </c>
      <c r="W1102">
        <v>9.9</v>
      </c>
      <c r="X1102" s="157" t="e">
        <f t="shared" si="163"/>
        <v>#VALUE!</v>
      </c>
      <c r="Y1102">
        <v>9.9</v>
      </c>
      <c r="Z1102" s="154" t="e">
        <f t="shared" si="164"/>
        <v>#VALUE!</v>
      </c>
      <c r="AA1102">
        <v>9.9</v>
      </c>
      <c r="AB1102" s="154" t="e">
        <f t="shared" si="165"/>
        <v>#VALUE!</v>
      </c>
      <c r="AC1102">
        <v>9.9</v>
      </c>
      <c r="AD1102" s="154" t="e">
        <f t="shared" si="166"/>
        <v>#VALUE!</v>
      </c>
      <c r="AE1102">
        <v>9.9</v>
      </c>
    </row>
    <row r="1103" spans="12:31" ht="15" x14ac:dyDescent="0.2">
      <c r="L1103" s="154" t="e">
        <f t="shared" si="157"/>
        <v>#VALUE!</v>
      </c>
      <c r="M1103">
        <v>9.91</v>
      </c>
      <c r="N1103" s="154" t="e">
        <f t="shared" si="158"/>
        <v>#VALUE!</v>
      </c>
      <c r="O1103">
        <v>9.91</v>
      </c>
      <c r="P1103" s="154" t="e">
        <f t="shared" si="159"/>
        <v>#VALUE!</v>
      </c>
      <c r="Q1103">
        <v>9.91</v>
      </c>
      <c r="R1103" s="154" t="e">
        <f t="shared" si="160"/>
        <v>#VALUE!</v>
      </c>
      <c r="S1103">
        <v>9.91</v>
      </c>
      <c r="T1103" s="154" t="e">
        <f t="shared" si="161"/>
        <v>#VALUE!</v>
      </c>
      <c r="U1103">
        <v>9.91</v>
      </c>
      <c r="V1103" s="154" t="e">
        <f t="shared" si="162"/>
        <v>#VALUE!</v>
      </c>
      <c r="W1103">
        <v>9.91</v>
      </c>
      <c r="X1103" s="157" t="e">
        <f t="shared" si="163"/>
        <v>#VALUE!</v>
      </c>
      <c r="Y1103">
        <v>9.91</v>
      </c>
      <c r="Z1103" s="154" t="e">
        <f t="shared" si="164"/>
        <v>#VALUE!</v>
      </c>
      <c r="AA1103">
        <v>9.91</v>
      </c>
      <c r="AB1103" s="154" t="e">
        <f t="shared" si="165"/>
        <v>#VALUE!</v>
      </c>
      <c r="AC1103">
        <v>9.91</v>
      </c>
      <c r="AD1103" s="154" t="e">
        <f t="shared" si="166"/>
        <v>#VALUE!</v>
      </c>
      <c r="AE1103">
        <v>9.91</v>
      </c>
    </row>
    <row r="1104" spans="12:31" ht="15" x14ac:dyDescent="0.2">
      <c r="L1104" s="154" t="e">
        <f t="shared" si="157"/>
        <v>#VALUE!</v>
      </c>
      <c r="M1104">
        <v>9.92</v>
      </c>
      <c r="N1104" s="154" t="e">
        <f t="shared" si="158"/>
        <v>#VALUE!</v>
      </c>
      <c r="O1104">
        <v>9.92</v>
      </c>
      <c r="P1104" s="154" t="e">
        <f t="shared" si="159"/>
        <v>#VALUE!</v>
      </c>
      <c r="Q1104">
        <v>9.92</v>
      </c>
      <c r="R1104" s="154" t="e">
        <f t="shared" si="160"/>
        <v>#VALUE!</v>
      </c>
      <c r="S1104">
        <v>9.92</v>
      </c>
      <c r="T1104" s="154" t="e">
        <f t="shared" si="161"/>
        <v>#VALUE!</v>
      </c>
      <c r="U1104">
        <v>9.92</v>
      </c>
      <c r="V1104" s="154" t="e">
        <f t="shared" si="162"/>
        <v>#VALUE!</v>
      </c>
      <c r="W1104">
        <v>9.92</v>
      </c>
      <c r="X1104" s="157" t="e">
        <f t="shared" si="163"/>
        <v>#VALUE!</v>
      </c>
      <c r="Y1104">
        <v>9.92</v>
      </c>
      <c r="Z1104" s="154" t="e">
        <f t="shared" si="164"/>
        <v>#VALUE!</v>
      </c>
      <c r="AA1104">
        <v>9.92</v>
      </c>
      <c r="AB1104" s="154" t="e">
        <f t="shared" si="165"/>
        <v>#VALUE!</v>
      </c>
      <c r="AC1104">
        <v>9.92</v>
      </c>
      <c r="AD1104" s="154" t="e">
        <f t="shared" si="166"/>
        <v>#VALUE!</v>
      </c>
      <c r="AE1104">
        <v>9.92</v>
      </c>
    </row>
    <row r="1105" spans="12:31" ht="15" x14ac:dyDescent="0.2">
      <c r="L1105" s="154" t="e">
        <f t="shared" si="157"/>
        <v>#VALUE!</v>
      </c>
      <c r="M1105">
        <v>9.93</v>
      </c>
      <c r="N1105" s="154" t="e">
        <f t="shared" si="158"/>
        <v>#VALUE!</v>
      </c>
      <c r="O1105">
        <v>9.93</v>
      </c>
      <c r="P1105" s="154" t="e">
        <f t="shared" si="159"/>
        <v>#VALUE!</v>
      </c>
      <c r="Q1105">
        <v>9.93</v>
      </c>
      <c r="R1105" s="154" t="e">
        <f t="shared" si="160"/>
        <v>#VALUE!</v>
      </c>
      <c r="S1105">
        <v>9.93</v>
      </c>
      <c r="T1105" s="154" t="e">
        <f t="shared" si="161"/>
        <v>#VALUE!</v>
      </c>
      <c r="U1105">
        <v>9.93</v>
      </c>
      <c r="V1105" s="154" t="e">
        <f t="shared" si="162"/>
        <v>#VALUE!</v>
      </c>
      <c r="W1105">
        <v>9.93</v>
      </c>
      <c r="X1105" s="157" t="e">
        <f t="shared" si="163"/>
        <v>#VALUE!</v>
      </c>
      <c r="Y1105">
        <v>9.93</v>
      </c>
      <c r="Z1105" s="154" t="e">
        <f t="shared" si="164"/>
        <v>#VALUE!</v>
      </c>
      <c r="AA1105">
        <v>9.93</v>
      </c>
      <c r="AB1105" s="154" t="e">
        <f t="shared" si="165"/>
        <v>#VALUE!</v>
      </c>
      <c r="AC1105">
        <v>9.93</v>
      </c>
      <c r="AD1105" s="154" t="e">
        <f t="shared" si="166"/>
        <v>#VALUE!</v>
      </c>
      <c r="AE1105">
        <v>9.93</v>
      </c>
    </row>
    <row r="1106" spans="12:31" ht="15" x14ac:dyDescent="0.2">
      <c r="L1106" s="154" t="e">
        <f t="shared" si="157"/>
        <v>#VALUE!</v>
      </c>
      <c r="M1106">
        <v>9.94</v>
      </c>
      <c r="N1106" s="154" t="e">
        <f t="shared" si="158"/>
        <v>#VALUE!</v>
      </c>
      <c r="O1106">
        <v>9.94</v>
      </c>
      <c r="P1106" s="154" t="e">
        <f t="shared" si="159"/>
        <v>#VALUE!</v>
      </c>
      <c r="Q1106">
        <v>9.94</v>
      </c>
      <c r="R1106" s="154" t="e">
        <f t="shared" si="160"/>
        <v>#VALUE!</v>
      </c>
      <c r="S1106">
        <v>9.94</v>
      </c>
      <c r="T1106" s="154" t="e">
        <f t="shared" si="161"/>
        <v>#VALUE!</v>
      </c>
      <c r="U1106">
        <v>9.94</v>
      </c>
      <c r="V1106" s="154" t="e">
        <f t="shared" si="162"/>
        <v>#VALUE!</v>
      </c>
      <c r="W1106">
        <v>9.94</v>
      </c>
      <c r="X1106" s="157" t="e">
        <f t="shared" si="163"/>
        <v>#VALUE!</v>
      </c>
      <c r="Y1106">
        <v>9.94</v>
      </c>
      <c r="Z1106" s="154" t="e">
        <f t="shared" si="164"/>
        <v>#VALUE!</v>
      </c>
      <c r="AA1106">
        <v>9.94</v>
      </c>
      <c r="AB1106" s="154" t="e">
        <f t="shared" si="165"/>
        <v>#VALUE!</v>
      </c>
      <c r="AC1106">
        <v>9.94</v>
      </c>
      <c r="AD1106" s="154" t="e">
        <f t="shared" si="166"/>
        <v>#VALUE!</v>
      </c>
      <c r="AE1106">
        <v>9.94</v>
      </c>
    </row>
    <row r="1107" spans="12:31" ht="15" x14ac:dyDescent="0.2">
      <c r="L1107" s="154" t="e">
        <f t="shared" si="157"/>
        <v>#VALUE!</v>
      </c>
      <c r="M1107">
        <v>9.9499999999999993</v>
      </c>
      <c r="N1107" s="154" t="e">
        <f t="shared" si="158"/>
        <v>#VALUE!</v>
      </c>
      <c r="O1107">
        <v>9.9499999999999993</v>
      </c>
      <c r="P1107" s="154" t="e">
        <f t="shared" si="159"/>
        <v>#VALUE!</v>
      </c>
      <c r="Q1107">
        <v>9.9499999999999993</v>
      </c>
      <c r="R1107" s="154" t="e">
        <f t="shared" si="160"/>
        <v>#VALUE!</v>
      </c>
      <c r="S1107">
        <v>9.9499999999999993</v>
      </c>
      <c r="T1107" s="154" t="e">
        <f t="shared" si="161"/>
        <v>#VALUE!</v>
      </c>
      <c r="U1107">
        <v>9.9499999999999993</v>
      </c>
      <c r="V1107" s="154" t="e">
        <f t="shared" si="162"/>
        <v>#VALUE!</v>
      </c>
      <c r="W1107">
        <v>9.9499999999999993</v>
      </c>
      <c r="X1107" s="157" t="e">
        <f t="shared" si="163"/>
        <v>#VALUE!</v>
      </c>
      <c r="Y1107">
        <v>9.9499999999999993</v>
      </c>
      <c r="Z1107" s="154" t="e">
        <f t="shared" si="164"/>
        <v>#VALUE!</v>
      </c>
      <c r="AA1107">
        <v>9.9499999999999993</v>
      </c>
      <c r="AB1107" s="154" t="e">
        <f t="shared" si="165"/>
        <v>#VALUE!</v>
      </c>
      <c r="AC1107">
        <v>9.9499999999999993</v>
      </c>
      <c r="AD1107" s="154" t="e">
        <f t="shared" si="166"/>
        <v>#VALUE!</v>
      </c>
      <c r="AE1107">
        <v>9.9499999999999993</v>
      </c>
    </row>
    <row r="1108" spans="12:31" ht="15" x14ac:dyDescent="0.2">
      <c r="L1108" s="154" t="e">
        <f t="shared" si="157"/>
        <v>#VALUE!</v>
      </c>
      <c r="M1108">
        <v>9.9600000000000009</v>
      </c>
      <c r="N1108" s="154" t="e">
        <f t="shared" si="158"/>
        <v>#VALUE!</v>
      </c>
      <c r="O1108">
        <v>9.9600000000000009</v>
      </c>
      <c r="P1108" s="154" t="e">
        <f t="shared" si="159"/>
        <v>#VALUE!</v>
      </c>
      <c r="Q1108">
        <v>9.9600000000000009</v>
      </c>
      <c r="R1108" s="154" t="e">
        <f t="shared" si="160"/>
        <v>#VALUE!</v>
      </c>
      <c r="S1108">
        <v>9.9600000000000009</v>
      </c>
      <c r="T1108" s="154" t="e">
        <f t="shared" si="161"/>
        <v>#VALUE!</v>
      </c>
      <c r="U1108">
        <v>9.9600000000000009</v>
      </c>
      <c r="V1108" s="154" t="e">
        <f t="shared" si="162"/>
        <v>#VALUE!</v>
      </c>
      <c r="W1108">
        <v>9.9600000000000009</v>
      </c>
      <c r="X1108" s="157" t="e">
        <f t="shared" si="163"/>
        <v>#VALUE!</v>
      </c>
      <c r="Y1108">
        <v>9.9600000000000009</v>
      </c>
      <c r="Z1108" s="154" t="e">
        <f t="shared" si="164"/>
        <v>#VALUE!</v>
      </c>
      <c r="AA1108">
        <v>9.9600000000000009</v>
      </c>
      <c r="AB1108" s="154" t="e">
        <f t="shared" si="165"/>
        <v>#VALUE!</v>
      </c>
      <c r="AC1108">
        <v>9.9600000000000009</v>
      </c>
      <c r="AD1108" s="154" t="e">
        <f t="shared" si="166"/>
        <v>#VALUE!</v>
      </c>
      <c r="AE1108">
        <v>9.9600000000000009</v>
      </c>
    </row>
    <row r="1109" spans="12:31" ht="15" x14ac:dyDescent="0.2">
      <c r="L1109" s="154" t="e">
        <f t="shared" si="157"/>
        <v>#VALUE!</v>
      </c>
      <c r="M1109">
        <v>9.9700000000000006</v>
      </c>
      <c r="N1109" s="154" t="e">
        <f t="shared" si="158"/>
        <v>#VALUE!</v>
      </c>
      <c r="O1109">
        <v>9.9700000000000006</v>
      </c>
      <c r="P1109" s="154" t="e">
        <f t="shared" si="159"/>
        <v>#VALUE!</v>
      </c>
      <c r="Q1109">
        <v>9.9700000000000006</v>
      </c>
      <c r="R1109" s="154" t="e">
        <f t="shared" si="160"/>
        <v>#VALUE!</v>
      </c>
      <c r="S1109">
        <v>9.9700000000000006</v>
      </c>
      <c r="T1109" s="154" t="e">
        <f t="shared" si="161"/>
        <v>#VALUE!</v>
      </c>
      <c r="U1109">
        <v>9.9700000000000006</v>
      </c>
      <c r="V1109" s="154" t="e">
        <f t="shared" si="162"/>
        <v>#VALUE!</v>
      </c>
      <c r="W1109">
        <v>9.9700000000000006</v>
      </c>
      <c r="X1109" s="157" t="e">
        <f t="shared" si="163"/>
        <v>#VALUE!</v>
      </c>
      <c r="Y1109">
        <v>9.9700000000000006</v>
      </c>
      <c r="Z1109" s="154" t="e">
        <f t="shared" si="164"/>
        <v>#VALUE!</v>
      </c>
      <c r="AA1109">
        <v>9.9700000000000006</v>
      </c>
      <c r="AB1109" s="154" t="e">
        <f t="shared" si="165"/>
        <v>#VALUE!</v>
      </c>
      <c r="AC1109">
        <v>9.9700000000000006</v>
      </c>
      <c r="AD1109" s="154" t="e">
        <f t="shared" si="166"/>
        <v>#VALUE!</v>
      </c>
      <c r="AE1109">
        <v>9.9700000000000006</v>
      </c>
    </row>
    <row r="1110" spans="12:31" ht="15" x14ac:dyDescent="0.2">
      <c r="L1110" s="154" t="e">
        <f t="shared" si="157"/>
        <v>#VALUE!</v>
      </c>
      <c r="M1110">
        <v>9.98</v>
      </c>
      <c r="N1110" s="154" t="e">
        <f t="shared" si="158"/>
        <v>#VALUE!</v>
      </c>
      <c r="O1110">
        <v>9.98</v>
      </c>
      <c r="P1110" s="154" t="e">
        <f t="shared" si="159"/>
        <v>#VALUE!</v>
      </c>
      <c r="Q1110">
        <v>9.98</v>
      </c>
      <c r="R1110" s="154" t="e">
        <f t="shared" si="160"/>
        <v>#VALUE!</v>
      </c>
      <c r="S1110">
        <v>9.98</v>
      </c>
      <c r="T1110" s="154" t="e">
        <f t="shared" si="161"/>
        <v>#VALUE!</v>
      </c>
      <c r="U1110">
        <v>9.98</v>
      </c>
      <c r="V1110" s="154" t="e">
        <f t="shared" si="162"/>
        <v>#VALUE!</v>
      </c>
      <c r="W1110">
        <v>9.98</v>
      </c>
      <c r="X1110" s="157" t="e">
        <f t="shared" si="163"/>
        <v>#VALUE!</v>
      </c>
      <c r="Y1110">
        <v>9.98</v>
      </c>
      <c r="Z1110" s="154" t="e">
        <f t="shared" si="164"/>
        <v>#VALUE!</v>
      </c>
      <c r="AA1110">
        <v>9.98</v>
      </c>
      <c r="AB1110" s="154" t="e">
        <f t="shared" si="165"/>
        <v>#VALUE!</v>
      </c>
      <c r="AC1110">
        <v>9.98</v>
      </c>
      <c r="AD1110" s="154" t="e">
        <f t="shared" si="166"/>
        <v>#VALUE!</v>
      </c>
      <c r="AE1110">
        <v>9.98</v>
      </c>
    </row>
    <row r="1111" spans="12:31" ht="15" x14ac:dyDescent="0.2">
      <c r="L1111" s="154" t="e">
        <f t="shared" si="157"/>
        <v>#VALUE!</v>
      </c>
      <c r="M1111">
        <v>9.99</v>
      </c>
      <c r="N1111" s="154" t="e">
        <f t="shared" si="158"/>
        <v>#VALUE!</v>
      </c>
      <c r="O1111">
        <v>9.99</v>
      </c>
      <c r="P1111" s="154" t="e">
        <f t="shared" si="159"/>
        <v>#VALUE!</v>
      </c>
      <c r="Q1111">
        <v>9.99</v>
      </c>
      <c r="R1111" s="154" t="e">
        <f t="shared" si="160"/>
        <v>#VALUE!</v>
      </c>
      <c r="S1111">
        <v>9.99</v>
      </c>
      <c r="T1111" s="154" t="e">
        <f t="shared" si="161"/>
        <v>#VALUE!</v>
      </c>
      <c r="U1111">
        <v>9.99</v>
      </c>
      <c r="V1111" s="154" t="e">
        <f t="shared" si="162"/>
        <v>#VALUE!</v>
      </c>
      <c r="W1111">
        <v>9.99</v>
      </c>
      <c r="X1111" s="157" t="e">
        <f t="shared" si="163"/>
        <v>#VALUE!</v>
      </c>
      <c r="Y1111">
        <v>9.99</v>
      </c>
      <c r="Z1111" s="154" t="e">
        <f t="shared" si="164"/>
        <v>#VALUE!</v>
      </c>
      <c r="AA1111">
        <v>9.99</v>
      </c>
      <c r="AB1111" s="154" t="e">
        <f t="shared" si="165"/>
        <v>#VALUE!</v>
      </c>
      <c r="AC1111">
        <v>9.99</v>
      </c>
      <c r="AD1111" s="154" t="e">
        <f t="shared" si="166"/>
        <v>#VALUE!</v>
      </c>
      <c r="AE1111">
        <v>9.99</v>
      </c>
    </row>
    <row r="1112" spans="12:31" ht="15" x14ac:dyDescent="0.2">
      <c r="L1112" s="154" t="e">
        <f t="shared" si="157"/>
        <v>#VALUE!</v>
      </c>
      <c r="M1112">
        <v>10</v>
      </c>
      <c r="N1112" s="154" t="e">
        <f t="shared" si="158"/>
        <v>#VALUE!</v>
      </c>
      <c r="O1112">
        <v>10</v>
      </c>
      <c r="P1112" s="154" t="e">
        <f t="shared" si="159"/>
        <v>#VALUE!</v>
      </c>
      <c r="Q1112">
        <v>10</v>
      </c>
      <c r="R1112" s="154" t="e">
        <f t="shared" si="160"/>
        <v>#VALUE!</v>
      </c>
      <c r="S1112">
        <v>10</v>
      </c>
      <c r="T1112" s="154" t="e">
        <f t="shared" si="161"/>
        <v>#VALUE!</v>
      </c>
      <c r="U1112">
        <v>10</v>
      </c>
      <c r="V1112" s="154" t="e">
        <f t="shared" si="162"/>
        <v>#VALUE!</v>
      </c>
      <c r="W1112">
        <v>10</v>
      </c>
      <c r="X1112" s="157" t="e">
        <f t="shared" si="163"/>
        <v>#VALUE!</v>
      </c>
      <c r="Y1112">
        <v>10</v>
      </c>
      <c r="Z1112" s="154" t="e">
        <f t="shared" si="164"/>
        <v>#VALUE!</v>
      </c>
      <c r="AA1112">
        <v>10</v>
      </c>
      <c r="AB1112" s="154" t="e">
        <f t="shared" si="165"/>
        <v>#VALUE!</v>
      </c>
      <c r="AC1112">
        <v>10</v>
      </c>
      <c r="AD1112" s="154" t="e">
        <f t="shared" si="166"/>
        <v>#VALUE!</v>
      </c>
      <c r="AE1112">
        <v>10</v>
      </c>
    </row>
    <row r="1113" spans="12:31" ht="15" x14ac:dyDescent="0.2">
      <c r="L1113" s="154" t="e">
        <f t="shared" si="157"/>
        <v>#VALUE!</v>
      </c>
      <c r="M1113">
        <v>10.01</v>
      </c>
      <c r="N1113" s="154" t="e">
        <f t="shared" si="158"/>
        <v>#VALUE!</v>
      </c>
      <c r="O1113">
        <v>10.01</v>
      </c>
      <c r="P1113" s="154" t="e">
        <f t="shared" si="159"/>
        <v>#VALUE!</v>
      </c>
      <c r="Q1113">
        <v>10.01</v>
      </c>
      <c r="R1113" s="154" t="e">
        <f t="shared" si="160"/>
        <v>#VALUE!</v>
      </c>
      <c r="S1113">
        <v>10.01</v>
      </c>
      <c r="T1113" s="154" t="e">
        <f t="shared" si="161"/>
        <v>#VALUE!</v>
      </c>
      <c r="U1113">
        <v>10.01</v>
      </c>
      <c r="V1113" s="154" t="e">
        <f t="shared" si="162"/>
        <v>#VALUE!</v>
      </c>
      <c r="W1113">
        <v>10.01</v>
      </c>
      <c r="X1113" s="157" t="e">
        <f t="shared" si="163"/>
        <v>#VALUE!</v>
      </c>
      <c r="Y1113">
        <v>10.01</v>
      </c>
      <c r="Z1113" s="154" t="e">
        <f t="shared" si="164"/>
        <v>#VALUE!</v>
      </c>
      <c r="AA1113">
        <v>10.01</v>
      </c>
      <c r="AB1113" s="154" t="e">
        <f t="shared" si="165"/>
        <v>#VALUE!</v>
      </c>
      <c r="AC1113">
        <v>10.01</v>
      </c>
      <c r="AD1113" s="154" t="e">
        <f t="shared" si="166"/>
        <v>#VALUE!</v>
      </c>
      <c r="AE1113">
        <v>10.01</v>
      </c>
    </row>
    <row r="1114" spans="12:31" ht="15" x14ac:dyDescent="0.2">
      <c r="L1114" s="154" t="e">
        <f t="shared" si="157"/>
        <v>#VALUE!</v>
      </c>
      <c r="M1114">
        <v>10.02</v>
      </c>
      <c r="N1114" s="154" t="e">
        <f t="shared" si="158"/>
        <v>#VALUE!</v>
      </c>
      <c r="O1114">
        <v>10.02</v>
      </c>
      <c r="P1114" s="154" t="e">
        <f t="shared" si="159"/>
        <v>#VALUE!</v>
      </c>
      <c r="Q1114">
        <v>10.02</v>
      </c>
      <c r="R1114" s="154" t="e">
        <f t="shared" si="160"/>
        <v>#VALUE!</v>
      </c>
      <c r="S1114">
        <v>10.02</v>
      </c>
      <c r="T1114" s="154" t="e">
        <f t="shared" si="161"/>
        <v>#VALUE!</v>
      </c>
      <c r="U1114">
        <v>10.02</v>
      </c>
      <c r="V1114" s="154" t="e">
        <f t="shared" si="162"/>
        <v>#VALUE!</v>
      </c>
      <c r="W1114">
        <v>10.02</v>
      </c>
      <c r="X1114" s="157" t="e">
        <f t="shared" si="163"/>
        <v>#VALUE!</v>
      </c>
      <c r="Y1114">
        <v>10.02</v>
      </c>
      <c r="Z1114" s="154" t="e">
        <f t="shared" si="164"/>
        <v>#VALUE!</v>
      </c>
      <c r="AA1114">
        <v>10.02</v>
      </c>
      <c r="AB1114" s="154" t="e">
        <f t="shared" si="165"/>
        <v>#VALUE!</v>
      </c>
      <c r="AC1114">
        <v>10.02</v>
      </c>
      <c r="AD1114" s="154" t="e">
        <f t="shared" si="166"/>
        <v>#VALUE!</v>
      </c>
      <c r="AE1114">
        <v>10.02</v>
      </c>
    </row>
    <row r="1115" spans="12:31" ht="15" x14ac:dyDescent="0.2">
      <c r="L1115" s="154" t="e">
        <f t="shared" si="157"/>
        <v>#VALUE!</v>
      </c>
      <c r="M1115">
        <v>10.029999999999999</v>
      </c>
      <c r="N1115" s="154" t="e">
        <f t="shared" si="158"/>
        <v>#VALUE!</v>
      </c>
      <c r="O1115">
        <v>10.029999999999999</v>
      </c>
      <c r="P1115" s="154" t="e">
        <f t="shared" si="159"/>
        <v>#VALUE!</v>
      </c>
      <c r="Q1115">
        <v>10.029999999999999</v>
      </c>
      <c r="R1115" s="154" t="e">
        <f t="shared" si="160"/>
        <v>#VALUE!</v>
      </c>
      <c r="S1115">
        <v>10.029999999999999</v>
      </c>
      <c r="T1115" s="154" t="e">
        <f t="shared" si="161"/>
        <v>#VALUE!</v>
      </c>
      <c r="U1115">
        <v>10.029999999999999</v>
      </c>
      <c r="V1115" s="154" t="e">
        <f t="shared" si="162"/>
        <v>#VALUE!</v>
      </c>
      <c r="W1115">
        <v>10.029999999999999</v>
      </c>
      <c r="X1115" s="157" t="e">
        <f t="shared" si="163"/>
        <v>#VALUE!</v>
      </c>
      <c r="Y1115">
        <v>10.029999999999999</v>
      </c>
      <c r="Z1115" s="154" t="e">
        <f t="shared" si="164"/>
        <v>#VALUE!</v>
      </c>
      <c r="AA1115">
        <v>10.029999999999999</v>
      </c>
      <c r="AB1115" s="154" t="e">
        <f t="shared" si="165"/>
        <v>#VALUE!</v>
      </c>
      <c r="AC1115">
        <v>10.029999999999999</v>
      </c>
      <c r="AD1115" s="154" t="e">
        <f t="shared" si="166"/>
        <v>#VALUE!</v>
      </c>
      <c r="AE1115">
        <v>10.029999999999999</v>
      </c>
    </row>
    <row r="1116" spans="12:31" ht="15" x14ac:dyDescent="0.2">
      <c r="L1116" s="154" t="e">
        <f t="shared" si="157"/>
        <v>#VALUE!</v>
      </c>
      <c r="M1116">
        <v>10.039999999999999</v>
      </c>
      <c r="N1116" s="154" t="e">
        <f t="shared" si="158"/>
        <v>#VALUE!</v>
      </c>
      <c r="O1116">
        <v>10.039999999999999</v>
      </c>
      <c r="P1116" s="154" t="e">
        <f t="shared" si="159"/>
        <v>#VALUE!</v>
      </c>
      <c r="Q1116">
        <v>10.039999999999999</v>
      </c>
      <c r="R1116" s="154" t="e">
        <f t="shared" si="160"/>
        <v>#VALUE!</v>
      </c>
      <c r="S1116">
        <v>10.039999999999999</v>
      </c>
      <c r="T1116" s="154" t="e">
        <f t="shared" si="161"/>
        <v>#VALUE!</v>
      </c>
      <c r="U1116">
        <v>10.039999999999999</v>
      </c>
      <c r="V1116" s="154" t="e">
        <f t="shared" si="162"/>
        <v>#VALUE!</v>
      </c>
      <c r="W1116">
        <v>10.039999999999999</v>
      </c>
      <c r="X1116" s="157" t="e">
        <f t="shared" si="163"/>
        <v>#VALUE!</v>
      </c>
      <c r="Y1116">
        <v>10.039999999999999</v>
      </c>
      <c r="Z1116" s="154" t="e">
        <f t="shared" si="164"/>
        <v>#VALUE!</v>
      </c>
      <c r="AA1116">
        <v>10.039999999999999</v>
      </c>
      <c r="AB1116" s="154" t="e">
        <f t="shared" si="165"/>
        <v>#VALUE!</v>
      </c>
      <c r="AC1116">
        <v>10.039999999999999</v>
      </c>
      <c r="AD1116" s="154" t="e">
        <f t="shared" si="166"/>
        <v>#VALUE!</v>
      </c>
      <c r="AE1116">
        <v>10.039999999999999</v>
      </c>
    </row>
    <row r="1117" spans="12:31" ht="15" x14ac:dyDescent="0.2">
      <c r="L1117" s="154" t="e">
        <f t="shared" si="157"/>
        <v>#VALUE!</v>
      </c>
      <c r="M1117">
        <v>10.050000000000001</v>
      </c>
      <c r="N1117" s="154" t="e">
        <f t="shared" si="158"/>
        <v>#VALUE!</v>
      </c>
      <c r="O1117">
        <v>10.050000000000001</v>
      </c>
      <c r="P1117" s="154" t="e">
        <f t="shared" si="159"/>
        <v>#VALUE!</v>
      </c>
      <c r="Q1117">
        <v>10.050000000000001</v>
      </c>
      <c r="R1117" s="154" t="e">
        <f t="shared" si="160"/>
        <v>#VALUE!</v>
      </c>
      <c r="S1117">
        <v>10.050000000000001</v>
      </c>
      <c r="T1117" s="154" t="e">
        <f t="shared" si="161"/>
        <v>#VALUE!</v>
      </c>
      <c r="U1117">
        <v>10.050000000000001</v>
      </c>
      <c r="V1117" s="154" t="e">
        <f t="shared" si="162"/>
        <v>#VALUE!</v>
      </c>
      <c r="W1117">
        <v>10.050000000000001</v>
      </c>
      <c r="X1117" s="157" t="e">
        <f t="shared" si="163"/>
        <v>#VALUE!</v>
      </c>
      <c r="Y1117">
        <v>10.050000000000001</v>
      </c>
      <c r="Z1117" s="154" t="e">
        <f t="shared" si="164"/>
        <v>#VALUE!</v>
      </c>
      <c r="AA1117">
        <v>10.050000000000001</v>
      </c>
      <c r="AB1117" s="154" t="e">
        <f t="shared" si="165"/>
        <v>#VALUE!</v>
      </c>
      <c r="AC1117">
        <v>10.050000000000001</v>
      </c>
      <c r="AD1117" s="154" t="e">
        <f t="shared" si="166"/>
        <v>#VALUE!</v>
      </c>
      <c r="AE1117">
        <v>10.050000000000001</v>
      </c>
    </row>
    <row r="1118" spans="12:31" ht="15" x14ac:dyDescent="0.2">
      <c r="L1118" s="154" t="e">
        <f t="shared" si="157"/>
        <v>#VALUE!</v>
      </c>
      <c r="M1118">
        <v>10.06</v>
      </c>
      <c r="N1118" s="154" t="e">
        <f t="shared" si="158"/>
        <v>#VALUE!</v>
      </c>
      <c r="O1118">
        <v>10.06</v>
      </c>
      <c r="P1118" s="154" t="e">
        <f t="shared" si="159"/>
        <v>#VALUE!</v>
      </c>
      <c r="Q1118">
        <v>10.06</v>
      </c>
      <c r="R1118" s="154" t="e">
        <f t="shared" si="160"/>
        <v>#VALUE!</v>
      </c>
      <c r="S1118">
        <v>10.06</v>
      </c>
      <c r="T1118" s="154" t="e">
        <f t="shared" si="161"/>
        <v>#VALUE!</v>
      </c>
      <c r="U1118">
        <v>10.06</v>
      </c>
      <c r="V1118" s="154" t="e">
        <f t="shared" si="162"/>
        <v>#VALUE!</v>
      </c>
      <c r="W1118">
        <v>10.06</v>
      </c>
      <c r="X1118" s="157" t="e">
        <f t="shared" si="163"/>
        <v>#VALUE!</v>
      </c>
      <c r="Y1118">
        <v>10.06</v>
      </c>
      <c r="Z1118" s="154" t="e">
        <f t="shared" si="164"/>
        <v>#VALUE!</v>
      </c>
      <c r="AA1118">
        <v>10.06</v>
      </c>
      <c r="AB1118" s="154" t="e">
        <f t="shared" si="165"/>
        <v>#VALUE!</v>
      </c>
      <c r="AC1118">
        <v>10.06</v>
      </c>
      <c r="AD1118" s="154" t="e">
        <f t="shared" si="166"/>
        <v>#VALUE!</v>
      </c>
      <c r="AE1118">
        <v>10.06</v>
      </c>
    </row>
    <row r="1119" spans="12:31" ht="15" x14ac:dyDescent="0.2">
      <c r="L1119" s="154" t="e">
        <f t="shared" si="157"/>
        <v>#VALUE!</v>
      </c>
      <c r="M1119">
        <v>10.07</v>
      </c>
      <c r="N1119" s="154" t="e">
        <f t="shared" si="158"/>
        <v>#VALUE!</v>
      </c>
      <c r="O1119">
        <v>10.07</v>
      </c>
      <c r="P1119" s="154" t="e">
        <f t="shared" si="159"/>
        <v>#VALUE!</v>
      </c>
      <c r="Q1119">
        <v>10.07</v>
      </c>
      <c r="R1119" s="154" t="e">
        <f t="shared" si="160"/>
        <v>#VALUE!</v>
      </c>
      <c r="S1119">
        <v>10.07</v>
      </c>
      <c r="T1119" s="154" t="e">
        <f t="shared" si="161"/>
        <v>#VALUE!</v>
      </c>
      <c r="U1119">
        <v>10.07</v>
      </c>
      <c r="V1119" s="154" t="e">
        <f t="shared" si="162"/>
        <v>#VALUE!</v>
      </c>
      <c r="W1119">
        <v>10.07</v>
      </c>
      <c r="X1119" s="157" t="e">
        <f t="shared" si="163"/>
        <v>#VALUE!</v>
      </c>
      <c r="Y1119">
        <v>10.07</v>
      </c>
      <c r="Z1119" s="154" t="e">
        <f t="shared" si="164"/>
        <v>#VALUE!</v>
      </c>
      <c r="AA1119">
        <v>10.07</v>
      </c>
      <c r="AB1119" s="154" t="e">
        <f t="shared" si="165"/>
        <v>#VALUE!</v>
      </c>
      <c r="AC1119">
        <v>10.07</v>
      </c>
      <c r="AD1119" s="154" t="e">
        <f t="shared" si="166"/>
        <v>#VALUE!</v>
      </c>
      <c r="AE1119">
        <v>10.07</v>
      </c>
    </row>
    <row r="1120" spans="12:31" ht="15" x14ac:dyDescent="0.2">
      <c r="L1120" s="154" t="e">
        <f t="shared" si="157"/>
        <v>#VALUE!</v>
      </c>
      <c r="M1120">
        <v>10.08</v>
      </c>
      <c r="N1120" s="154" t="e">
        <f t="shared" si="158"/>
        <v>#VALUE!</v>
      </c>
      <c r="O1120">
        <v>10.08</v>
      </c>
      <c r="P1120" s="154" t="e">
        <f t="shared" si="159"/>
        <v>#VALUE!</v>
      </c>
      <c r="Q1120">
        <v>10.08</v>
      </c>
      <c r="R1120" s="154" t="e">
        <f t="shared" si="160"/>
        <v>#VALUE!</v>
      </c>
      <c r="S1120">
        <v>10.08</v>
      </c>
      <c r="T1120" s="154" t="e">
        <f t="shared" si="161"/>
        <v>#VALUE!</v>
      </c>
      <c r="U1120">
        <v>10.08</v>
      </c>
      <c r="V1120" s="154" t="e">
        <f t="shared" si="162"/>
        <v>#VALUE!</v>
      </c>
      <c r="W1120">
        <v>10.08</v>
      </c>
      <c r="X1120" s="157" t="e">
        <f t="shared" si="163"/>
        <v>#VALUE!</v>
      </c>
      <c r="Y1120">
        <v>10.08</v>
      </c>
      <c r="Z1120" s="154" t="e">
        <f t="shared" si="164"/>
        <v>#VALUE!</v>
      </c>
      <c r="AA1120">
        <v>10.08</v>
      </c>
      <c r="AB1120" s="154" t="e">
        <f t="shared" si="165"/>
        <v>#VALUE!</v>
      </c>
      <c r="AC1120">
        <v>10.08</v>
      </c>
      <c r="AD1120" s="154" t="e">
        <f t="shared" si="166"/>
        <v>#VALUE!</v>
      </c>
      <c r="AE1120">
        <v>10.08</v>
      </c>
    </row>
    <row r="1121" spans="12:31" ht="15" x14ac:dyDescent="0.2">
      <c r="L1121" s="154" t="e">
        <f t="shared" si="157"/>
        <v>#VALUE!</v>
      </c>
      <c r="M1121">
        <v>10.09</v>
      </c>
      <c r="N1121" s="154" t="e">
        <f t="shared" si="158"/>
        <v>#VALUE!</v>
      </c>
      <c r="O1121">
        <v>10.09</v>
      </c>
      <c r="P1121" s="154" t="e">
        <f t="shared" si="159"/>
        <v>#VALUE!</v>
      </c>
      <c r="Q1121">
        <v>10.09</v>
      </c>
      <c r="R1121" s="154" t="e">
        <f t="shared" si="160"/>
        <v>#VALUE!</v>
      </c>
      <c r="S1121">
        <v>10.09</v>
      </c>
      <c r="T1121" s="154" t="e">
        <f t="shared" si="161"/>
        <v>#VALUE!</v>
      </c>
      <c r="U1121">
        <v>10.09</v>
      </c>
      <c r="V1121" s="154" t="e">
        <f t="shared" si="162"/>
        <v>#VALUE!</v>
      </c>
      <c r="W1121">
        <v>10.09</v>
      </c>
      <c r="X1121" s="157" t="e">
        <f t="shared" si="163"/>
        <v>#VALUE!</v>
      </c>
      <c r="Y1121">
        <v>10.09</v>
      </c>
      <c r="Z1121" s="154" t="e">
        <f t="shared" si="164"/>
        <v>#VALUE!</v>
      </c>
      <c r="AA1121">
        <v>10.09</v>
      </c>
      <c r="AB1121" s="154" t="e">
        <f t="shared" si="165"/>
        <v>#VALUE!</v>
      </c>
      <c r="AC1121">
        <v>10.09</v>
      </c>
      <c r="AD1121" s="154" t="e">
        <f t="shared" si="166"/>
        <v>#VALUE!</v>
      </c>
      <c r="AE1121">
        <v>10.09</v>
      </c>
    </row>
    <row r="1122" spans="12:31" ht="15" x14ac:dyDescent="0.2">
      <c r="L1122" s="154" t="e">
        <f t="shared" si="157"/>
        <v>#VALUE!</v>
      </c>
      <c r="M1122">
        <v>10.1</v>
      </c>
      <c r="N1122" s="154" t="e">
        <f t="shared" si="158"/>
        <v>#VALUE!</v>
      </c>
      <c r="O1122">
        <v>10.1</v>
      </c>
      <c r="P1122" s="154" t="e">
        <f t="shared" si="159"/>
        <v>#VALUE!</v>
      </c>
      <c r="Q1122">
        <v>10.1</v>
      </c>
      <c r="R1122" s="154" t="e">
        <f t="shared" si="160"/>
        <v>#VALUE!</v>
      </c>
      <c r="S1122">
        <v>10.1</v>
      </c>
      <c r="T1122" s="154" t="e">
        <f t="shared" si="161"/>
        <v>#VALUE!</v>
      </c>
      <c r="U1122">
        <v>10.1</v>
      </c>
      <c r="V1122" s="154" t="e">
        <f t="shared" si="162"/>
        <v>#VALUE!</v>
      </c>
      <c r="W1122">
        <v>10.1</v>
      </c>
      <c r="X1122" s="157" t="e">
        <f t="shared" si="163"/>
        <v>#VALUE!</v>
      </c>
      <c r="Y1122">
        <v>10.1</v>
      </c>
      <c r="Z1122" s="154" t="e">
        <f t="shared" si="164"/>
        <v>#VALUE!</v>
      </c>
      <c r="AA1122">
        <v>10.1</v>
      </c>
      <c r="AB1122" s="154" t="e">
        <f t="shared" si="165"/>
        <v>#VALUE!</v>
      </c>
      <c r="AC1122">
        <v>10.1</v>
      </c>
      <c r="AD1122" s="154" t="e">
        <f t="shared" si="166"/>
        <v>#VALUE!</v>
      </c>
      <c r="AE1122">
        <v>10.1</v>
      </c>
    </row>
    <row r="1123" spans="12:31" ht="15" x14ac:dyDescent="0.2">
      <c r="L1123" s="154" t="e">
        <f t="shared" si="157"/>
        <v>#VALUE!</v>
      </c>
      <c r="M1123">
        <v>10.11</v>
      </c>
      <c r="N1123" s="154" t="e">
        <f t="shared" si="158"/>
        <v>#VALUE!</v>
      </c>
      <c r="O1123">
        <v>10.11</v>
      </c>
      <c r="P1123" s="154" t="e">
        <f t="shared" si="159"/>
        <v>#VALUE!</v>
      </c>
      <c r="Q1123">
        <v>10.11</v>
      </c>
      <c r="R1123" s="154" t="e">
        <f t="shared" si="160"/>
        <v>#VALUE!</v>
      </c>
      <c r="S1123">
        <v>10.11</v>
      </c>
      <c r="T1123" s="154" t="e">
        <f t="shared" si="161"/>
        <v>#VALUE!</v>
      </c>
      <c r="U1123">
        <v>10.11</v>
      </c>
      <c r="V1123" s="154" t="e">
        <f t="shared" si="162"/>
        <v>#VALUE!</v>
      </c>
      <c r="W1123">
        <v>10.11</v>
      </c>
      <c r="X1123" s="157" t="e">
        <f t="shared" si="163"/>
        <v>#VALUE!</v>
      </c>
      <c r="Y1123">
        <v>10.11</v>
      </c>
      <c r="Z1123" s="154" t="e">
        <f t="shared" si="164"/>
        <v>#VALUE!</v>
      </c>
      <c r="AA1123">
        <v>10.11</v>
      </c>
      <c r="AB1123" s="154" t="e">
        <f t="shared" si="165"/>
        <v>#VALUE!</v>
      </c>
      <c r="AC1123">
        <v>10.11</v>
      </c>
      <c r="AD1123" s="154" t="e">
        <f t="shared" si="166"/>
        <v>#VALUE!</v>
      </c>
      <c r="AE1123">
        <v>10.11</v>
      </c>
    </row>
    <row r="1124" spans="12:31" ht="15" x14ac:dyDescent="0.2">
      <c r="L1124" s="154" t="e">
        <f t="shared" si="157"/>
        <v>#VALUE!</v>
      </c>
      <c r="M1124">
        <v>10.119999999999999</v>
      </c>
      <c r="N1124" s="154" t="e">
        <f t="shared" si="158"/>
        <v>#VALUE!</v>
      </c>
      <c r="O1124">
        <v>10.119999999999999</v>
      </c>
      <c r="P1124" s="154" t="e">
        <f t="shared" si="159"/>
        <v>#VALUE!</v>
      </c>
      <c r="Q1124">
        <v>10.119999999999999</v>
      </c>
      <c r="R1124" s="154" t="e">
        <f t="shared" si="160"/>
        <v>#VALUE!</v>
      </c>
      <c r="S1124">
        <v>10.119999999999999</v>
      </c>
      <c r="T1124" s="154" t="e">
        <f t="shared" si="161"/>
        <v>#VALUE!</v>
      </c>
      <c r="U1124">
        <v>10.119999999999999</v>
      </c>
      <c r="V1124" s="154" t="e">
        <f t="shared" si="162"/>
        <v>#VALUE!</v>
      </c>
      <c r="W1124">
        <v>10.119999999999999</v>
      </c>
      <c r="X1124" s="157" t="e">
        <f t="shared" si="163"/>
        <v>#VALUE!</v>
      </c>
      <c r="Y1124">
        <v>10.119999999999999</v>
      </c>
      <c r="Z1124" s="154" t="e">
        <f t="shared" si="164"/>
        <v>#VALUE!</v>
      </c>
      <c r="AA1124">
        <v>10.119999999999999</v>
      </c>
      <c r="AB1124" s="154" t="e">
        <f t="shared" si="165"/>
        <v>#VALUE!</v>
      </c>
      <c r="AC1124">
        <v>10.119999999999999</v>
      </c>
      <c r="AD1124" s="154" t="e">
        <f t="shared" si="166"/>
        <v>#VALUE!</v>
      </c>
      <c r="AE1124">
        <v>10.119999999999999</v>
      </c>
    </row>
    <row r="1125" spans="12:31" ht="15" x14ac:dyDescent="0.2">
      <c r="L1125" s="154" t="e">
        <f t="shared" si="157"/>
        <v>#VALUE!</v>
      </c>
      <c r="M1125">
        <v>10.130000000000001</v>
      </c>
      <c r="N1125" s="154" t="e">
        <f t="shared" si="158"/>
        <v>#VALUE!</v>
      </c>
      <c r="O1125">
        <v>10.130000000000001</v>
      </c>
      <c r="P1125" s="154" t="e">
        <f t="shared" si="159"/>
        <v>#VALUE!</v>
      </c>
      <c r="Q1125">
        <v>10.130000000000001</v>
      </c>
      <c r="R1125" s="154" t="e">
        <f t="shared" si="160"/>
        <v>#VALUE!</v>
      </c>
      <c r="S1125">
        <v>10.130000000000001</v>
      </c>
      <c r="T1125" s="154" t="e">
        <f t="shared" si="161"/>
        <v>#VALUE!</v>
      </c>
      <c r="U1125">
        <v>10.130000000000001</v>
      </c>
      <c r="V1125" s="154" t="e">
        <f t="shared" si="162"/>
        <v>#VALUE!</v>
      </c>
      <c r="W1125">
        <v>10.130000000000001</v>
      </c>
      <c r="X1125" s="157" t="e">
        <f t="shared" si="163"/>
        <v>#VALUE!</v>
      </c>
      <c r="Y1125">
        <v>10.130000000000001</v>
      </c>
      <c r="Z1125" s="154" t="e">
        <f t="shared" si="164"/>
        <v>#VALUE!</v>
      </c>
      <c r="AA1125">
        <v>10.130000000000001</v>
      </c>
      <c r="AB1125" s="154" t="e">
        <f t="shared" si="165"/>
        <v>#VALUE!</v>
      </c>
      <c r="AC1125">
        <v>10.130000000000001</v>
      </c>
      <c r="AD1125" s="154" t="e">
        <f t="shared" si="166"/>
        <v>#VALUE!</v>
      </c>
      <c r="AE1125">
        <v>10.130000000000001</v>
      </c>
    </row>
    <row r="1126" spans="12:31" ht="15" x14ac:dyDescent="0.2">
      <c r="L1126" s="154" t="e">
        <f t="shared" si="157"/>
        <v>#VALUE!</v>
      </c>
      <c r="M1126">
        <v>10.14</v>
      </c>
      <c r="N1126" s="154" t="e">
        <f t="shared" si="158"/>
        <v>#VALUE!</v>
      </c>
      <c r="O1126">
        <v>10.14</v>
      </c>
      <c r="P1126" s="154" t="e">
        <f t="shared" si="159"/>
        <v>#VALUE!</v>
      </c>
      <c r="Q1126">
        <v>10.14</v>
      </c>
      <c r="R1126" s="154" t="e">
        <f t="shared" si="160"/>
        <v>#VALUE!</v>
      </c>
      <c r="S1126">
        <v>10.14</v>
      </c>
      <c r="T1126" s="154" t="e">
        <f t="shared" si="161"/>
        <v>#VALUE!</v>
      </c>
      <c r="U1126">
        <v>10.14</v>
      </c>
      <c r="V1126" s="154" t="e">
        <f t="shared" si="162"/>
        <v>#VALUE!</v>
      </c>
      <c r="W1126">
        <v>10.14</v>
      </c>
      <c r="X1126" s="157" t="e">
        <f t="shared" si="163"/>
        <v>#VALUE!</v>
      </c>
      <c r="Y1126">
        <v>10.14</v>
      </c>
      <c r="Z1126" s="154" t="e">
        <f t="shared" si="164"/>
        <v>#VALUE!</v>
      </c>
      <c r="AA1126">
        <v>10.14</v>
      </c>
      <c r="AB1126" s="154" t="e">
        <f t="shared" si="165"/>
        <v>#VALUE!</v>
      </c>
      <c r="AC1126">
        <v>10.14</v>
      </c>
      <c r="AD1126" s="154" t="e">
        <f t="shared" si="166"/>
        <v>#VALUE!</v>
      </c>
      <c r="AE1126">
        <v>10.14</v>
      </c>
    </row>
    <row r="1127" spans="12:31" ht="15" x14ac:dyDescent="0.2">
      <c r="L1127" s="154" t="e">
        <f t="shared" si="157"/>
        <v>#VALUE!</v>
      </c>
      <c r="M1127">
        <v>10.15</v>
      </c>
      <c r="N1127" s="154" t="e">
        <f t="shared" si="158"/>
        <v>#VALUE!</v>
      </c>
      <c r="O1127">
        <v>10.15</v>
      </c>
      <c r="P1127" s="154" t="e">
        <f t="shared" si="159"/>
        <v>#VALUE!</v>
      </c>
      <c r="Q1127">
        <v>10.15</v>
      </c>
      <c r="R1127" s="154" t="e">
        <f t="shared" si="160"/>
        <v>#VALUE!</v>
      </c>
      <c r="S1127">
        <v>10.15</v>
      </c>
      <c r="T1127" s="154" t="e">
        <f t="shared" si="161"/>
        <v>#VALUE!</v>
      </c>
      <c r="U1127">
        <v>10.15</v>
      </c>
      <c r="V1127" s="154" t="e">
        <f t="shared" si="162"/>
        <v>#VALUE!</v>
      </c>
      <c r="W1127">
        <v>10.15</v>
      </c>
      <c r="X1127" s="157" t="e">
        <f t="shared" si="163"/>
        <v>#VALUE!</v>
      </c>
      <c r="Y1127">
        <v>10.15</v>
      </c>
      <c r="Z1127" s="154" t="e">
        <f t="shared" si="164"/>
        <v>#VALUE!</v>
      </c>
      <c r="AA1127">
        <v>10.15</v>
      </c>
      <c r="AB1127" s="154" t="e">
        <f t="shared" si="165"/>
        <v>#VALUE!</v>
      </c>
      <c r="AC1127">
        <v>10.15</v>
      </c>
      <c r="AD1127" s="154" t="e">
        <f t="shared" si="166"/>
        <v>#VALUE!</v>
      </c>
      <c r="AE1127">
        <v>10.15</v>
      </c>
    </row>
    <row r="1128" spans="12:31" ht="15" x14ac:dyDescent="0.2">
      <c r="L1128" s="154" t="e">
        <f t="shared" si="157"/>
        <v>#VALUE!</v>
      </c>
      <c r="M1128">
        <v>10.16</v>
      </c>
      <c r="N1128" s="154" t="e">
        <f t="shared" si="158"/>
        <v>#VALUE!</v>
      </c>
      <c r="O1128">
        <v>10.16</v>
      </c>
      <c r="P1128" s="154" t="e">
        <f t="shared" si="159"/>
        <v>#VALUE!</v>
      </c>
      <c r="Q1128">
        <v>10.16</v>
      </c>
      <c r="R1128" s="154" t="e">
        <f t="shared" si="160"/>
        <v>#VALUE!</v>
      </c>
      <c r="S1128">
        <v>10.16</v>
      </c>
      <c r="T1128" s="154" t="e">
        <f t="shared" si="161"/>
        <v>#VALUE!</v>
      </c>
      <c r="U1128">
        <v>10.16</v>
      </c>
      <c r="V1128" s="154" t="e">
        <f t="shared" si="162"/>
        <v>#VALUE!</v>
      </c>
      <c r="W1128">
        <v>10.16</v>
      </c>
      <c r="X1128" s="157" t="e">
        <f t="shared" si="163"/>
        <v>#VALUE!</v>
      </c>
      <c r="Y1128">
        <v>10.16</v>
      </c>
      <c r="Z1128" s="154" t="e">
        <f t="shared" si="164"/>
        <v>#VALUE!</v>
      </c>
      <c r="AA1128">
        <v>10.16</v>
      </c>
      <c r="AB1128" s="154" t="e">
        <f t="shared" si="165"/>
        <v>#VALUE!</v>
      </c>
      <c r="AC1128">
        <v>10.16</v>
      </c>
      <c r="AD1128" s="154" t="e">
        <f t="shared" si="166"/>
        <v>#VALUE!</v>
      </c>
      <c r="AE1128">
        <v>10.16</v>
      </c>
    </row>
    <row r="1129" spans="12:31" ht="15" x14ac:dyDescent="0.2">
      <c r="L1129" s="154" t="e">
        <f t="shared" si="157"/>
        <v>#VALUE!</v>
      </c>
      <c r="M1129">
        <v>10.17</v>
      </c>
      <c r="N1129" s="154" t="e">
        <f t="shared" si="158"/>
        <v>#VALUE!</v>
      </c>
      <c r="O1129">
        <v>10.17</v>
      </c>
      <c r="P1129" s="154" t="e">
        <f t="shared" si="159"/>
        <v>#VALUE!</v>
      </c>
      <c r="Q1129">
        <v>10.17</v>
      </c>
      <c r="R1129" s="154" t="e">
        <f t="shared" si="160"/>
        <v>#VALUE!</v>
      </c>
      <c r="S1129">
        <v>10.17</v>
      </c>
      <c r="T1129" s="154" t="e">
        <f t="shared" si="161"/>
        <v>#VALUE!</v>
      </c>
      <c r="U1129">
        <v>10.17</v>
      </c>
      <c r="V1129" s="154" t="e">
        <f t="shared" si="162"/>
        <v>#VALUE!</v>
      </c>
      <c r="W1129">
        <v>10.17</v>
      </c>
      <c r="X1129" s="157" t="e">
        <f t="shared" si="163"/>
        <v>#VALUE!</v>
      </c>
      <c r="Y1129">
        <v>10.17</v>
      </c>
      <c r="Z1129" s="154" t="e">
        <f t="shared" si="164"/>
        <v>#VALUE!</v>
      </c>
      <c r="AA1129">
        <v>10.17</v>
      </c>
      <c r="AB1129" s="154" t="e">
        <f t="shared" si="165"/>
        <v>#VALUE!</v>
      </c>
      <c r="AC1129">
        <v>10.17</v>
      </c>
      <c r="AD1129" s="154" t="e">
        <f t="shared" si="166"/>
        <v>#VALUE!</v>
      </c>
      <c r="AE1129">
        <v>10.17</v>
      </c>
    </row>
    <row r="1130" spans="12:31" ht="15" x14ac:dyDescent="0.2">
      <c r="L1130" s="154" t="e">
        <f t="shared" si="157"/>
        <v>#VALUE!</v>
      </c>
      <c r="M1130">
        <v>10.18</v>
      </c>
      <c r="N1130" s="154" t="e">
        <f t="shared" si="158"/>
        <v>#VALUE!</v>
      </c>
      <c r="O1130">
        <v>10.18</v>
      </c>
      <c r="P1130" s="154" t="e">
        <f t="shared" si="159"/>
        <v>#VALUE!</v>
      </c>
      <c r="Q1130">
        <v>10.18</v>
      </c>
      <c r="R1130" s="154" t="e">
        <f t="shared" si="160"/>
        <v>#VALUE!</v>
      </c>
      <c r="S1130">
        <v>10.18</v>
      </c>
      <c r="T1130" s="154" t="e">
        <f t="shared" si="161"/>
        <v>#VALUE!</v>
      </c>
      <c r="U1130">
        <v>10.18</v>
      </c>
      <c r="V1130" s="154" t="e">
        <f t="shared" si="162"/>
        <v>#VALUE!</v>
      </c>
      <c r="W1130">
        <v>10.18</v>
      </c>
      <c r="X1130" s="157" t="e">
        <f t="shared" si="163"/>
        <v>#VALUE!</v>
      </c>
      <c r="Y1130">
        <v>10.18</v>
      </c>
      <c r="Z1130" s="154" t="e">
        <f t="shared" si="164"/>
        <v>#VALUE!</v>
      </c>
      <c r="AA1130">
        <v>10.18</v>
      </c>
      <c r="AB1130" s="154" t="e">
        <f t="shared" si="165"/>
        <v>#VALUE!</v>
      </c>
      <c r="AC1130">
        <v>10.18</v>
      </c>
      <c r="AD1130" s="154" t="e">
        <f t="shared" si="166"/>
        <v>#VALUE!</v>
      </c>
      <c r="AE1130">
        <v>10.18</v>
      </c>
    </row>
    <row r="1131" spans="12:31" ht="15" x14ac:dyDescent="0.2">
      <c r="L1131" s="154" t="e">
        <f t="shared" si="157"/>
        <v>#VALUE!</v>
      </c>
      <c r="M1131">
        <v>10.19</v>
      </c>
      <c r="N1131" s="154" t="e">
        <f t="shared" si="158"/>
        <v>#VALUE!</v>
      </c>
      <c r="O1131">
        <v>10.19</v>
      </c>
      <c r="P1131" s="154" t="e">
        <f t="shared" si="159"/>
        <v>#VALUE!</v>
      </c>
      <c r="Q1131">
        <v>10.19</v>
      </c>
      <c r="R1131" s="154" t="e">
        <f t="shared" si="160"/>
        <v>#VALUE!</v>
      </c>
      <c r="S1131">
        <v>10.19</v>
      </c>
      <c r="T1131" s="154" t="e">
        <f t="shared" si="161"/>
        <v>#VALUE!</v>
      </c>
      <c r="U1131">
        <v>10.19</v>
      </c>
      <c r="V1131" s="154" t="e">
        <f t="shared" si="162"/>
        <v>#VALUE!</v>
      </c>
      <c r="W1131">
        <v>10.19</v>
      </c>
      <c r="X1131" s="157" t="e">
        <f t="shared" si="163"/>
        <v>#VALUE!</v>
      </c>
      <c r="Y1131">
        <v>10.19</v>
      </c>
      <c r="Z1131" s="154" t="e">
        <f t="shared" si="164"/>
        <v>#VALUE!</v>
      </c>
      <c r="AA1131">
        <v>10.19</v>
      </c>
      <c r="AB1131" s="154" t="e">
        <f t="shared" si="165"/>
        <v>#VALUE!</v>
      </c>
      <c r="AC1131">
        <v>10.19</v>
      </c>
      <c r="AD1131" s="154" t="e">
        <f t="shared" si="166"/>
        <v>#VALUE!</v>
      </c>
      <c r="AE1131">
        <v>10.19</v>
      </c>
    </row>
    <row r="1132" spans="12:31" ht="15" x14ac:dyDescent="0.2">
      <c r="L1132" s="154" t="e">
        <f t="shared" si="157"/>
        <v>#VALUE!</v>
      </c>
      <c r="M1132">
        <v>10.199999999999999</v>
      </c>
      <c r="N1132" s="154" t="e">
        <f t="shared" si="158"/>
        <v>#VALUE!</v>
      </c>
      <c r="O1132">
        <v>10.199999999999999</v>
      </c>
      <c r="P1132" s="154" t="e">
        <f t="shared" si="159"/>
        <v>#VALUE!</v>
      </c>
      <c r="Q1132">
        <v>10.199999999999999</v>
      </c>
      <c r="R1132" s="154" t="e">
        <f t="shared" si="160"/>
        <v>#VALUE!</v>
      </c>
      <c r="S1132">
        <v>10.199999999999999</v>
      </c>
      <c r="T1132" s="154" t="e">
        <f t="shared" si="161"/>
        <v>#VALUE!</v>
      </c>
      <c r="U1132">
        <v>10.199999999999999</v>
      </c>
      <c r="V1132" s="154" t="e">
        <f t="shared" si="162"/>
        <v>#VALUE!</v>
      </c>
      <c r="W1132">
        <v>10.199999999999999</v>
      </c>
      <c r="X1132" s="157" t="e">
        <f t="shared" si="163"/>
        <v>#VALUE!</v>
      </c>
      <c r="Y1132">
        <v>10.199999999999999</v>
      </c>
      <c r="Z1132" s="154" t="e">
        <f t="shared" si="164"/>
        <v>#VALUE!</v>
      </c>
      <c r="AA1132">
        <v>10.199999999999999</v>
      </c>
      <c r="AB1132" s="154" t="e">
        <f t="shared" si="165"/>
        <v>#VALUE!</v>
      </c>
      <c r="AC1132">
        <v>10.199999999999999</v>
      </c>
      <c r="AD1132" s="154" t="e">
        <f t="shared" si="166"/>
        <v>#VALUE!</v>
      </c>
      <c r="AE1132">
        <v>10.199999999999999</v>
      </c>
    </row>
    <row r="1133" spans="12:31" ht="15" x14ac:dyDescent="0.2">
      <c r="L1133" s="154" t="e">
        <f t="shared" si="157"/>
        <v>#VALUE!</v>
      </c>
      <c r="M1133">
        <v>10.210000000000001</v>
      </c>
      <c r="N1133" s="154" t="e">
        <f t="shared" si="158"/>
        <v>#VALUE!</v>
      </c>
      <c r="O1133">
        <v>10.210000000000001</v>
      </c>
      <c r="P1133" s="154" t="e">
        <f t="shared" si="159"/>
        <v>#VALUE!</v>
      </c>
      <c r="Q1133">
        <v>10.210000000000001</v>
      </c>
      <c r="R1133" s="154" t="e">
        <f t="shared" si="160"/>
        <v>#VALUE!</v>
      </c>
      <c r="S1133">
        <v>10.210000000000001</v>
      </c>
      <c r="T1133" s="154" t="e">
        <f t="shared" si="161"/>
        <v>#VALUE!</v>
      </c>
      <c r="U1133">
        <v>10.210000000000001</v>
      </c>
      <c r="V1133" s="154" t="e">
        <f t="shared" si="162"/>
        <v>#VALUE!</v>
      </c>
      <c r="W1133">
        <v>10.210000000000001</v>
      </c>
      <c r="X1133" s="157" t="e">
        <f t="shared" si="163"/>
        <v>#VALUE!</v>
      </c>
      <c r="Y1133">
        <v>10.210000000000001</v>
      </c>
      <c r="Z1133" s="154" t="e">
        <f t="shared" si="164"/>
        <v>#VALUE!</v>
      </c>
      <c r="AA1133">
        <v>10.210000000000001</v>
      </c>
      <c r="AB1133" s="154" t="e">
        <f t="shared" si="165"/>
        <v>#VALUE!</v>
      </c>
      <c r="AC1133">
        <v>10.210000000000001</v>
      </c>
      <c r="AD1133" s="154" t="e">
        <f t="shared" si="166"/>
        <v>#VALUE!</v>
      </c>
      <c r="AE1133">
        <v>10.210000000000001</v>
      </c>
    </row>
    <row r="1134" spans="12:31" ht="15" x14ac:dyDescent="0.2">
      <c r="L1134" s="154" t="e">
        <f t="shared" si="157"/>
        <v>#VALUE!</v>
      </c>
      <c r="M1134">
        <v>10.220000000000001</v>
      </c>
      <c r="N1134" s="154" t="e">
        <f t="shared" si="158"/>
        <v>#VALUE!</v>
      </c>
      <c r="O1134">
        <v>10.220000000000001</v>
      </c>
      <c r="P1134" s="154" t="e">
        <f t="shared" si="159"/>
        <v>#VALUE!</v>
      </c>
      <c r="Q1134">
        <v>10.220000000000001</v>
      </c>
      <c r="R1134" s="154" t="e">
        <f t="shared" si="160"/>
        <v>#VALUE!</v>
      </c>
      <c r="S1134">
        <v>10.220000000000001</v>
      </c>
      <c r="T1134" s="154" t="e">
        <f t="shared" si="161"/>
        <v>#VALUE!</v>
      </c>
      <c r="U1134">
        <v>10.220000000000001</v>
      </c>
      <c r="V1134" s="154" t="e">
        <f t="shared" si="162"/>
        <v>#VALUE!</v>
      </c>
      <c r="W1134">
        <v>10.220000000000001</v>
      </c>
      <c r="X1134" s="157" t="e">
        <f t="shared" si="163"/>
        <v>#VALUE!</v>
      </c>
      <c r="Y1134">
        <v>10.220000000000001</v>
      </c>
      <c r="Z1134" s="154" t="e">
        <f t="shared" si="164"/>
        <v>#VALUE!</v>
      </c>
      <c r="AA1134">
        <v>10.220000000000001</v>
      </c>
      <c r="AB1134" s="154" t="e">
        <f t="shared" si="165"/>
        <v>#VALUE!</v>
      </c>
      <c r="AC1134">
        <v>10.220000000000001</v>
      </c>
      <c r="AD1134" s="154" t="e">
        <f t="shared" si="166"/>
        <v>#VALUE!</v>
      </c>
      <c r="AE1134">
        <v>10.220000000000001</v>
      </c>
    </row>
    <row r="1135" spans="12:31" ht="15" x14ac:dyDescent="0.2">
      <c r="L1135" s="154" t="e">
        <f t="shared" si="157"/>
        <v>#VALUE!</v>
      </c>
      <c r="M1135">
        <v>10.23</v>
      </c>
      <c r="N1135" s="154" t="e">
        <f t="shared" si="158"/>
        <v>#VALUE!</v>
      </c>
      <c r="O1135">
        <v>10.23</v>
      </c>
      <c r="P1135" s="154" t="e">
        <f t="shared" si="159"/>
        <v>#VALUE!</v>
      </c>
      <c r="Q1135">
        <v>10.23</v>
      </c>
      <c r="R1135" s="154" t="e">
        <f t="shared" si="160"/>
        <v>#VALUE!</v>
      </c>
      <c r="S1135">
        <v>10.23</v>
      </c>
      <c r="T1135" s="154" t="e">
        <f t="shared" si="161"/>
        <v>#VALUE!</v>
      </c>
      <c r="U1135">
        <v>10.23</v>
      </c>
      <c r="V1135" s="154" t="e">
        <f t="shared" si="162"/>
        <v>#VALUE!</v>
      </c>
      <c r="W1135">
        <v>10.23</v>
      </c>
      <c r="X1135" s="157" t="e">
        <f t="shared" si="163"/>
        <v>#VALUE!</v>
      </c>
      <c r="Y1135">
        <v>10.23</v>
      </c>
      <c r="Z1135" s="154" t="e">
        <f t="shared" si="164"/>
        <v>#VALUE!</v>
      </c>
      <c r="AA1135">
        <v>10.23</v>
      </c>
      <c r="AB1135" s="154" t="e">
        <f t="shared" si="165"/>
        <v>#VALUE!</v>
      </c>
      <c r="AC1135">
        <v>10.23</v>
      </c>
      <c r="AD1135" s="154" t="e">
        <f t="shared" si="166"/>
        <v>#VALUE!</v>
      </c>
      <c r="AE1135">
        <v>10.23</v>
      </c>
    </row>
    <row r="1136" spans="12:31" ht="15" x14ac:dyDescent="0.2">
      <c r="L1136" s="154" t="e">
        <f t="shared" si="157"/>
        <v>#VALUE!</v>
      </c>
      <c r="M1136">
        <v>10.24</v>
      </c>
      <c r="N1136" s="154" t="e">
        <f t="shared" si="158"/>
        <v>#VALUE!</v>
      </c>
      <c r="O1136">
        <v>10.24</v>
      </c>
      <c r="P1136" s="154" t="e">
        <f t="shared" si="159"/>
        <v>#VALUE!</v>
      </c>
      <c r="Q1136">
        <v>10.24</v>
      </c>
      <c r="R1136" s="154" t="e">
        <f t="shared" si="160"/>
        <v>#VALUE!</v>
      </c>
      <c r="S1136">
        <v>10.24</v>
      </c>
      <c r="T1136" s="154" t="e">
        <f t="shared" si="161"/>
        <v>#VALUE!</v>
      </c>
      <c r="U1136">
        <v>10.24</v>
      </c>
      <c r="V1136" s="154" t="e">
        <f t="shared" si="162"/>
        <v>#VALUE!</v>
      </c>
      <c r="W1136">
        <v>10.24</v>
      </c>
      <c r="X1136" s="157" t="e">
        <f t="shared" si="163"/>
        <v>#VALUE!</v>
      </c>
      <c r="Y1136">
        <v>10.24</v>
      </c>
      <c r="Z1136" s="154" t="e">
        <f t="shared" si="164"/>
        <v>#VALUE!</v>
      </c>
      <c r="AA1136">
        <v>10.24</v>
      </c>
      <c r="AB1136" s="154" t="e">
        <f t="shared" si="165"/>
        <v>#VALUE!</v>
      </c>
      <c r="AC1136">
        <v>10.24</v>
      </c>
      <c r="AD1136" s="154" t="e">
        <f t="shared" si="166"/>
        <v>#VALUE!</v>
      </c>
      <c r="AE1136">
        <v>10.24</v>
      </c>
    </row>
    <row r="1137" spans="12:31" ht="15" x14ac:dyDescent="0.2">
      <c r="L1137" s="154" t="e">
        <f t="shared" ref="L1137:L1200" si="167">((1.486/$D$33)*((((PI()*($D$46/12)^2)/4)-((($D$46/12)/2)^2*((2*ACOS(((($D$46/12)/2)-(($D$46/12)-(M1137/12)))/(($D$46/12)/2)))-SIN(2*ACOS(((($D$46/12)/2)-(($D$46/12)-(M1137/12)))/(($D$46/12)/2))))/2))/((PI()*($D$46/12))-((2*ACOS(((($D$46/12)/2)-(($D$46/12)-(M1137/12)))/(($D$46/12)/2)))*(($D$46/12)/2))))^(2/3)*$H$17^0.5)*(((PI()*($D$46/12)^2)/4)-((($D$46/12)/2)^2*((2*ACOS(((($D$46/12)/2)-(($D$46/12)-(M1137/12)))/(($D$46/12)/2)))-SIN(2*ACOS(((($D$46/12)/2)-(($D$46/12)-(M1137/12)))/(($D$46/12)/2))))/2))</f>
        <v>#VALUE!</v>
      </c>
      <c r="M1137">
        <v>10.25</v>
      </c>
      <c r="N1137" s="154" t="e">
        <f t="shared" ref="N1137:N1200" si="168">((1.486/$D$34)*((((PI()*($D$47/12)^2)/4)-((($D$47/12)/2)^2*((2*ACOS(((($D$47/12)/2)-(($D$47/12)-(O1137/12)))/(($D$47/12)/2)))-SIN(2*ACOS(((($D$47/12)/2)-(($D$47/12)-(O1137/12)))/(($D$47/12)/2))))/2))/((PI()*($D$47/12))-((2*ACOS(((($D$47/12)/2)-(($D$47/12)-(O1137/12)))/(($D$47/12)/2)))*(($D$47/12)/2))))^(2/3)*$H$18^0.5)*(((PI()*($D$47/12)^2)/4)-((($D$47/12)/2)^2*((2*ACOS(((($D$47/12)/2)-(($D$47/12)-(O1137/12)))/(($D$47/12)/2)))-SIN(2*ACOS(((($D$47/12)/2)-(($D$47/12)-(O1137/12)))/(($D$47/12)/2))))/2))</f>
        <v>#VALUE!</v>
      </c>
      <c r="O1137">
        <v>10.25</v>
      </c>
      <c r="P1137" s="154" t="e">
        <f t="shared" ref="P1137:P1200" si="169">((1.486/$D$35)*((((PI()*($D$48/12)^2)/4)-((($D$48/12)/2)^2*((2*ACOS(((($D$48/12)/2)-(($D$48/12)-(Q1137/12)))/(($D$48/12)/2)))-SIN(2*ACOS(((($D$48/12)/2)-(($D$48/12)-(Q1137/12)))/(($D$48/12)/2))))/2))/((PI()*($D$48/12))-((2*ACOS(((($D$48/12)/2)-(($D$48/12)-(Q1137/12)))/(($D$48/12)/2)))*(($D$48/12)/2))))^(2/3)*$H$19^0.5)*(((PI()*($D$48/12)^2)/4)-((($D$48/12)/2)^2*((2*ACOS(((($D$48/12)/2)-(($D$48/12)-(Q1137/12)))/(($D$48/12)/2)))-SIN(2*ACOS(((($D$48/12)/2)-(($D$48/12)-(Q1137/12)))/(($D$48/12)/2))))/2))</f>
        <v>#VALUE!</v>
      </c>
      <c r="Q1137">
        <v>10.25</v>
      </c>
      <c r="R1137" s="154" t="e">
        <f t="shared" ref="R1137:R1200" si="170">((1.486/$D$36)*((((PI()*($D$49/12)^2)/4)-((($D$49/12)/2)^2*((2*ACOS(((($D$49/12)/2)-(($D$49/12)-(S1137/12)))/(($D$49/12)/2)))-SIN(2*ACOS(((($D$49/12)/2)-(($D$49/12)-(S1137/12)))/(($D$49/12)/2))))/2))/((PI()*($D$49/12))-((2*ACOS(((($D$49/12)/2)-(($D$49/12)-(S1137/12)))/(($D$49/12)/2)))*(($D$49/12)/2))))^(2/3)*$H$20^0.5)*(((PI()*($D$49/12)^2)/4)-((($D$49/12)/2)^2*((2*ACOS(((($D$49/12)/2)-(($D$49/12)-(S1137/12)))/(($D$49/12)/2)))-SIN(2*ACOS(((($D$49/12)/2)-(($D$49/12)-(S1137/12)))/(($D$49/12)/2))))/2))</f>
        <v>#VALUE!</v>
      </c>
      <c r="S1137">
        <v>10.25</v>
      </c>
      <c r="T1137" s="154" t="e">
        <f t="shared" ref="T1137:T1200" si="171">((1.486/$D$37)*((((PI()*($D$50/12)^2)/4)-((($D$50/12)/2)^2*((2*ACOS(((($D$50/12)/2)-(($D$50/12)-(U1137/12)))/(($D$50/12)/2)))-SIN(2*ACOS(((($D$50/12)/2)-(($D$50/12)-(U1137/12)))/(($D$50/12)/2))))/2))/((PI()*($D$50/12))-((2*ACOS(((($D$50/12)/2)-(($D$50/12)-(U1137/12)))/(($D$50/12)/2)))*(($D$50/12)/2))))^(2/3)*$H$21^0.5)*(((PI()*($D$50/12)^2)/4)-((($D$50/12)/2)^2*((2*ACOS(((($D$50/12)/2)-(($D$50/12)-(U1137/12)))/(($D$50/12)/2)))-SIN(2*ACOS(((($D$50/12)/2)-(($D$50/12)-(U1137/12)))/(($D$50/12)/2))))/2))</f>
        <v>#VALUE!</v>
      </c>
      <c r="U1137">
        <v>10.25</v>
      </c>
      <c r="V1137" s="154" t="e">
        <f t="shared" ref="V1137:V1200" si="172">((1.486/$D$38)*((((PI()*($D$51/12)^2)/4)-((($D$51/12)/2)^2*((2*ACOS(((($D$51/12)/2)-(($D$51/12)-(W1137/12)))/(($D$51/12)/2)))-SIN(2*ACOS(((($D$51/12)/2)-(($D$51/12)-(W1137/12)))/(($D$51/12)/2))))/2))/((PI()*($D$51/12))-((2*ACOS(((($D$51/12)/2)-(($D$51/12)-(W1137/12)))/(($D$51/12)/2)))*(($D$51/12)/2))))^(2/3)*$H$22^0.5)*(((PI()*($D$51/12)^2)/4)-((($D$51/12)/2)^2*((2*ACOS(((($D$51/12)/2)-(($D$51/12)-(W1137/12)))/(($D$51/12)/2)))-SIN(2*ACOS(((($D$51/12)/2)-(($D$51/12)-(W1137/12)))/(($D$51/12)/2))))/2))</f>
        <v>#VALUE!</v>
      </c>
      <c r="W1137">
        <v>10.25</v>
      </c>
      <c r="X1137" s="157" t="e">
        <f t="shared" ref="X1137:X1200" si="173">((1.486/$D$39)*((((PI()*($D$52/12)^2)/4)-((($D$52/12)/2)^2*((2*ACOS(((($D$52/12)/2)-(($D$52/12)-(Y1137/12)))/(($D$52/12)/2)))-SIN(2*ACOS(((($D$52/12)/2)-(($D$52/12)-(Y1137/12)))/(($D$52/12)/2))))/2))/((PI()*($D$52/12))-((2*ACOS(((($D$52/12)/2)-(($D$52/12)-(Y1137/12)))/(($D$52/12)/2)))*(($D$52/12)/2))))^(2/3)*$H$23^0.5)*(((PI()*($D$52/12)^2)/4)-((($D$52/12)/2)^2*((2*ACOS(((($D$52/12)/2)-(($D$52/12)-(Y1137/12)))/(($D$52/12)/2)))-SIN(2*ACOS(((($D$52/12)/2)-(($D$52/12)-(Y1137/12)))/(($D$52/12)/2))))/2))</f>
        <v>#VALUE!</v>
      </c>
      <c r="Y1137">
        <v>10.25</v>
      </c>
      <c r="Z1137" s="154" t="e">
        <f t="shared" ref="Z1137:Z1200" si="174">((1.486/$D$40)*((((PI()*($D$53/12)^2)/4)-((($D$53/12)/2)^2*((2*ACOS(((($D$53/12)/2)-(($D$53/12)-(AA1137/12)))/(($D$53/12)/2)))-SIN(2*ACOS(((($D$53/12)/2)-(($D$53/12)-(AA1137/12)))/(($D$53/12)/2))))/2))/((PI()*($D$53/12))-((2*ACOS(((($D$53/12)/2)-(($D$53/12)-(AA1137/12)))/(($D$53/12)/2)))*(($D$53/12)/2))))^(2/3)*$H$24^0.5)*(((PI()*($D$53/12)^2)/4)-((($D$53/12)/2)^2*((2*ACOS(((($D$53/12)/2)-(($D$53/12)-(AA1137/12)))/(($D$53/12)/2)))-SIN(2*ACOS(((($D$53/12)/2)-(($D$53/12)-(AA1137/12)))/(($D$53/12)/2))))/2))</f>
        <v>#VALUE!</v>
      </c>
      <c r="AA1137">
        <v>10.25</v>
      </c>
      <c r="AB1137" s="154" t="e">
        <f t="shared" ref="AB1137:AB1200" si="175">((1.486/$D$41)*((((PI()*($D$54/12)^2)/4)-((($D$54/12)/2)^2*((2*ACOS(((($D$54/12)/2)-(($D$54/12)-(AC1137/12)))/(($D$54/12)/2)))-SIN(2*ACOS(((($D$54/12)/2)-(($D$54/12)-(AC1137/12)))/(($D$54/12)/2))))/2))/((PI()*($D$54/12))-((2*ACOS(((($D$54/12)/2)-(($D$54/12)-(AC1137/12)))/(($D$54/12)/2)))*(($D$54/12)/2))))^(2/3)*$H$25^0.5)*(((PI()*($D$54/12)^2)/4)-((($D$54/12)/2)^2*((2*ACOS(((($D$54/12)/2)-(($D$54/12)-(AC1137/12)))/(($D$54/12)/2)))-SIN(2*ACOS(((($D$54/12)/2)-(($D$54/12)-(AC1137/12)))/(($D$54/12)/2))))/2))</f>
        <v>#VALUE!</v>
      </c>
      <c r="AC1137">
        <v>10.25</v>
      </c>
      <c r="AD1137" s="154" t="e">
        <f t="shared" ref="AD1137:AD1200" si="176">((1.486/$D$42)*((((PI()*($D$55/12)^2)/4)-((($D$55/12)/2)^2*((2*ACOS(((($D$55/12)/2)-(($D$55/12)-(AE1137/12)))/(($D$55/12)/2)))-SIN(2*ACOS(((($D$55/12)/2)-(($D$55/12)-(AE1137/12)))/(($D$55/12)/2))))/2))/((PI()*($D$55/12))-((2*ACOS(((($D$55/12)/2)-(($D$55/12)-(AE1137/12)))/(($D$55/12)/2)))*(($D$55/12)/2))))^(2/3)*$H$26^0.5)*(((PI()*($D$55/12)^2)/4)-((($D$55/12)/2)^2*((2*ACOS(((($D$55/12)/2)-(($D$55/12)-(AE1137/12)))/(($D$55/12)/2)))-SIN(2*ACOS(((($D$55/12)/2)-(($D$55/12)-(AE1137/12)))/(($D$55/12)/2))))/2))</f>
        <v>#VALUE!</v>
      </c>
      <c r="AE1137">
        <v>10.25</v>
      </c>
    </row>
    <row r="1138" spans="12:31" ht="15" x14ac:dyDescent="0.2">
      <c r="L1138" s="154" t="e">
        <f t="shared" si="167"/>
        <v>#VALUE!</v>
      </c>
      <c r="M1138">
        <v>10.26</v>
      </c>
      <c r="N1138" s="154" t="e">
        <f t="shared" si="168"/>
        <v>#VALUE!</v>
      </c>
      <c r="O1138">
        <v>10.26</v>
      </c>
      <c r="P1138" s="154" t="e">
        <f t="shared" si="169"/>
        <v>#VALUE!</v>
      </c>
      <c r="Q1138">
        <v>10.26</v>
      </c>
      <c r="R1138" s="154" t="e">
        <f t="shared" si="170"/>
        <v>#VALUE!</v>
      </c>
      <c r="S1138">
        <v>10.26</v>
      </c>
      <c r="T1138" s="154" t="e">
        <f t="shared" si="171"/>
        <v>#VALUE!</v>
      </c>
      <c r="U1138">
        <v>10.26</v>
      </c>
      <c r="V1138" s="154" t="e">
        <f t="shared" si="172"/>
        <v>#VALUE!</v>
      </c>
      <c r="W1138">
        <v>10.26</v>
      </c>
      <c r="X1138" s="157" t="e">
        <f t="shared" si="173"/>
        <v>#VALUE!</v>
      </c>
      <c r="Y1138">
        <v>10.26</v>
      </c>
      <c r="Z1138" s="154" t="e">
        <f t="shared" si="174"/>
        <v>#VALUE!</v>
      </c>
      <c r="AA1138">
        <v>10.26</v>
      </c>
      <c r="AB1138" s="154" t="e">
        <f t="shared" si="175"/>
        <v>#VALUE!</v>
      </c>
      <c r="AC1138">
        <v>10.26</v>
      </c>
      <c r="AD1138" s="154" t="e">
        <f t="shared" si="176"/>
        <v>#VALUE!</v>
      </c>
      <c r="AE1138">
        <v>10.26</v>
      </c>
    </row>
    <row r="1139" spans="12:31" ht="15" x14ac:dyDescent="0.2">
      <c r="L1139" s="154" t="e">
        <f t="shared" si="167"/>
        <v>#VALUE!</v>
      </c>
      <c r="M1139">
        <v>10.27</v>
      </c>
      <c r="N1139" s="154" t="e">
        <f t="shared" si="168"/>
        <v>#VALUE!</v>
      </c>
      <c r="O1139">
        <v>10.27</v>
      </c>
      <c r="P1139" s="154" t="e">
        <f t="shared" si="169"/>
        <v>#VALUE!</v>
      </c>
      <c r="Q1139">
        <v>10.27</v>
      </c>
      <c r="R1139" s="154" t="e">
        <f t="shared" si="170"/>
        <v>#VALUE!</v>
      </c>
      <c r="S1139">
        <v>10.27</v>
      </c>
      <c r="T1139" s="154" t="e">
        <f t="shared" si="171"/>
        <v>#VALUE!</v>
      </c>
      <c r="U1139">
        <v>10.27</v>
      </c>
      <c r="V1139" s="154" t="e">
        <f t="shared" si="172"/>
        <v>#VALUE!</v>
      </c>
      <c r="W1139">
        <v>10.27</v>
      </c>
      <c r="X1139" s="157" t="e">
        <f t="shared" si="173"/>
        <v>#VALUE!</v>
      </c>
      <c r="Y1139">
        <v>10.27</v>
      </c>
      <c r="Z1139" s="154" t="e">
        <f t="shared" si="174"/>
        <v>#VALUE!</v>
      </c>
      <c r="AA1139">
        <v>10.27</v>
      </c>
      <c r="AB1139" s="154" t="e">
        <f t="shared" si="175"/>
        <v>#VALUE!</v>
      </c>
      <c r="AC1139">
        <v>10.27</v>
      </c>
      <c r="AD1139" s="154" t="e">
        <f t="shared" si="176"/>
        <v>#VALUE!</v>
      </c>
      <c r="AE1139">
        <v>10.27</v>
      </c>
    </row>
    <row r="1140" spans="12:31" ht="15" x14ac:dyDescent="0.2">
      <c r="L1140" s="154" t="e">
        <f t="shared" si="167"/>
        <v>#VALUE!</v>
      </c>
      <c r="M1140">
        <v>10.28</v>
      </c>
      <c r="N1140" s="154" t="e">
        <f t="shared" si="168"/>
        <v>#VALUE!</v>
      </c>
      <c r="O1140">
        <v>10.28</v>
      </c>
      <c r="P1140" s="154" t="e">
        <f t="shared" si="169"/>
        <v>#VALUE!</v>
      </c>
      <c r="Q1140">
        <v>10.28</v>
      </c>
      <c r="R1140" s="154" t="e">
        <f t="shared" si="170"/>
        <v>#VALUE!</v>
      </c>
      <c r="S1140">
        <v>10.28</v>
      </c>
      <c r="T1140" s="154" t="e">
        <f t="shared" si="171"/>
        <v>#VALUE!</v>
      </c>
      <c r="U1140">
        <v>10.28</v>
      </c>
      <c r="V1140" s="154" t="e">
        <f t="shared" si="172"/>
        <v>#VALUE!</v>
      </c>
      <c r="W1140">
        <v>10.28</v>
      </c>
      <c r="X1140" s="157" t="e">
        <f t="shared" si="173"/>
        <v>#VALUE!</v>
      </c>
      <c r="Y1140">
        <v>10.28</v>
      </c>
      <c r="Z1140" s="154" t="e">
        <f t="shared" si="174"/>
        <v>#VALUE!</v>
      </c>
      <c r="AA1140">
        <v>10.28</v>
      </c>
      <c r="AB1140" s="154" t="e">
        <f t="shared" si="175"/>
        <v>#VALUE!</v>
      </c>
      <c r="AC1140">
        <v>10.28</v>
      </c>
      <c r="AD1140" s="154" t="e">
        <f t="shared" si="176"/>
        <v>#VALUE!</v>
      </c>
      <c r="AE1140">
        <v>10.28</v>
      </c>
    </row>
    <row r="1141" spans="12:31" ht="15" x14ac:dyDescent="0.2">
      <c r="L1141" s="154" t="e">
        <f t="shared" si="167"/>
        <v>#VALUE!</v>
      </c>
      <c r="M1141">
        <v>10.29</v>
      </c>
      <c r="N1141" s="154" t="e">
        <f t="shared" si="168"/>
        <v>#VALUE!</v>
      </c>
      <c r="O1141">
        <v>10.29</v>
      </c>
      <c r="P1141" s="154" t="e">
        <f t="shared" si="169"/>
        <v>#VALUE!</v>
      </c>
      <c r="Q1141">
        <v>10.29</v>
      </c>
      <c r="R1141" s="154" t="e">
        <f t="shared" si="170"/>
        <v>#VALUE!</v>
      </c>
      <c r="S1141">
        <v>10.29</v>
      </c>
      <c r="T1141" s="154" t="e">
        <f t="shared" si="171"/>
        <v>#VALUE!</v>
      </c>
      <c r="U1141">
        <v>10.29</v>
      </c>
      <c r="V1141" s="154" t="e">
        <f t="shared" si="172"/>
        <v>#VALUE!</v>
      </c>
      <c r="W1141">
        <v>10.29</v>
      </c>
      <c r="X1141" s="157" t="e">
        <f t="shared" si="173"/>
        <v>#VALUE!</v>
      </c>
      <c r="Y1141">
        <v>10.29</v>
      </c>
      <c r="Z1141" s="154" t="e">
        <f t="shared" si="174"/>
        <v>#VALUE!</v>
      </c>
      <c r="AA1141">
        <v>10.29</v>
      </c>
      <c r="AB1141" s="154" t="e">
        <f t="shared" si="175"/>
        <v>#VALUE!</v>
      </c>
      <c r="AC1141">
        <v>10.29</v>
      </c>
      <c r="AD1141" s="154" t="e">
        <f t="shared" si="176"/>
        <v>#VALUE!</v>
      </c>
      <c r="AE1141">
        <v>10.29</v>
      </c>
    </row>
    <row r="1142" spans="12:31" ht="15" x14ac:dyDescent="0.2">
      <c r="L1142" s="154" t="e">
        <f t="shared" si="167"/>
        <v>#VALUE!</v>
      </c>
      <c r="M1142">
        <v>10.3</v>
      </c>
      <c r="N1142" s="154" t="e">
        <f t="shared" si="168"/>
        <v>#VALUE!</v>
      </c>
      <c r="O1142">
        <v>10.3</v>
      </c>
      <c r="P1142" s="154" t="e">
        <f t="shared" si="169"/>
        <v>#VALUE!</v>
      </c>
      <c r="Q1142">
        <v>10.3</v>
      </c>
      <c r="R1142" s="154" t="e">
        <f t="shared" si="170"/>
        <v>#VALUE!</v>
      </c>
      <c r="S1142">
        <v>10.3</v>
      </c>
      <c r="T1142" s="154" t="e">
        <f t="shared" si="171"/>
        <v>#VALUE!</v>
      </c>
      <c r="U1142">
        <v>10.3</v>
      </c>
      <c r="V1142" s="154" t="e">
        <f t="shared" si="172"/>
        <v>#VALUE!</v>
      </c>
      <c r="W1142">
        <v>10.3</v>
      </c>
      <c r="X1142" s="157" t="e">
        <f t="shared" si="173"/>
        <v>#VALUE!</v>
      </c>
      <c r="Y1142">
        <v>10.3</v>
      </c>
      <c r="Z1142" s="154" t="e">
        <f t="shared" si="174"/>
        <v>#VALUE!</v>
      </c>
      <c r="AA1142">
        <v>10.3</v>
      </c>
      <c r="AB1142" s="154" t="e">
        <f t="shared" si="175"/>
        <v>#VALUE!</v>
      </c>
      <c r="AC1142">
        <v>10.3</v>
      </c>
      <c r="AD1142" s="154" t="e">
        <f t="shared" si="176"/>
        <v>#VALUE!</v>
      </c>
      <c r="AE1142">
        <v>10.3</v>
      </c>
    </row>
    <row r="1143" spans="12:31" ht="15" x14ac:dyDescent="0.2">
      <c r="L1143" s="154" t="e">
        <f t="shared" si="167"/>
        <v>#VALUE!</v>
      </c>
      <c r="M1143">
        <v>10.31</v>
      </c>
      <c r="N1143" s="154" t="e">
        <f t="shared" si="168"/>
        <v>#VALUE!</v>
      </c>
      <c r="O1143">
        <v>10.31</v>
      </c>
      <c r="P1143" s="154" t="e">
        <f t="shared" si="169"/>
        <v>#VALUE!</v>
      </c>
      <c r="Q1143">
        <v>10.31</v>
      </c>
      <c r="R1143" s="154" t="e">
        <f t="shared" si="170"/>
        <v>#VALUE!</v>
      </c>
      <c r="S1143">
        <v>10.31</v>
      </c>
      <c r="T1143" s="154" t="e">
        <f t="shared" si="171"/>
        <v>#VALUE!</v>
      </c>
      <c r="U1143">
        <v>10.31</v>
      </c>
      <c r="V1143" s="154" t="e">
        <f t="shared" si="172"/>
        <v>#VALUE!</v>
      </c>
      <c r="W1143">
        <v>10.31</v>
      </c>
      <c r="X1143" s="157" t="e">
        <f t="shared" si="173"/>
        <v>#VALUE!</v>
      </c>
      <c r="Y1143">
        <v>10.31</v>
      </c>
      <c r="Z1143" s="154" t="e">
        <f t="shared" si="174"/>
        <v>#VALUE!</v>
      </c>
      <c r="AA1143">
        <v>10.31</v>
      </c>
      <c r="AB1143" s="154" t="e">
        <f t="shared" si="175"/>
        <v>#VALUE!</v>
      </c>
      <c r="AC1143">
        <v>10.31</v>
      </c>
      <c r="AD1143" s="154" t="e">
        <f t="shared" si="176"/>
        <v>#VALUE!</v>
      </c>
      <c r="AE1143">
        <v>10.31</v>
      </c>
    </row>
    <row r="1144" spans="12:31" ht="15" x14ac:dyDescent="0.2">
      <c r="L1144" s="154" t="e">
        <f t="shared" si="167"/>
        <v>#VALUE!</v>
      </c>
      <c r="M1144">
        <v>10.32</v>
      </c>
      <c r="N1144" s="154" t="e">
        <f t="shared" si="168"/>
        <v>#VALUE!</v>
      </c>
      <c r="O1144">
        <v>10.32</v>
      </c>
      <c r="P1144" s="154" t="e">
        <f t="shared" si="169"/>
        <v>#VALUE!</v>
      </c>
      <c r="Q1144">
        <v>10.32</v>
      </c>
      <c r="R1144" s="154" t="e">
        <f t="shared" si="170"/>
        <v>#VALUE!</v>
      </c>
      <c r="S1144">
        <v>10.32</v>
      </c>
      <c r="T1144" s="154" t="e">
        <f t="shared" si="171"/>
        <v>#VALUE!</v>
      </c>
      <c r="U1144">
        <v>10.32</v>
      </c>
      <c r="V1144" s="154" t="e">
        <f t="shared" si="172"/>
        <v>#VALUE!</v>
      </c>
      <c r="W1144">
        <v>10.32</v>
      </c>
      <c r="X1144" s="157" t="e">
        <f t="shared" si="173"/>
        <v>#VALUE!</v>
      </c>
      <c r="Y1144">
        <v>10.32</v>
      </c>
      <c r="Z1144" s="154" t="e">
        <f t="shared" si="174"/>
        <v>#VALUE!</v>
      </c>
      <c r="AA1144">
        <v>10.32</v>
      </c>
      <c r="AB1144" s="154" t="e">
        <f t="shared" si="175"/>
        <v>#VALUE!</v>
      </c>
      <c r="AC1144">
        <v>10.32</v>
      </c>
      <c r="AD1144" s="154" t="e">
        <f t="shared" si="176"/>
        <v>#VALUE!</v>
      </c>
      <c r="AE1144">
        <v>10.32</v>
      </c>
    </row>
    <row r="1145" spans="12:31" ht="15" x14ac:dyDescent="0.2">
      <c r="L1145" s="154" t="e">
        <f t="shared" si="167"/>
        <v>#VALUE!</v>
      </c>
      <c r="M1145">
        <v>10.33</v>
      </c>
      <c r="N1145" s="154" t="e">
        <f t="shared" si="168"/>
        <v>#VALUE!</v>
      </c>
      <c r="O1145">
        <v>10.33</v>
      </c>
      <c r="P1145" s="154" t="e">
        <f t="shared" si="169"/>
        <v>#VALUE!</v>
      </c>
      <c r="Q1145">
        <v>10.33</v>
      </c>
      <c r="R1145" s="154" t="e">
        <f t="shared" si="170"/>
        <v>#VALUE!</v>
      </c>
      <c r="S1145">
        <v>10.33</v>
      </c>
      <c r="T1145" s="154" t="e">
        <f t="shared" si="171"/>
        <v>#VALUE!</v>
      </c>
      <c r="U1145">
        <v>10.33</v>
      </c>
      <c r="V1145" s="154" t="e">
        <f t="shared" si="172"/>
        <v>#VALUE!</v>
      </c>
      <c r="W1145">
        <v>10.33</v>
      </c>
      <c r="X1145" s="157" t="e">
        <f t="shared" si="173"/>
        <v>#VALUE!</v>
      </c>
      <c r="Y1145">
        <v>10.33</v>
      </c>
      <c r="Z1145" s="154" t="e">
        <f t="shared" si="174"/>
        <v>#VALUE!</v>
      </c>
      <c r="AA1145">
        <v>10.33</v>
      </c>
      <c r="AB1145" s="154" t="e">
        <f t="shared" si="175"/>
        <v>#VALUE!</v>
      </c>
      <c r="AC1145">
        <v>10.33</v>
      </c>
      <c r="AD1145" s="154" t="e">
        <f t="shared" si="176"/>
        <v>#VALUE!</v>
      </c>
      <c r="AE1145">
        <v>10.33</v>
      </c>
    </row>
    <row r="1146" spans="12:31" ht="15" x14ac:dyDescent="0.2">
      <c r="L1146" s="154" t="e">
        <f t="shared" si="167"/>
        <v>#VALUE!</v>
      </c>
      <c r="M1146">
        <v>10.34</v>
      </c>
      <c r="N1146" s="154" t="e">
        <f t="shared" si="168"/>
        <v>#VALUE!</v>
      </c>
      <c r="O1146">
        <v>10.34</v>
      </c>
      <c r="P1146" s="154" t="e">
        <f t="shared" si="169"/>
        <v>#VALUE!</v>
      </c>
      <c r="Q1146">
        <v>10.34</v>
      </c>
      <c r="R1146" s="154" t="e">
        <f t="shared" si="170"/>
        <v>#VALUE!</v>
      </c>
      <c r="S1146">
        <v>10.34</v>
      </c>
      <c r="T1146" s="154" t="e">
        <f t="shared" si="171"/>
        <v>#VALUE!</v>
      </c>
      <c r="U1146">
        <v>10.34</v>
      </c>
      <c r="V1146" s="154" t="e">
        <f t="shared" si="172"/>
        <v>#VALUE!</v>
      </c>
      <c r="W1146">
        <v>10.34</v>
      </c>
      <c r="X1146" s="157" t="e">
        <f t="shared" si="173"/>
        <v>#VALUE!</v>
      </c>
      <c r="Y1146">
        <v>10.34</v>
      </c>
      <c r="Z1146" s="154" t="e">
        <f t="shared" si="174"/>
        <v>#VALUE!</v>
      </c>
      <c r="AA1146">
        <v>10.34</v>
      </c>
      <c r="AB1146" s="154" t="e">
        <f t="shared" si="175"/>
        <v>#VALUE!</v>
      </c>
      <c r="AC1146">
        <v>10.34</v>
      </c>
      <c r="AD1146" s="154" t="e">
        <f t="shared" si="176"/>
        <v>#VALUE!</v>
      </c>
      <c r="AE1146">
        <v>10.34</v>
      </c>
    </row>
    <row r="1147" spans="12:31" ht="15" x14ac:dyDescent="0.2">
      <c r="L1147" s="154" t="e">
        <f t="shared" si="167"/>
        <v>#VALUE!</v>
      </c>
      <c r="M1147">
        <v>10.35</v>
      </c>
      <c r="N1147" s="154" t="e">
        <f t="shared" si="168"/>
        <v>#VALUE!</v>
      </c>
      <c r="O1147">
        <v>10.35</v>
      </c>
      <c r="P1147" s="154" t="e">
        <f t="shared" si="169"/>
        <v>#VALUE!</v>
      </c>
      <c r="Q1147">
        <v>10.35</v>
      </c>
      <c r="R1147" s="154" t="e">
        <f t="shared" si="170"/>
        <v>#VALUE!</v>
      </c>
      <c r="S1147">
        <v>10.35</v>
      </c>
      <c r="T1147" s="154" t="e">
        <f t="shared" si="171"/>
        <v>#VALUE!</v>
      </c>
      <c r="U1147">
        <v>10.35</v>
      </c>
      <c r="V1147" s="154" t="e">
        <f t="shared" si="172"/>
        <v>#VALUE!</v>
      </c>
      <c r="W1147">
        <v>10.35</v>
      </c>
      <c r="X1147" s="157" t="e">
        <f t="shared" si="173"/>
        <v>#VALUE!</v>
      </c>
      <c r="Y1147">
        <v>10.35</v>
      </c>
      <c r="Z1147" s="154" t="e">
        <f t="shared" si="174"/>
        <v>#VALUE!</v>
      </c>
      <c r="AA1147">
        <v>10.35</v>
      </c>
      <c r="AB1147" s="154" t="e">
        <f t="shared" si="175"/>
        <v>#VALUE!</v>
      </c>
      <c r="AC1147">
        <v>10.35</v>
      </c>
      <c r="AD1147" s="154" t="e">
        <f t="shared" si="176"/>
        <v>#VALUE!</v>
      </c>
      <c r="AE1147">
        <v>10.35</v>
      </c>
    </row>
    <row r="1148" spans="12:31" ht="15" x14ac:dyDescent="0.2">
      <c r="L1148" s="154" t="e">
        <f t="shared" si="167"/>
        <v>#VALUE!</v>
      </c>
      <c r="M1148">
        <v>10.36</v>
      </c>
      <c r="N1148" s="154" t="e">
        <f t="shared" si="168"/>
        <v>#VALUE!</v>
      </c>
      <c r="O1148">
        <v>10.36</v>
      </c>
      <c r="P1148" s="154" t="e">
        <f t="shared" si="169"/>
        <v>#VALUE!</v>
      </c>
      <c r="Q1148">
        <v>10.36</v>
      </c>
      <c r="R1148" s="154" t="e">
        <f t="shared" si="170"/>
        <v>#VALUE!</v>
      </c>
      <c r="S1148">
        <v>10.36</v>
      </c>
      <c r="T1148" s="154" t="e">
        <f t="shared" si="171"/>
        <v>#VALUE!</v>
      </c>
      <c r="U1148">
        <v>10.36</v>
      </c>
      <c r="V1148" s="154" t="e">
        <f t="shared" si="172"/>
        <v>#VALUE!</v>
      </c>
      <c r="W1148">
        <v>10.36</v>
      </c>
      <c r="X1148" s="157" t="e">
        <f t="shared" si="173"/>
        <v>#VALUE!</v>
      </c>
      <c r="Y1148">
        <v>10.36</v>
      </c>
      <c r="Z1148" s="154" t="e">
        <f t="shared" si="174"/>
        <v>#VALUE!</v>
      </c>
      <c r="AA1148">
        <v>10.36</v>
      </c>
      <c r="AB1148" s="154" t="e">
        <f t="shared" si="175"/>
        <v>#VALUE!</v>
      </c>
      <c r="AC1148">
        <v>10.36</v>
      </c>
      <c r="AD1148" s="154" t="e">
        <f t="shared" si="176"/>
        <v>#VALUE!</v>
      </c>
      <c r="AE1148">
        <v>10.36</v>
      </c>
    </row>
    <row r="1149" spans="12:31" ht="15" x14ac:dyDescent="0.2">
      <c r="L1149" s="154" t="e">
        <f t="shared" si="167"/>
        <v>#VALUE!</v>
      </c>
      <c r="M1149">
        <v>10.37</v>
      </c>
      <c r="N1149" s="154" t="e">
        <f t="shared" si="168"/>
        <v>#VALUE!</v>
      </c>
      <c r="O1149">
        <v>10.37</v>
      </c>
      <c r="P1149" s="154" t="e">
        <f t="shared" si="169"/>
        <v>#VALUE!</v>
      </c>
      <c r="Q1149">
        <v>10.37</v>
      </c>
      <c r="R1149" s="154" t="e">
        <f t="shared" si="170"/>
        <v>#VALUE!</v>
      </c>
      <c r="S1149">
        <v>10.37</v>
      </c>
      <c r="T1149" s="154" t="e">
        <f t="shared" si="171"/>
        <v>#VALUE!</v>
      </c>
      <c r="U1149">
        <v>10.37</v>
      </c>
      <c r="V1149" s="154" t="e">
        <f t="shared" si="172"/>
        <v>#VALUE!</v>
      </c>
      <c r="W1149">
        <v>10.37</v>
      </c>
      <c r="X1149" s="157" t="e">
        <f t="shared" si="173"/>
        <v>#VALUE!</v>
      </c>
      <c r="Y1149">
        <v>10.37</v>
      </c>
      <c r="Z1149" s="154" t="e">
        <f t="shared" si="174"/>
        <v>#VALUE!</v>
      </c>
      <c r="AA1149">
        <v>10.37</v>
      </c>
      <c r="AB1149" s="154" t="e">
        <f t="shared" si="175"/>
        <v>#VALUE!</v>
      </c>
      <c r="AC1149">
        <v>10.37</v>
      </c>
      <c r="AD1149" s="154" t="e">
        <f t="shared" si="176"/>
        <v>#VALUE!</v>
      </c>
      <c r="AE1149">
        <v>10.37</v>
      </c>
    </row>
    <row r="1150" spans="12:31" ht="15" x14ac:dyDescent="0.2">
      <c r="L1150" s="154" t="e">
        <f t="shared" si="167"/>
        <v>#VALUE!</v>
      </c>
      <c r="M1150">
        <v>10.38</v>
      </c>
      <c r="N1150" s="154" t="e">
        <f t="shared" si="168"/>
        <v>#VALUE!</v>
      </c>
      <c r="O1150">
        <v>10.38</v>
      </c>
      <c r="P1150" s="154" t="e">
        <f t="shared" si="169"/>
        <v>#VALUE!</v>
      </c>
      <c r="Q1150">
        <v>10.38</v>
      </c>
      <c r="R1150" s="154" t="e">
        <f t="shared" si="170"/>
        <v>#VALUE!</v>
      </c>
      <c r="S1150">
        <v>10.38</v>
      </c>
      <c r="T1150" s="154" t="e">
        <f t="shared" si="171"/>
        <v>#VALUE!</v>
      </c>
      <c r="U1150">
        <v>10.38</v>
      </c>
      <c r="V1150" s="154" t="e">
        <f t="shared" si="172"/>
        <v>#VALUE!</v>
      </c>
      <c r="W1150">
        <v>10.38</v>
      </c>
      <c r="X1150" s="157" t="e">
        <f t="shared" si="173"/>
        <v>#VALUE!</v>
      </c>
      <c r="Y1150">
        <v>10.38</v>
      </c>
      <c r="Z1150" s="154" t="e">
        <f t="shared" si="174"/>
        <v>#VALUE!</v>
      </c>
      <c r="AA1150">
        <v>10.38</v>
      </c>
      <c r="AB1150" s="154" t="e">
        <f t="shared" si="175"/>
        <v>#VALUE!</v>
      </c>
      <c r="AC1150">
        <v>10.38</v>
      </c>
      <c r="AD1150" s="154" t="e">
        <f t="shared" si="176"/>
        <v>#VALUE!</v>
      </c>
      <c r="AE1150">
        <v>10.38</v>
      </c>
    </row>
    <row r="1151" spans="12:31" ht="15" x14ac:dyDescent="0.2">
      <c r="L1151" s="154" t="e">
        <f t="shared" si="167"/>
        <v>#VALUE!</v>
      </c>
      <c r="M1151">
        <v>10.39</v>
      </c>
      <c r="N1151" s="154" t="e">
        <f t="shared" si="168"/>
        <v>#VALUE!</v>
      </c>
      <c r="O1151">
        <v>10.39</v>
      </c>
      <c r="P1151" s="154" t="e">
        <f t="shared" si="169"/>
        <v>#VALUE!</v>
      </c>
      <c r="Q1151">
        <v>10.39</v>
      </c>
      <c r="R1151" s="154" t="e">
        <f t="shared" si="170"/>
        <v>#VALUE!</v>
      </c>
      <c r="S1151">
        <v>10.39</v>
      </c>
      <c r="T1151" s="154" t="e">
        <f t="shared" si="171"/>
        <v>#VALUE!</v>
      </c>
      <c r="U1151">
        <v>10.39</v>
      </c>
      <c r="V1151" s="154" t="e">
        <f t="shared" si="172"/>
        <v>#VALUE!</v>
      </c>
      <c r="W1151">
        <v>10.39</v>
      </c>
      <c r="X1151" s="157" t="e">
        <f t="shared" si="173"/>
        <v>#VALUE!</v>
      </c>
      <c r="Y1151">
        <v>10.39</v>
      </c>
      <c r="Z1151" s="154" t="e">
        <f t="shared" si="174"/>
        <v>#VALUE!</v>
      </c>
      <c r="AA1151">
        <v>10.39</v>
      </c>
      <c r="AB1151" s="154" t="e">
        <f t="shared" si="175"/>
        <v>#VALUE!</v>
      </c>
      <c r="AC1151">
        <v>10.39</v>
      </c>
      <c r="AD1151" s="154" t="e">
        <f t="shared" si="176"/>
        <v>#VALUE!</v>
      </c>
      <c r="AE1151">
        <v>10.39</v>
      </c>
    </row>
    <row r="1152" spans="12:31" ht="15" x14ac:dyDescent="0.2">
      <c r="L1152" s="154" t="e">
        <f t="shared" si="167"/>
        <v>#VALUE!</v>
      </c>
      <c r="M1152">
        <v>10.4</v>
      </c>
      <c r="N1152" s="154" t="e">
        <f t="shared" si="168"/>
        <v>#VALUE!</v>
      </c>
      <c r="O1152">
        <v>10.4</v>
      </c>
      <c r="P1152" s="154" t="e">
        <f t="shared" si="169"/>
        <v>#VALUE!</v>
      </c>
      <c r="Q1152">
        <v>10.4</v>
      </c>
      <c r="R1152" s="154" t="e">
        <f t="shared" si="170"/>
        <v>#VALUE!</v>
      </c>
      <c r="S1152">
        <v>10.4</v>
      </c>
      <c r="T1152" s="154" t="e">
        <f t="shared" si="171"/>
        <v>#VALUE!</v>
      </c>
      <c r="U1152">
        <v>10.4</v>
      </c>
      <c r="V1152" s="154" t="e">
        <f t="shared" si="172"/>
        <v>#VALUE!</v>
      </c>
      <c r="W1152">
        <v>10.4</v>
      </c>
      <c r="X1152" s="157" t="e">
        <f t="shared" si="173"/>
        <v>#VALUE!</v>
      </c>
      <c r="Y1152">
        <v>10.4</v>
      </c>
      <c r="Z1152" s="154" t="e">
        <f t="shared" si="174"/>
        <v>#VALUE!</v>
      </c>
      <c r="AA1152">
        <v>10.4</v>
      </c>
      <c r="AB1152" s="154" t="e">
        <f t="shared" si="175"/>
        <v>#VALUE!</v>
      </c>
      <c r="AC1152">
        <v>10.4</v>
      </c>
      <c r="AD1152" s="154" t="e">
        <f t="shared" si="176"/>
        <v>#VALUE!</v>
      </c>
      <c r="AE1152">
        <v>10.4</v>
      </c>
    </row>
    <row r="1153" spans="12:31" ht="15" x14ac:dyDescent="0.2">
      <c r="L1153" s="154" t="e">
        <f t="shared" si="167"/>
        <v>#VALUE!</v>
      </c>
      <c r="M1153">
        <v>10.41</v>
      </c>
      <c r="N1153" s="154" t="e">
        <f t="shared" si="168"/>
        <v>#VALUE!</v>
      </c>
      <c r="O1153">
        <v>10.41</v>
      </c>
      <c r="P1153" s="154" t="e">
        <f t="shared" si="169"/>
        <v>#VALUE!</v>
      </c>
      <c r="Q1153">
        <v>10.41</v>
      </c>
      <c r="R1153" s="154" t="e">
        <f t="shared" si="170"/>
        <v>#VALUE!</v>
      </c>
      <c r="S1153">
        <v>10.41</v>
      </c>
      <c r="T1153" s="154" t="e">
        <f t="shared" si="171"/>
        <v>#VALUE!</v>
      </c>
      <c r="U1153">
        <v>10.41</v>
      </c>
      <c r="V1153" s="154" t="e">
        <f t="shared" si="172"/>
        <v>#VALUE!</v>
      </c>
      <c r="W1153">
        <v>10.41</v>
      </c>
      <c r="X1153" s="157" t="e">
        <f t="shared" si="173"/>
        <v>#VALUE!</v>
      </c>
      <c r="Y1153">
        <v>10.41</v>
      </c>
      <c r="Z1153" s="154" t="e">
        <f t="shared" si="174"/>
        <v>#VALUE!</v>
      </c>
      <c r="AA1153">
        <v>10.41</v>
      </c>
      <c r="AB1153" s="154" t="e">
        <f t="shared" si="175"/>
        <v>#VALUE!</v>
      </c>
      <c r="AC1153">
        <v>10.41</v>
      </c>
      <c r="AD1153" s="154" t="e">
        <f t="shared" si="176"/>
        <v>#VALUE!</v>
      </c>
      <c r="AE1153">
        <v>10.41</v>
      </c>
    </row>
    <row r="1154" spans="12:31" ht="15" x14ac:dyDescent="0.2">
      <c r="L1154" s="154" t="e">
        <f t="shared" si="167"/>
        <v>#VALUE!</v>
      </c>
      <c r="M1154">
        <v>10.42</v>
      </c>
      <c r="N1154" s="154" t="e">
        <f t="shared" si="168"/>
        <v>#VALUE!</v>
      </c>
      <c r="O1154">
        <v>10.42</v>
      </c>
      <c r="P1154" s="154" t="e">
        <f t="shared" si="169"/>
        <v>#VALUE!</v>
      </c>
      <c r="Q1154">
        <v>10.42</v>
      </c>
      <c r="R1154" s="154" t="e">
        <f t="shared" si="170"/>
        <v>#VALUE!</v>
      </c>
      <c r="S1154">
        <v>10.42</v>
      </c>
      <c r="T1154" s="154" t="e">
        <f t="shared" si="171"/>
        <v>#VALUE!</v>
      </c>
      <c r="U1154">
        <v>10.42</v>
      </c>
      <c r="V1154" s="154" t="e">
        <f t="shared" si="172"/>
        <v>#VALUE!</v>
      </c>
      <c r="W1154">
        <v>10.42</v>
      </c>
      <c r="X1154" s="157" t="e">
        <f t="shared" si="173"/>
        <v>#VALUE!</v>
      </c>
      <c r="Y1154">
        <v>10.42</v>
      </c>
      <c r="Z1154" s="154" t="e">
        <f t="shared" si="174"/>
        <v>#VALUE!</v>
      </c>
      <c r="AA1154">
        <v>10.42</v>
      </c>
      <c r="AB1154" s="154" t="e">
        <f t="shared" si="175"/>
        <v>#VALUE!</v>
      </c>
      <c r="AC1154">
        <v>10.42</v>
      </c>
      <c r="AD1154" s="154" t="e">
        <f t="shared" si="176"/>
        <v>#VALUE!</v>
      </c>
      <c r="AE1154">
        <v>10.42</v>
      </c>
    </row>
    <row r="1155" spans="12:31" ht="15" x14ac:dyDescent="0.2">
      <c r="L1155" s="154" t="e">
        <f t="shared" si="167"/>
        <v>#VALUE!</v>
      </c>
      <c r="M1155">
        <v>10.43</v>
      </c>
      <c r="N1155" s="154" t="e">
        <f t="shared" si="168"/>
        <v>#VALUE!</v>
      </c>
      <c r="O1155">
        <v>10.43</v>
      </c>
      <c r="P1155" s="154" t="e">
        <f t="shared" si="169"/>
        <v>#VALUE!</v>
      </c>
      <c r="Q1155">
        <v>10.43</v>
      </c>
      <c r="R1155" s="154" t="e">
        <f t="shared" si="170"/>
        <v>#VALUE!</v>
      </c>
      <c r="S1155">
        <v>10.43</v>
      </c>
      <c r="T1155" s="154" t="e">
        <f t="shared" si="171"/>
        <v>#VALUE!</v>
      </c>
      <c r="U1155">
        <v>10.43</v>
      </c>
      <c r="V1155" s="154" t="e">
        <f t="shared" si="172"/>
        <v>#VALUE!</v>
      </c>
      <c r="W1155">
        <v>10.43</v>
      </c>
      <c r="X1155" s="157" t="e">
        <f t="shared" si="173"/>
        <v>#VALUE!</v>
      </c>
      <c r="Y1155">
        <v>10.43</v>
      </c>
      <c r="Z1155" s="154" t="e">
        <f t="shared" si="174"/>
        <v>#VALUE!</v>
      </c>
      <c r="AA1155">
        <v>10.43</v>
      </c>
      <c r="AB1155" s="154" t="e">
        <f t="shared" si="175"/>
        <v>#VALUE!</v>
      </c>
      <c r="AC1155">
        <v>10.43</v>
      </c>
      <c r="AD1155" s="154" t="e">
        <f t="shared" si="176"/>
        <v>#VALUE!</v>
      </c>
      <c r="AE1155">
        <v>10.43</v>
      </c>
    </row>
    <row r="1156" spans="12:31" ht="15" x14ac:dyDescent="0.2">
      <c r="L1156" s="154" t="e">
        <f t="shared" si="167"/>
        <v>#VALUE!</v>
      </c>
      <c r="M1156">
        <v>10.44</v>
      </c>
      <c r="N1156" s="154" t="e">
        <f t="shared" si="168"/>
        <v>#VALUE!</v>
      </c>
      <c r="O1156">
        <v>10.44</v>
      </c>
      <c r="P1156" s="154" t="e">
        <f t="shared" si="169"/>
        <v>#VALUE!</v>
      </c>
      <c r="Q1156">
        <v>10.44</v>
      </c>
      <c r="R1156" s="154" t="e">
        <f t="shared" si="170"/>
        <v>#VALUE!</v>
      </c>
      <c r="S1156">
        <v>10.44</v>
      </c>
      <c r="T1156" s="154" t="e">
        <f t="shared" si="171"/>
        <v>#VALUE!</v>
      </c>
      <c r="U1156">
        <v>10.44</v>
      </c>
      <c r="V1156" s="154" t="e">
        <f t="shared" si="172"/>
        <v>#VALUE!</v>
      </c>
      <c r="W1156">
        <v>10.44</v>
      </c>
      <c r="X1156" s="157" t="e">
        <f t="shared" si="173"/>
        <v>#VALUE!</v>
      </c>
      <c r="Y1156">
        <v>10.44</v>
      </c>
      <c r="Z1156" s="154" t="e">
        <f t="shared" si="174"/>
        <v>#VALUE!</v>
      </c>
      <c r="AA1156">
        <v>10.44</v>
      </c>
      <c r="AB1156" s="154" t="e">
        <f t="shared" si="175"/>
        <v>#VALUE!</v>
      </c>
      <c r="AC1156">
        <v>10.44</v>
      </c>
      <c r="AD1156" s="154" t="e">
        <f t="shared" si="176"/>
        <v>#VALUE!</v>
      </c>
      <c r="AE1156">
        <v>10.44</v>
      </c>
    </row>
    <row r="1157" spans="12:31" ht="15" x14ac:dyDescent="0.2">
      <c r="L1157" s="154" t="e">
        <f t="shared" si="167"/>
        <v>#VALUE!</v>
      </c>
      <c r="M1157">
        <v>10.45</v>
      </c>
      <c r="N1157" s="154" t="e">
        <f t="shared" si="168"/>
        <v>#VALUE!</v>
      </c>
      <c r="O1157">
        <v>10.45</v>
      </c>
      <c r="P1157" s="154" t="e">
        <f t="shared" si="169"/>
        <v>#VALUE!</v>
      </c>
      <c r="Q1157">
        <v>10.45</v>
      </c>
      <c r="R1157" s="154" t="e">
        <f t="shared" si="170"/>
        <v>#VALUE!</v>
      </c>
      <c r="S1157">
        <v>10.45</v>
      </c>
      <c r="T1157" s="154" t="e">
        <f t="shared" si="171"/>
        <v>#VALUE!</v>
      </c>
      <c r="U1157">
        <v>10.45</v>
      </c>
      <c r="V1157" s="154" t="e">
        <f t="shared" si="172"/>
        <v>#VALUE!</v>
      </c>
      <c r="W1157">
        <v>10.45</v>
      </c>
      <c r="X1157" s="157" t="e">
        <f t="shared" si="173"/>
        <v>#VALUE!</v>
      </c>
      <c r="Y1157">
        <v>10.45</v>
      </c>
      <c r="Z1157" s="154" t="e">
        <f t="shared" si="174"/>
        <v>#VALUE!</v>
      </c>
      <c r="AA1157">
        <v>10.45</v>
      </c>
      <c r="AB1157" s="154" t="e">
        <f t="shared" si="175"/>
        <v>#VALUE!</v>
      </c>
      <c r="AC1157">
        <v>10.45</v>
      </c>
      <c r="AD1157" s="154" t="e">
        <f t="shared" si="176"/>
        <v>#VALUE!</v>
      </c>
      <c r="AE1157">
        <v>10.45</v>
      </c>
    </row>
    <row r="1158" spans="12:31" ht="15" x14ac:dyDescent="0.2">
      <c r="L1158" s="154" t="e">
        <f t="shared" si="167"/>
        <v>#VALUE!</v>
      </c>
      <c r="M1158">
        <v>10.46</v>
      </c>
      <c r="N1158" s="154" t="e">
        <f t="shared" si="168"/>
        <v>#VALUE!</v>
      </c>
      <c r="O1158">
        <v>10.46</v>
      </c>
      <c r="P1158" s="154" t="e">
        <f t="shared" si="169"/>
        <v>#VALUE!</v>
      </c>
      <c r="Q1158">
        <v>10.46</v>
      </c>
      <c r="R1158" s="154" t="e">
        <f t="shared" si="170"/>
        <v>#VALUE!</v>
      </c>
      <c r="S1158">
        <v>10.46</v>
      </c>
      <c r="T1158" s="154" t="e">
        <f t="shared" si="171"/>
        <v>#VALUE!</v>
      </c>
      <c r="U1158">
        <v>10.46</v>
      </c>
      <c r="V1158" s="154" t="e">
        <f t="shared" si="172"/>
        <v>#VALUE!</v>
      </c>
      <c r="W1158">
        <v>10.46</v>
      </c>
      <c r="X1158" s="157" t="e">
        <f t="shared" si="173"/>
        <v>#VALUE!</v>
      </c>
      <c r="Y1158">
        <v>10.46</v>
      </c>
      <c r="Z1158" s="154" t="e">
        <f t="shared" si="174"/>
        <v>#VALUE!</v>
      </c>
      <c r="AA1158">
        <v>10.46</v>
      </c>
      <c r="AB1158" s="154" t="e">
        <f t="shared" si="175"/>
        <v>#VALUE!</v>
      </c>
      <c r="AC1158">
        <v>10.46</v>
      </c>
      <c r="AD1158" s="154" t="e">
        <f t="shared" si="176"/>
        <v>#VALUE!</v>
      </c>
      <c r="AE1158">
        <v>10.46</v>
      </c>
    </row>
    <row r="1159" spans="12:31" ht="15" x14ac:dyDescent="0.2">
      <c r="L1159" s="154" t="e">
        <f t="shared" si="167"/>
        <v>#VALUE!</v>
      </c>
      <c r="M1159">
        <v>10.47</v>
      </c>
      <c r="N1159" s="154" t="e">
        <f t="shared" si="168"/>
        <v>#VALUE!</v>
      </c>
      <c r="O1159">
        <v>10.47</v>
      </c>
      <c r="P1159" s="154" t="e">
        <f t="shared" si="169"/>
        <v>#VALUE!</v>
      </c>
      <c r="Q1159">
        <v>10.47</v>
      </c>
      <c r="R1159" s="154" t="e">
        <f t="shared" si="170"/>
        <v>#VALUE!</v>
      </c>
      <c r="S1159">
        <v>10.47</v>
      </c>
      <c r="T1159" s="154" t="e">
        <f t="shared" si="171"/>
        <v>#VALUE!</v>
      </c>
      <c r="U1159">
        <v>10.47</v>
      </c>
      <c r="V1159" s="154" t="e">
        <f t="shared" si="172"/>
        <v>#VALUE!</v>
      </c>
      <c r="W1159">
        <v>10.47</v>
      </c>
      <c r="X1159" s="157" t="e">
        <f t="shared" si="173"/>
        <v>#VALUE!</v>
      </c>
      <c r="Y1159">
        <v>10.47</v>
      </c>
      <c r="Z1159" s="154" t="e">
        <f t="shared" si="174"/>
        <v>#VALUE!</v>
      </c>
      <c r="AA1159">
        <v>10.47</v>
      </c>
      <c r="AB1159" s="154" t="e">
        <f t="shared" si="175"/>
        <v>#VALUE!</v>
      </c>
      <c r="AC1159">
        <v>10.47</v>
      </c>
      <c r="AD1159" s="154" t="e">
        <f t="shared" si="176"/>
        <v>#VALUE!</v>
      </c>
      <c r="AE1159">
        <v>10.47</v>
      </c>
    </row>
    <row r="1160" spans="12:31" ht="15" x14ac:dyDescent="0.2">
      <c r="L1160" s="154" t="e">
        <f t="shared" si="167"/>
        <v>#VALUE!</v>
      </c>
      <c r="M1160">
        <v>10.48</v>
      </c>
      <c r="N1160" s="154" t="e">
        <f t="shared" si="168"/>
        <v>#VALUE!</v>
      </c>
      <c r="O1160">
        <v>10.48</v>
      </c>
      <c r="P1160" s="154" t="e">
        <f t="shared" si="169"/>
        <v>#VALUE!</v>
      </c>
      <c r="Q1160">
        <v>10.48</v>
      </c>
      <c r="R1160" s="154" t="e">
        <f t="shared" si="170"/>
        <v>#VALUE!</v>
      </c>
      <c r="S1160">
        <v>10.48</v>
      </c>
      <c r="T1160" s="154" t="e">
        <f t="shared" si="171"/>
        <v>#VALUE!</v>
      </c>
      <c r="U1160">
        <v>10.48</v>
      </c>
      <c r="V1160" s="154" t="e">
        <f t="shared" si="172"/>
        <v>#VALUE!</v>
      </c>
      <c r="W1160">
        <v>10.48</v>
      </c>
      <c r="X1160" s="157" t="e">
        <f t="shared" si="173"/>
        <v>#VALUE!</v>
      </c>
      <c r="Y1160">
        <v>10.48</v>
      </c>
      <c r="Z1160" s="154" t="e">
        <f t="shared" si="174"/>
        <v>#VALUE!</v>
      </c>
      <c r="AA1160">
        <v>10.48</v>
      </c>
      <c r="AB1160" s="154" t="e">
        <f t="shared" si="175"/>
        <v>#VALUE!</v>
      </c>
      <c r="AC1160">
        <v>10.48</v>
      </c>
      <c r="AD1160" s="154" t="e">
        <f t="shared" si="176"/>
        <v>#VALUE!</v>
      </c>
      <c r="AE1160">
        <v>10.48</v>
      </c>
    </row>
    <row r="1161" spans="12:31" ht="15" x14ac:dyDescent="0.2">
      <c r="L1161" s="154" t="e">
        <f t="shared" si="167"/>
        <v>#VALUE!</v>
      </c>
      <c r="M1161">
        <v>10.49</v>
      </c>
      <c r="N1161" s="154" t="e">
        <f t="shared" si="168"/>
        <v>#VALUE!</v>
      </c>
      <c r="O1161">
        <v>10.49</v>
      </c>
      <c r="P1161" s="154" t="e">
        <f t="shared" si="169"/>
        <v>#VALUE!</v>
      </c>
      <c r="Q1161">
        <v>10.49</v>
      </c>
      <c r="R1161" s="154" t="e">
        <f t="shared" si="170"/>
        <v>#VALUE!</v>
      </c>
      <c r="S1161">
        <v>10.49</v>
      </c>
      <c r="T1161" s="154" t="e">
        <f t="shared" si="171"/>
        <v>#VALUE!</v>
      </c>
      <c r="U1161">
        <v>10.49</v>
      </c>
      <c r="V1161" s="154" t="e">
        <f t="shared" si="172"/>
        <v>#VALUE!</v>
      </c>
      <c r="W1161">
        <v>10.49</v>
      </c>
      <c r="X1161" s="157" t="e">
        <f t="shared" si="173"/>
        <v>#VALUE!</v>
      </c>
      <c r="Y1161">
        <v>10.49</v>
      </c>
      <c r="Z1161" s="154" t="e">
        <f t="shared" si="174"/>
        <v>#VALUE!</v>
      </c>
      <c r="AA1161">
        <v>10.49</v>
      </c>
      <c r="AB1161" s="154" t="e">
        <f t="shared" si="175"/>
        <v>#VALUE!</v>
      </c>
      <c r="AC1161">
        <v>10.49</v>
      </c>
      <c r="AD1161" s="154" t="e">
        <f t="shared" si="176"/>
        <v>#VALUE!</v>
      </c>
      <c r="AE1161">
        <v>10.49</v>
      </c>
    </row>
    <row r="1162" spans="12:31" ht="15" x14ac:dyDescent="0.2">
      <c r="L1162" s="154" t="e">
        <f t="shared" si="167"/>
        <v>#VALUE!</v>
      </c>
      <c r="M1162">
        <v>10.5</v>
      </c>
      <c r="N1162" s="154" t="e">
        <f t="shared" si="168"/>
        <v>#VALUE!</v>
      </c>
      <c r="O1162">
        <v>10.5</v>
      </c>
      <c r="P1162" s="154" t="e">
        <f t="shared" si="169"/>
        <v>#VALUE!</v>
      </c>
      <c r="Q1162">
        <v>10.5</v>
      </c>
      <c r="R1162" s="154" t="e">
        <f t="shared" si="170"/>
        <v>#VALUE!</v>
      </c>
      <c r="S1162">
        <v>10.5</v>
      </c>
      <c r="T1162" s="154" t="e">
        <f t="shared" si="171"/>
        <v>#VALUE!</v>
      </c>
      <c r="U1162">
        <v>10.5</v>
      </c>
      <c r="V1162" s="154" t="e">
        <f t="shared" si="172"/>
        <v>#VALUE!</v>
      </c>
      <c r="W1162">
        <v>10.5</v>
      </c>
      <c r="X1162" s="157" t="e">
        <f t="shared" si="173"/>
        <v>#VALUE!</v>
      </c>
      <c r="Y1162">
        <v>10.5</v>
      </c>
      <c r="Z1162" s="154" t="e">
        <f t="shared" si="174"/>
        <v>#VALUE!</v>
      </c>
      <c r="AA1162">
        <v>10.5</v>
      </c>
      <c r="AB1162" s="154" t="e">
        <f t="shared" si="175"/>
        <v>#VALUE!</v>
      </c>
      <c r="AC1162">
        <v>10.5</v>
      </c>
      <c r="AD1162" s="154" t="e">
        <f t="shared" si="176"/>
        <v>#VALUE!</v>
      </c>
      <c r="AE1162">
        <v>10.5</v>
      </c>
    </row>
    <row r="1163" spans="12:31" ht="15" x14ac:dyDescent="0.2">
      <c r="L1163" s="154" t="e">
        <f t="shared" si="167"/>
        <v>#VALUE!</v>
      </c>
      <c r="M1163">
        <v>10.51</v>
      </c>
      <c r="N1163" s="154" t="e">
        <f t="shared" si="168"/>
        <v>#VALUE!</v>
      </c>
      <c r="O1163">
        <v>10.51</v>
      </c>
      <c r="P1163" s="154" t="e">
        <f t="shared" si="169"/>
        <v>#VALUE!</v>
      </c>
      <c r="Q1163">
        <v>10.51</v>
      </c>
      <c r="R1163" s="154" t="e">
        <f t="shared" si="170"/>
        <v>#VALUE!</v>
      </c>
      <c r="S1163">
        <v>10.51</v>
      </c>
      <c r="T1163" s="154" t="e">
        <f t="shared" si="171"/>
        <v>#VALUE!</v>
      </c>
      <c r="U1163">
        <v>10.51</v>
      </c>
      <c r="V1163" s="154" t="e">
        <f t="shared" si="172"/>
        <v>#VALUE!</v>
      </c>
      <c r="W1163">
        <v>10.51</v>
      </c>
      <c r="X1163" s="157" t="e">
        <f t="shared" si="173"/>
        <v>#VALUE!</v>
      </c>
      <c r="Y1163">
        <v>10.51</v>
      </c>
      <c r="Z1163" s="154" t="e">
        <f t="shared" si="174"/>
        <v>#VALUE!</v>
      </c>
      <c r="AA1163">
        <v>10.51</v>
      </c>
      <c r="AB1163" s="154" t="e">
        <f t="shared" si="175"/>
        <v>#VALUE!</v>
      </c>
      <c r="AC1163">
        <v>10.51</v>
      </c>
      <c r="AD1163" s="154" t="e">
        <f t="shared" si="176"/>
        <v>#VALUE!</v>
      </c>
      <c r="AE1163">
        <v>10.51</v>
      </c>
    </row>
    <row r="1164" spans="12:31" ht="15" x14ac:dyDescent="0.2">
      <c r="L1164" s="154" t="e">
        <f t="shared" si="167"/>
        <v>#VALUE!</v>
      </c>
      <c r="M1164">
        <v>10.52</v>
      </c>
      <c r="N1164" s="154" t="e">
        <f t="shared" si="168"/>
        <v>#VALUE!</v>
      </c>
      <c r="O1164">
        <v>10.52</v>
      </c>
      <c r="P1164" s="154" t="e">
        <f t="shared" si="169"/>
        <v>#VALUE!</v>
      </c>
      <c r="Q1164">
        <v>10.52</v>
      </c>
      <c r="R1164" s="154" t="e">
        <f t="shared" si="170"/>
        <v>#VALUE!</v>
      </c>
      <c r="S1164">
        <v>10.52</v>
      </c>
      <c r="T1164" s="154" t="e">
        <f t="shared" si="171"/>
        <v>#VALUE!</v>
      </c>
      <c r="U1164">
        <v>10.52</v>
      </c>
      <c r="V1164" s="154" t="e">
        <f t="shared" si="172"/>
        <v>#VALUE!</v>
      </c>
      <c r="W1164">
        <v>10.52</v>
      </c>
      <c r="X1164" s="157" t="e">
        <f t="shared" si="173"/>
        <v>#VALUE!</v>
      </c>
      <c r="Y1164">
        <v>10.52</v>
      </c>
      <c r="Z1164" s="154" t="e">
        <f t="shared" si="174"/>
        <v>#VALUE!</v>
      </c>
      <c r="AA1164">
        <v>10.52</v>
      </c>
      <c r="AB1164" s="154" t="e">
        <f t="shared" si="175"/>
        <v>#VALUE!</v>
      </c>
      <c r="AC1164">
        <v>10.52</v>
      </c>
      <c r="AD1164" s="154" t="e">
        <f t="shared" si="176"/>
        <v>#VALUE!</v>
      </c>
      <c r="AE1164">
        <v>10.52</v>
      </c>
    </row>
    <row r="1165" spans="12:31" ht="15" x14ac:dyDescent="0.2">
      <c r="L1165" s="154" t="e">
        <f t="shared" si="167"/>
        <v>#VALUE!</v>
      </c>
      <c r="M1165">
        <v>10.53</v>
      </c>
      <c r="N1165" s="154" t="e">
        <f t="shared" si="168"/>
        <v>#VALUE!</v>
      </c>
      <c r="O1165">
        <v>10.53</v>
      </c>
      <c r="P1165" s="154" t="e">
        <f t="shared" si="169"/>
        <v>#VALUE!</v>
      </c>
      <c r="Q1165">
        <v>10.53</v>
      </c>
      <c r="R1165" s="154" t="e">
        <f t="shared" si="170"/>
        <v>#VALUE!</v>
      </c>
      <c r="S1165">
        <v>10.53</v>
      </c>
      <c r="T1165" s="154" t="e">
        <f t="shared" si="171"/>
        <v>#VALUE!</v>
      </c>
      <c r="U1165">
        <v>10.53</v>
      </c>
      <c r="V1165" s="154" t="e">
        <f t="shared" si="172"/>
        <v>#VALUE!</v>
      </c>
      <c r="W1165">
        <v>10.53</v>
      </c>
      <c r="X1165" s="157" t="e">
        <f t="shared" si="173"/>
        <v>#VALUE!</v>
      </c>
      <c r="Y1165">
        <v>10.53</v>
      </c>
      <c r="Z1165" s="154" t="e">
        <f t="shared" si="174"/>
        <v>#VALUE!</v>
      </c>
      <c r="AA1165">
        <v>10.53</v>
      </c>
      <c r="AB1165" s="154" t="e">
        <f t="shared" si="175"/>
        <v>#VALUE!</v>
      </c>
      <c r="AC1165">
        <v>10.53</v>
      </c>
      <c r="AD1165" s="154" t="e">
        <f t="shared" si="176"/>
        <v>#VALUE!</v>
      </c>
      <c r="AE1165">
        <v>10.53</v>
      </c>
    </row>
    <row r="1166" spans="12:31" ht="15" x14ac:dyDescent="0.2">
      <c r="L1166" s="154" t="e">
        <f t="shared" si="167"/>
        <v>#VALUE!</v>
      </c>
      <c r="M1166">
        <v>10.54</v>
      </c>
      <c r="N1166" s="154" t="e">
        <f t="shared" si="168"/>
        <v>#VALUE!</v>
      </c>
      <c r="O1166">
        <v>10.54</v>
      </c>
      <c r="P1166" s="154" t="e">
        <f t="shared" si="169"/>
        <v>#VALUE!</v>
      </c>
      <c r="Q1166">
        <v>10.54</v>
      </c>
      <c r="R1166" s="154" t="e">
        <f t="shared" si="170"/>
        <v>#VALUE!</v>
      </c>
      <c r="S1166">
        <v>10.54</v>
      </c>
      <c r="T1166" s="154" t="e">
        <f t="shared" si="171"/>
        <v>#VALUE!</v>
      </c>
      <c r="U1166">
        <v>10.54</v>
      </c>
      <c r="V1166" s="154" t="e">
        <f t="shared" si="172"/>
        <v>#VALUE!</v>
      </c>
      <c r="W1166">
        <v>10.54</v>
      </c>
      <c r="X1166" s="157" t="e">
        <f t="shared" si="173"/>
        <v>#VALUE!</v>
      </c>
      <c r="Y1166">
        <v>10.54</v>
      </c>
      <c r="Z1166" s="154" t="e">
        <f t="shared" si="174"/>
        <v>#VALUE!</v>
      </c>
      <c r="AA1166">
        <v>10.54</v>
      </c>
      <c r="AB1166" s="154" t="e">
        <f t="shared" si="175"/>
        <v>#VALUE!</v>
      </c>
      <c r="AC1166">
        <v>10.54</v>
      </c>
      <c r="AD1166" s="154" t="e">
        <f t="shared" si="176"/>
        <v>#VALUE!</v>
      </c>
      <c r="AE1166">
        <v>10.54</v>
      </c>
    </row>
    <row r="1167" spans="12:31" ht="15" x14ac:dyDescent="0.2">
      <c r="L1167" s="154" t="e">
        <f t="shared" si="167"/>
        <v>#VALUE!</v>
      </c>
      <c r="M1167">
        <v>10.55</v>
      </c>
      <c r="N1167" s="154" t="e">
        <f t="shared" si="168"/>
        <v>#VALUE!</v>
      </c>
      <c r="O1167">
        <v>10.55</v>
      </c>
      <c r="P1167" s="154" t="e">
        <f t="shared" si="169"/>
        <v>#VALUE!</v>
      </c>
      <c r="Q1167">
        <v>10.55</v>
      </c>
      <c r="R1167" s="154" t="e">
        <f t="shared" si="170"/>
        <v>#VALUE!</v>
      </c>
      <c r="S1167">
        <v>10.55</v>
      </c>
      <c r="T1167" s="154" t="e">
        <f t="shared" si="171"/>
        <v>#VALUE!</v>
      </c>
      <c r="U1167">
        <v>10.55</v>
      </c>
      <c r="V1167" s="154" t="e">
        <f t="shared" si="172"/>
        <v>#VALUE!</v>
      </c>
      <c r="W1167">
        <v>10.55</v>
      </c>
      <c r="X1167" s="157" t="e">
        <f t="shared" si="173"/>
        <v>#VALUE!</v>
      </c>
      <c r="Y1167">
        <v>10.55</v>
      </c>
      <c r="Z1167" s="154" t="e">
        <f t="shared" si="174"/>
        <v>#VALUE!</v>
      </c>
      <c r="AA1167">
        <v>10.55</v>
      </c>
      <c r="AB1167" s="154" t="e">
        <f t="shared" si="175"/>
        <v>#VALUE!</v>
      </c>
      <c r="AC1167">
        <v>10.55</v>
      </c>
      <c r="AD1167" s="154" t="e">
        <f t="shared" si="176"/>
        <v>#VALUE!</v>
      </c>
      <c r="AE1167">
        <v>10.55</v>
      </c>
    </row>
    <row r="1168" spans="12:31" ht="15" x14ac:dyDescent="0.2">
      <c r="L1168" s="154" t="e">
        <f t="shared" si="167"/>
        <v>#VALUE!</v>
      </c>
      <c r="M1168">
        <v>10.56</v>
      </c>
      <c r="N1168" s="154" t="e">
        <f t="shared" si="168"/>
        <v>#VALUE!</v>
      </c>
      <c r="O1168">
        <v>10.56</v>
      </c>
      <c r="P1168" s="154" t="e">
        <f t="shared" si="169"/>
        <v>#VALUE!</v>
      </c>
      <c r="Q1168">
        <v>10.56</v>
      </c>
      <c r="R1168" s="154" t="e">
        <f t="shared" si="170"/>
        <v>#VALUE!</v>
      </c>
      <c r="S1168">
        <v>10.56</v>
      </c>
      <c r="T1168" s="154" t="e">
        <f t="shared" si="171"/>
        <v>#VALUE!</v>
      </c>
      <c r="U1168">
        <v>10.56</v>
      </c>
      <c r="V1168" s="154" t="e">
        <f t="shared" si="172"/>
        <v>#VALUE!</v>
      </c>
      <c r="W1168">
        <v>10.56</v>
      </c>
      <c r="X1168" s="157" t="e">
        <f t="shared" si="173"/>
        <v>#VALUE!</v>
      </c>
      <c r="Y1168">
        <v>10.56</v>
      </c>
      <c r="Z1168" s="154" t="e">
        <f t="shared" si="174"/>
        <v>#VALUE!</v>
      </c>
      <c r="AA1168">
        <v>10.56</v>
      </c>
      <c r="AB1168" s="154" t="e">
        <f t="shared" si="175"/>
        <v>#VALUE!</v>
      </c>
      <c r="AC1168">
        <v>10.56</v>
      </c>
      <c r="AD1168" s="154" t="e">
        <f t="shared" si="176"/>
        <v>#VALUE!</v>
      </c>
      <c r="AE1168">
        <v>10.56</v>
      </c>
    </row>
    <row r="1169" spans="12:31" ht="15" x14ac:dyDescent="0.2">
      <c r="L1169" s="154" t="e">
        <f t="shared" si="167"/>
        <v>#VALUE!</v>
      </c>
      <c r="M1169">
        <v>10.57</v>
      </c>
      <c r="N1169" s="154" t="e">
        <f t="shared" si="168"/>
        <v>#VALUE!</v>
      </c>
      <c r="O1169">
        <v>10.57</v>
      </c>
      <c r="P1169" s="154" t="e">
        <f t="shared" si="169"/>
        <v>#VALUE!</v>
      </c>
      <c r="Q1169">
        <v>10.57</v>
      </c>
      <c r="R1169" s="154" t="e">
        <f t="shared" si="170"/>
        <v>#VALUE!</v>
      </c>
      <c r="S1169">
        <v>10.57</v>
      </c>
      <c r="T1169" s="154" t="e">
        <f t="shared" si="171"/>
        <v>#VALUE!</v>
      </c>
      <c r="U1169">
        <v>10.57</v>
      </c>
      <c r="V1169" s="154" t="e">
        <f t="shared" si="172"/>
        <v>#VALUE!</v>
      </c>
      <c r="W1169">
        <v>10.57</v>
      </c>
      <c r="X1169" s="157" t="e">
        <f t="shared" si="173"/>
        <v>#VALUE!</v>
      </c>
      <c r="Y1169">
        <v>10.57</v>
      </c>
      <c r="Z1169" s="154" t="e">
        <f t="shared" si="174"/>
        <v>#VALUE!</v>
      </c>
      <c r="AA1169">
        <v>10.57</v>
      </c>
      <c r="AB1169" s="154" t="e">
        <f t="shared" si="175"/>
        <v>#VALUE!</v>
      </c>
      <c r="AC1169">
        <v>10.57</v>
      </c>
      <c r="AD1169" s="154" t="e">
        <f t="shared" si="176"/>
        <v>#VALUE!</v>
      </c>
      <c r="AE1169">
        <v>10.57</v>
      </c>
    </row>
    <row r="1170" spans="12:31" ht="15" x14ac:dyDescent="0.2">
      <c r="L1170" s="154" t="e">
        <f t="shared" si="167"/>
        <v>#VALUE!</v>
      </c>
      <c r="M1170">
        <v>10.58</v>
      </c>
      <c r="N1170" s="154" t="e">
        <f t="shared" si="168"/>
        <v>#VALUE!</v>
      </c>
      <c r="O1170">
        <v>10.58</v>
      </c>
      <c r="P1170" s="154" t="e">
        <f t="shared" si="169"/>
        <v>#VALUE!</v>
      </c>
      <c r="Q1170">
        <v>10.58</v>
      </c>
      <c r="R1170" s="154" t="e">
        <f t="shared" si="170"/>
        <v>#VALUE!</v>
      </c>
      <c r="S1170">
        <v>10.58</v>
      </c>
      <c r="T1170" s="154" t="e">
        <f t="shared" si="171"/>
        <v>#VALUE!</v>
      </c>
      <c r="U1170">
        <v>10.58</v>
      </c>
      <c r="V1170" s="154" t="e">
        <f t="shared" si="172"/>
        <v>#VALUE!</v>
      </c>
      <c r="W1170">
        <v>10.58</v>
      </c>
      <c r="X1170" s="157" t="e">
        <f t="shared" si="173"/>
        <v>#VALUE!</v>
      </c>
      <c r="Y1170">
        <v>10.58</v>
      </c>
      <c r="Z1170" s="154" t="e">
        <f t="shared" si="174"/>
        <v>#VALUE!</v>
      </c>
      <c r="AA1170">
        <v>10.58</v>
      </c>
      <c r="AB1170" s="154" t="e">
        <f t="shared" si="175"/>
        <v>#VALUE!</v>
      </c>
      <c r="AC1170">
        <v>10.58</v>
      </c>
      <c r="AD1170" s="154" t="e">
        <f t="shared" si="176"/>
        <v>#VALUE!</v>
      </c>
      <c r="AE1170">
        <v>10.58</v>
      </c>
    </row>
    <row r="1171" spans="12:31" ht="15" x14ac:dyDescent="0.2">
      <c r="L1171" s="154" t="e">
        <f t="shared" si="167"/>
        <v>#VALUE!</v>
      </c>
      <c r="M1171">
        <v>10.59</v>
      </c>
      <c r="N1171" s="154" t="e">
        <f t="shared" si="168"/>
        <v>#VALUE!</v>
      </c>
      <c r="O1171">
        <v>10.59</v>
      </c>
      <c r="P1171" s="154" t="e">
        <f t="shared" si="169"/>
        <v>#VALUE!</v>
      </c>
      <c r="Q1171">
        <v>10.59</v>
      </c>
      <c r="R1171" s="154" t="e">
        <f t="shared" si="170"/>
        <v>#VALUE!</v>
      </c>
      <c r="S1171">
        <v>10.59</v>
      </c>
      <c r="T1171" s="154" t="e">
        <f t="shared" si="171"/>
        <v>#VALUE!</v>
      </c>
      <c r="U1171">
        <v>10.59</v>
      </c>
      <c r="V1171" s="154" t="e">
        <f t="shared" si="172"/>
        <v>#VALUE!</v>
      </c>
      <c r="W1171">
        <v>10.59</v>
      </c>
      <c r="X1171" s="157" t="e">
        <f t="shared" si="173"/>
        <v>#VALUE!</v>
      </c>
      <c r="Y1171">
        <v>10.59</v>
      </c>
      <c r="Z1171" s="154" t="e">
        <f t="shared" si="174"/>
        <v>#VALUE!</v>
      </c>
      <c r="AA1171">
        <v>10.59</v>
      </c>
      <c r="AB1171" s="154" t="e">
        <f t="shared" si="175"/>
        <v>#VALUE!</v>
      </c>
      <c r="AC1171">
        <v>10.59</v>
      </c>
      <c r="AD1171" s="154" t="e">
        <f t="shared" si="176"/>
        <v>#VALUE!</v>
      </c>
      <c r="AE1171">
        <v>10.59</v>
      </c>
    </row>
    <row r="1172" spans="12:31" ht="15" x14ac:dyDescent="0.2">
      <c r="L1172" s="154" t="e">
        <f t="shared" si="167"/>
        <v>#VALUE!</v>
      </c>
      <c r="M1172">
        <v>10.6</v>
      </c>
      <c r="N1172" s="154" t="e">
        <f t="shared" si="168"/>
        <v>#VALUE!</v>
      </c>
      <c r="O1172">
        <v>10.6</v>
      </c>
      <c r="P1172" s="154" t="e">
        <f t="shared" si="169"/>
        <v>#VALUE!</v>
      </c>
      <c r="Q1172">
        <v>10.6</v>
      </c>
      <c r="R1172" s="154" t="e">
        <f t="shared" si="170"/>
        <v>#VALUE!</v>
      </c>
      <c r="S1172">
        <v>10.6</v>
      </c>
      <c r="T1172" s="154" t="e">
        <f t="shared" si="171"/>
        <v>#VALUE!</v>
      </c>
      <c r="U1172">
        <v>10.6</v>
      </c>
      <c r="V1172" s="154" t="e">
        <f t="shared" si="172"/>
        <v>#VALUE!</v>
      </c>
      <c r="W1172">
        <v>10.6</v>
      </c>
      <c r="X1172" s="157" t="e">
        <f t="shared" si="173"/>
        <v>#VALUE!</v>
      </c>
      <c r="Y1172">
        <v>10.6</v>
      </c>
      <c r="Z1172" s="154" t="e">
        <f t="shared" si="174"/>
        <v>#VALUE!</v>
      </c>
      <c r="AA1172">
        <v>10.6</v>
      </c>
      <c r="AB1172" s="154" t="e">
        <f t="shared" si="175"/>
        <v>#VALUE!</v>
      </c>
      <c r="AC1172">
        <v>10.6</v>
      </c>
      <c r="AD1172" s="154" t="e">
        <f t="shared" si="176"/>
        <v>#VALUE!</v>
      </c>
      <c r="AE1172">
        <v>10.6</v>
      </c>
    </row>
    <row r="1173" spans="12:31" ht="15" x14ac:dyDescent="0.2">
      <c r="L1173" s="154" t="e">
        <f t="shared" si="167"/>
        <v>#VALUE!</v>
      </c>
      <c r="M1173">
        <v>10.61</v>
      </c>
      <c r="N1173" s="154" t="e">
        <f t="shared" si="168"/>
        <v>#VALUE!</v>
      </c>
      <c r="O1173">
        <v>10.61</v>
      </c>
      <c r="P1173" s="154" t="e">
        <f t="shared" si="169"/>
        <v>#VALUE!</v>
      </c>
      <c r="Q1173">
        <v>10.61</v>
      </c>
      <c r="R1173" s="154" t="e">
        <f t="shared" si="170"/>
        <v>#VALUE!</v>
      </c>
      <c r="S1173">
        <v>10.61</v>
      </c>
      <c r="T1173" s="154" t="e">
        <f t="shared" si="171"/>
        <v>#VALUE!</v>
      </c>
      <c r="U1173">
        <v>10.61</v>
      </c>
      <c r="V1173" s="154" t="e">
        <f t="shared" si="172"/>
        <v>#VALUE!</v>
      </c>
      <c r="W1173">
        <v>10.61</v>
      </c>
      <c r="X1173" s="157" t="e">
        <f t="shared" si="173"/>
        <v>#VALUE!</v>
      </c>
      <c r="Y1173">
        <v>10.61</v>
      </c>
      <c r="Z1173" s="154" t="e">
        <f t="shared" si="174"/>
        <v>#VALUE!</v>
      </c>
      <c r="AA1173">
        <v>10.61</v>
      </c>
      <c r="AB1173" s="154" t="e">
        <f t="shared" si="175"/>
        <v>#VALUE!</v>
      </c>
      <c r="AC1173">
        <v>10.61</v>
      </c>
      <c r="AD1173" s="154" t="e">
        <f t="shared" si="176"/>
        <v>#VALUE!</v>
      </c>
      <c r="AE1173">
        <v>10.61</v>
      </c>
    </row>
    <row r="1174" spans="12:31" ht="15" x14ac:dyDescent="0.2">
      <c r="L1174" s="154" t="e">
        <f t="shared" si="167"/>
        <v>#VALUE!</v>
      </c>
      <c r="M1174">
        <v>10.62</v>
      </c>
      <c r="N1174" s="154" t="e">
        <f t="shared" si="168"/>
        <v>#VALUE!</v>
      </c>
      <c r="O1174">
        <v>10.62</v>
      </c>
      <c r="P1174" s="154" t="e">
        <f t="shared" si="169"/>
        <v>#VALUE!</v>
      </c>
      <c r="Q1174">
        <v>10.62</v>
      </c>
      <c r="R1174" s="154" t="e">
        <f t="shared" si="170"/>
        <v>#VALUE!</v>
      </c>
      <c r="S1174">
        <v>10.62</v>
      </c>
      <c r="T1174" s="154" t="e">
        <f t="shared" si="171"/>
        <v>#VALUE!</v>
      </c>
      <c r="U1174">
        <v>10.62</v>
      </c>
      <c r="V1174" s="154" t="e">
        <f t="shared" si="172"/>
        <v>#VALUE!</v>
      </c>
      <c r="W1174">
        <v>10.62</v>
      </c>
      <c r="X1174" s="157" t="e">
        <f t="shared" si="173"/>
        <v>#VALUE!</v>
      </c>
      <c r="Y1174">
        <v>10.62</v>
      </c>
      <c r="Z1174" s="154" t="e">
        <f t="shared" si="174"/>
        <v>#VALUE!</v>
      </c>
      <c r="AA1174">
        <v>10.62</v>
      </c>
      <c r="AB1174" s="154" t="e">
        <f t="shared" si="175"/>
        <v>#VALUE!</v>
      </c>
      <c r="AC1174">
        <v>10.62</v>
      </c>
      <c r="AD1174" s="154" t="e">
        <f t="shared" si="176"/>
        <v>#VALUE!</v>
      </c>
      <c r="AE1174">
        <v>10.62</v>
      </c>
    </row>
    <row r="1175" spans="12:31" ht="15" x14ac:dyDescent="0.2">
      <c r="L1175" s="154" t="e">
        <f t="shared" si="167"/>
        <v>#VALUE!</v>
      </c>
      <c r="M1175">
        <v>10.63</v>
      </c>
      <c r="N1175" s="154" t="e">
        <f t="shared" si="168"/>
        <v>#VALUE!</v>
      </c>
      <c r="O1175">
        <v>10.63</v>
      </c>
      <c r="P1175" s="154" t="e">
        <f t="shared" si="169"/>
        <v>#VALUE!</v>
      </c>
      <c r="Q1175">
        <v>10.63</v>
      </c>
      <c r="R1175" s="154" t="e">
        <f t="shared" si="170"/>
        <v>#VALUE!</v>
      </c>
      <c r="S1175">
        <v>10.63</v>
      </c>
      <c r="T1175" s="154" t="e">
        <f t="shared" si="171"/>
        <v>#VALUE!</v>
      </c>
      <c r="U1175">
        <v>10.63</v>
      </c>
      <c r="V1175" s="154" t="e">
        <f t="shared" si="172"/>
        <v>#VALUE!</v>
      </c>
      <c r="W1175">
        <v>10.63</v>
      </c>
      <c r="X1175" s="157" t="e">
        <f t="shared" si="173"/>
        <v>#VALUE!</v>
      </c>
      <c r="Y1175">
        <v>10.63</v>
      </c>
      <c r="Z1175" s="154" t="e">
        <f t="shared" si="174"/>
        <v>#VALUE!</v>
      </c>
      <c r="AA1175">
        <v>10.63</v>
      </c>
      <c r="AB1175" s="154" t="e">
        <f t="shared" si="175"/>
        <v>#VALUE!</v>
      </c>
      <c r="AC1175">
        <v>10.63</v>
      </c>
      <c r="AD1175" s="154" t="e">
        <f t="shared" si="176"/>
        <v>#VALUE!</v>
      </c>
      <c r="AE1175">
        <v>10.63</v>
      </c>
    </row>
    <row r="1176" spans="12:31" ht="15" x14ac:dyDescent="0.2">
      <c r="L1176" s="154" t="e">
        <f t="shared" si="167"/>
        <v>#VALUE!</v>
      </c>
      <c r="M1176">
        <v>10.64</v>
      </c>
      <c r="N1176" s="154" t="e">
        <f t="shared" si="168"/>
        <v>#VALUE!</v>
      </c>
      <c r="O1176">
        <v>10.64</v>
      </c>
      <c r="P1176" s="154" t="e">
        <f t="shared" si="169"/>
        <v>#VALUE!</v>
      </c>
      <c r="Q1176">
        <v>10.64</v>
      </c>
      <c r="R1176" s="154" t="e">
        <f t="shared" si="170"/>
        <v>#VALUE!</v>
      </c>
      <c r="S1176">
        <v>10.64</v>
      </c>
      <c r="T1176" s="154" t="e">
        <f t="shared" si="171"/>
        <v>#VALUE!</v>
      </c>
      <c r="U1176">
        <v>10.64</v>
      </c>
      <c r="V1176" s="154" t="e">
        <f t="shared" si="172"/>
        <v>#VALUE!</v>
      </c>
      <c r="W1176">
        <v>10.64</v>
      </c>
      <c r="X1176" s="157" t="e">
        <f t="shared" si="173"/>
        <v>#VALUE!</v>
      </c>
      <c r="Y1176">
        <v>10.64</v>
      </c>
      <c r="Z1176" s="154" t="e">
        <f t="shared" si="174"/>
        <v>#VALUE!</v>
      </c>
      <c r="AA1176">
        <v>10.64</v>
      </c>
      <c r="AB1176" s="154" t="e">
        <f t="shared" si="175"/>
        <v>#VALUE!</v>
      </c>
      <c r="AC1176">
        <v>10.64</v>
      </c>
      <c r="AD1176" s="154" t="e">
        <f t="shared" si="176"/>
        <v>#VALUE!</v>
      </c>
      <c r="AE1176">
        <v>10.64</v>
      </c>
    </row>
    <row r="1177" spans="12:31" ht="15" x14ac:dyDescent="0.2">
      <c r="L1177" s="154" t="e">
        <f t="shared" si="167"/>
        <v>#VALUE!</v>
      </c>
      <c r="M1177">
        <v>10.65</v>
      </c>
      <c r="N1177" s="154" t="e">
        <f t="shared" si="168"/>
        <v>#VALUE!</v>
      </c>
      <c r="O1177">
        <v>10.65</v>
      </c>
      <c r="P1177" s="154" t="e">
        <f t="shared" si="169"/>
        <v>#VALUE!</v>
      </c>
      <c r="Q1177">
        <v>10.65</v>
      </c>
      <c r="R1177" s="154" t="e">
        <f t="shared" si="170"/>
        <v>#VALUE!</v>
      </c>
      <c r="S1177">
        <v>10.65</v>
      </c>
      <c r="T1177" s="154" t="e">
        <f t="shared" si="171"/>
        <v>#VALUE!</v>
      </c>
      <c r="U1177">
        <v>10.65</v>
      </c>
      <c r="V1177" s="154" t="e">
        <f t="shared" si="172"/>
        <v>#VALUE!</v>
      </c>
      <c r="W1177">
        <v>10.65</v>
      </c>
      <c r="X1177" s="157" t="e">
        <f t="shared" si="173"/>
        <v>#VALUE!</v>
      </c>
      <c r="Y1177">
        <v>10.65</v>
      </c>
      <c r="Z1177" s="154" t="e">
        <f t="shared" si="174"/>
        <v>#VALUE!</v>
      </c>
      <c r="AA1177">
        <v>10.65</v>
      </c>
      <c r="AB1177" s="154" t="e">
        <f t="shared" si="175"/>
        <v>#VALUE!</v>
      </c>
      <c r="AC1177">
        <v>10.65</v>
      </c>
      <c r="AD1177" s="154" t="e">
        <f t="shared" si="176"/>
        <v>#VALUE!</v>
      </c>
      <c r="AE1177">
        <v>10.65</v>
      </c>
    </row>
    <row r="1178" spans="12:31" ht="15" x14ac:dyDescent="0.2">
      <c r="L1178" s="154" t="e">
        <f t="shared" si="167"/>
        <v>#VALUE!</v>
      </c>
      <c r="M1178">
        <v>10.66</v>
      </c>
      <c r="N1178" s="154" t="e">
        <f t="shared" si="168"/>
        <v>#VALUE!</v>
      </c>
      <c r="O1178">
        <v>10.66</v>
      </c>
      <c r="P1178" s="154" t="e">
        <f t="shared" si="169"/>
        <v>#VALUE!</v>
      </c>
      <c r="Q1178">
        <v>10.66</v>
      </c>
      <c r="R1178" s="154" t="e">
        <f t="shared" si="170"/>
        <v>#VALUE!</v>
      </c>
      <c r="S1178">
        <v>10.66</v>
      </c>
      <c r="T1178" s="154" t="e">
        <f t="shared" si="171"/>
        <v>#VALUE!</v>
      </c>
      <c r="U1178">
        <v>10.66</v>
      </c>
      <c r="V1178" s="154" t="e">
        <f t="shared" si="172"/>
        <v>#VALUE!</v>
      </c>
      <c r="W1178">
        <v>10.66</v>
      </c>
      <c r="X1178" s="157" t="e">
        <f t="shared" si="173"/>
        <v>#VALUE!</v>
      </c>
      <c r="Y1178">
        <v>10.66</v>
      </c>
      <c r="Z1178" s="154" t="e">
        <f t="shared" si="174"/>
        <v>#VALUE!</v>
      </c>
      <c r="AA1178">
        <v>10.66</v>
      </c>
      <c r="AB1178" s="154" t="e">
        <f t="shared" si="175"/>
        <v>#VALUE!</v>
      </c>
      <c r="AC1178">
        <v>10.66</v>
      </c>
      <c r="AD1178" s="154" t="e">
        <f t="shared" si="176"/>
        <v>#VALUE!</v>
      </c>
      <c r="AE1178">
        <v>10.66</v>
      </c>
    </row>
    <row r="1179" spans="12:31" ht="15" x14ac:dyDescent="0.2">
      <c r="L1179" s="154" t="e">
        <f t="shared" si="167"/>
        <v>#VALUE!</v>
      </c>
      <c r="M1179">
        <v>10.67</v>
      </c>
      <c r="N1179" s="154" t="e">
        <f t="shared" si="168"/>
        <v>#VALUE!</v>
      </c>
      <c r="O1179">
        <v>10.67</v>
      </c>
      <c r="P1179" s="154" t="e">
        <f t="shared" si="169"/>
        <v>#VALUE!</v>
      </c>
      <c r="Q1179">
        <v>10.67</v>
      </c>
      <c r="R1179" s="154" t="e">
        <f t="shared" si="170"/>
        <v>#VALUE!</v>
      </c>
      <c r="S1179">
        <v>10.67</v>
      </c>
      <c r="T1179" s="154" t="e">
        <f t="shared" si="171"/>
        <v>#VALUE!</v>
      </c>
      <c r="U1179">
        <v>10.67</v>
      </c>
      <c r="V1179" s="154" t="e">
        <f t="shared" si="172"/>
        <v>#VALUE!</v>
      </c>
      <c r="W1179">
        <v>10.67</v>
      </c>
      <c r="X1179" s="157" t="e">
        <f t="shared" si="173"/>
        <v>#VALUE!</v>
      </c>
      <c r="Y1179">
        <v>10.67</v>
      </c>
      <c r="Z1179" s="154" t="e">
        <f t="shared" si="174"/>
        <v>#VALUE!</v>
      </c>
      <c r="AA1179">
        <v>10.67</v>
      </c>
      <c r="AB1179" s="154" t="e">
        <f t="shared" si="175"/>
        <v>#VALUE!</v>
      </c>
      <c r="AC1179">
        <v>10.67</v>
      </c>
      <c r="AD1179" s="154" t="e">
        <f t="shared" si="176"/>
        <v>#VALUE!</v>
      </c>
      <c r="AE1179">
        <v>10.67</v>
      </c>
    </row>
    <row r="1180" spans="12:31" ht="15" x14ac:dyDescent="0.2">
      <c r="L1180" s="154" t="e">
        <f t="shared" si="167"/>
        <v>#VALUE!</v>
      </c>
      <c r="M1180">
        <v>10.68</v>
      </c>
      <c r="N1180" s="154" t="e">
        <f t="shared" si="168"/>
        <v>#VALUE!</v>
      </c>
      <c r="O1180">
        <v>10.68</v>
      </c>
      <c r="P1180" s="154" t="e">
        <f t="shared" si="169"/>
        <v>#VALUE!</v>
      </c>
      <c r="Q1180">
        <v>10.68</v>
      </c>
      <c r="R1180" s="154" t="e">
        <f t="shared" si="170"/>
        <v>#VALUE!</v>
      </c>
      <c r="S1180">
        <v>10.68</v>
      </c>
      <c r="T1180" s="154" t="e">
        <f t="shared" si="171"/>
        <v>#VALUE!</v>
      </c>
      <c r="U1180">
        <v>10.68</v>
      </c>
      <c r="V1180" s="154" t="e">
        <f t="shared" si="172"/>
        <v>#VALUE!</v>
      </c>
      <c r="W1180">
        <v>10.68</v>
      </c>
      <c r="X1180" s="157" t="e">
        <f t="shared" si="173"/>
        <v>#VALUE!</v>
      </c>
      <c r="Y1180">
        <v>10.68</v>
      </c>
      <c r="Z1180" s="154" t="e">
        <f t="shared" si="174"/>
        <v>#VALUE!</v>
      </c>
      <c r="AA1180">
        <v>10.68</v>
      </c>
      <c r="AB1180" s="154" t="e">
        <f t="shared" si="175"/>
        <v>#VALUE!</v>
      </c>
      <c r="AC1180">
        <v>10.68</v>
      </c>
      <c r="AD1180" s="154" t="e">
        <f t="shared" si="176"/>
        <v>#VALUE!</v>
      </c>
      <c r="AE1180">
        <v>10.68</v>
      </c>
    </row>
    <row r="1181" spans="12:31" ht="15" x14ac:dyDescent="0.2">
      <c r="L1181" s="154" t="e">
        <f t="shared" si="167"/>
        <v>#VALUE!</v>
      </c>
      <c r="M1181">
        <v>10.69</v>
      </c>
      <c r="N1181" s="154" t="e">
        <f t="shared" si="168"/>
        <v>#VALUE!</v>
      </c>
      <c r="O1181">
        <v>10.69</v>
      </c>
      <c r="P1181" s="154" t="e">
        <f t="shared" si="169"/>
        <v>#VALUE!</v>
      </c>
      <c r="Q1181">
        <v>10.69</v>
      </c>
      <c r="R1181" s="154" t="e">
        <f t="shared" si="170"/>
        <v>#VALUE!</v>
      </c>
      <c r="S1181">
        <v>10.69</v>
      </c>
      <c r="T1181" s="154" t="e">
        <f t="shared" si="171"/>
        <v>#VALUE!</v>
      </c>
      <c r="U1181">
        <v>10.69</v>
      </c>
      <c r="V1181" s="154" t="e">
        <f t="shared" si="172"/>
        <v>#VALUE!</v>
      </c>
      <c r="W1181">
        <v>10.69</v>
      </c>
      <c r="X1181" s="157" t="e">
        <f t="shared" si="173"/>
        <v>#VALUE!</v>
      </c>
      <c r="Y1181">
        <v>10.69</v>
      </c>
      <c r="Z1181" s="154" t="e">
        <f t="shared" si="174"/>
        <v>#VALUE!</v>
      </c>
      <c r="AA1181">
        <v>10.69</v>
      </c>
      <c r="AB1181" s="154" t="e">
        <f t="shared" si="175"/>
        <v>#VALUE!</v>
      </c>
      <c r="AC1181">
        <v>10.69</v>
      </c>
      <c r="AD1181" s="154" t="e">
        <f t="shared" si="176"/>
        <v>#VALUE!</v>
      </c>
      <c r="AE1181">
        <v>10.69</v>
      </c>
    </row>
    <row r="1182" spans="12:31" ht="15" x14ac:dyDescent="0.2">
      <c r="L1182" s="154" t="e">
        <f t="shared" si="167"/>
        <v>#VALUE!</v>
      </c>
      <c r="M1182">
        <v>10.7</v>
      </c>
      <c r="N1182" s="154" t="e">
        <f t="shared" si="168"/>
        <v>#VALUE!</v>
      </c>
      <c r="O1182">
        <v>10.7</v>
      </c>
      <c r="P1182" s="154" t="e">
        <f t="shared" si="169"/>
        <v>#VALUE!</v>
      </c>
      <c r="Q1182">
        <v>10.7</v>
      </c>
      <c r="R1182" s="154" t="e">
        <f t="shared" si="170"/>
        <v>#VALUE!</v>
      </c>
      <c r="S1182">
        <v>10.7</v>
      </c>
      <c r="T1182" s="154" t="e">
        <f t="shared" si="171"/>
        <v>#VALUE!</v>
      </c>
      <c r="U1182">
        <v>10.7</v>
      </c>
      <c r="V1182" s="154" t="e">
        <f t="shared" si="172"/>
        <v>#VALUE!</v>
      </c>
      <c r="W1182">
        <v>10.7</v>
      </c>
      <c r="X1182" s="157" t="e">
        <f t="shared" si="173"/>
        <v>#VALUE!</v>
      </c>
      <c r="Y1182">
        <v>10.7</v>
      </c>
      <c r="Z1182" s="154" t="e">
        <f t="shared" si="174"/>
        <v>#VALUE!</v>
      </c>
      <c r="AA1182">
        <v>10.7</v>
      </c>
      <c r="AB1182" s="154" t="e">
        <f t="shared" si="175"/>
        <v>#VALUE!</v>
      </c>
      <c r="AC1182">
        <v>10.7</v>
      </c>
      <c r="AD1182" s="154" t="e">
        <f t="shared" si="176"/>
        <v>#VALUE!</v>
      </c>
      <c r="AE1182">
        <v>10.7</v>
      </c>
    </row>
    <row r="1183" spans="12:31" ht="15" x14ac:dyDescent="0.2">
      <c r="L1183" s="154" t="e">
        <f t="shared" si="167"/>
        <v>#VALUE!</v>
      </c>
      <c r="M1183">
        <v>10.71</v>
      </c>
      <c r="N1183" s="154" t="e">
        <f t="shared" si="168"/>
        <v>#VALUE!</v>
      </c>
      <c r="O1183">
        <v>10.71</v>
      </c>
      <c r="P1183" s="154" t="e">
        <f t="shared" si="169"/>
        <v>#VALUE!</v>
      </c>
      <c r="Q1183">
        <v>10.71</v>
      </c>
      <c r="R1183" s="154" t="e">
        <f t="shared" si="170"/>
        <v>#VALUE!</v>
      </c>
      <c r="S1183">
        <v>10.71</v>
      </c>
      <c r="T1183" s="154" t="e">
        <f t="shared" si="171"/>
        <v>#VALUE!</v>
      </c>
      <c r="U1183">
        <v>10.71</v>
      </c>
      <c r="V1183" s="154" t="e">
        <f t="shared" si="172"/>
        <v>#VALUE!</v>
      </c>
      <c r="W1183">
        <v>10.71</v>
      </c>
      <c r="X1183" s="157" t="e">
        <f t="shared" si="173"/>
        <v>#VALUE!</v>
      </c>
      <c r="Y1183">
        <v>10.71</v>
      </c>
      <c r="Z1183" s="154" t="e">
        <f t="shared" si="174"/>
        <v>#VALUE!</v>
      </c>
      <c r="AA1183">
        <v>10.71</v>
      </c>
      <c r="AB1183" s="154" t="e">
        <f t="shared" si="175"/>
        <v>#VALUE!</v>
      </c>
      <c r="AC1183">
        <v>10.71</v>
      </c>
      <c r="AD1183" s="154" t="e">
        <f t="shared" si="176"/>
        <v>#VALUE!</v>
      </c>
      <c r="AE1183">
        <v>10.71</v>
      </c>
    </row>
    <row r="1184" spans="12:31" ht="15" x14ac:dyDescent="0.2">
      <c r="L1184" s="154" t="e">
        <f t="shared" si="167"/>
        <v>#VALUE!</v>
      </c>
      <c r="M1184">
        <v>10.72</v>
      </c>
      <c r="N1184" s="154" t="e">
        <f t="shared" si="168"/>
        <v>#VALUE!</v>
      </c>
      <c r="O1184">
        <v>10.72</v>
      </c>
      <c r="P1184" s="154" t="e">
        <f t="shared" si="169"/>
        <v>#VALUE!</v>
      </c>
      <c r="Q1184">
        <v>10.72</v>
      </c>
      <c r="R1184" s="154" t="e">
        <f t="shared" si="170"/>
        <v>#VALUE!</v>
      </c>
      <c r="S1184">
        <v>10.72</v>
      </c>
      <c r="T1184" s="154" t="e">
        <f t="shared" si="171"/>
        <v>#VALUE!</v>
      </c>
      <c r="U1184">
        <v>10.72</v>
      </c>
      <c r="V1184" s="154" t="e">
        <f t="shared" si="172"/>
        <v>#VALUE!</v>
      </c>
      <c r="W1184">
        <v>10.72</v>
      </c>
      <c r="X1184" s="157" t="e">
        <f t="shared" si="173"/>
        <v>#VALUE!</v>
      </c>
      <c r="Y1184">
        <v>10.72</v>
      </c>
      <c r="Z1184" s="154" t="e">
        <f t="shared" si="174"/>
        <v>#VALUE!</v>
      </c>
      <c r="AA1184">
        <v>10.72</v>
      </c>
      <c r="AB1184" s="154" t="e">
        <f t="shared" si="175"/>
        <v>#VALUE!</v>
      </c>
      <c r="AC1184">
        <v>10.72</v>
      </c>
      <c r="AD1184" s="154" t="e">
        <f t="shared" si="176"/>
        <v>#VALUE!</v>
      </c>
      <c r="AE1184">
        <v>10.72</v>
      </c>
    </row>
    <row r="1185" spans="12:31" ht="15" x14ac:dyDescent="0.2">
      <c r="L1185" s="154" t="e">
        <f t="shared" si="167"/>
        <v>#VALUE!</v>
      </c>
      <c r="M1185">
        <v>10.73</v>
      </c>
      <c r="N1185" s="154" t="e">
        <f t="shared" si="168"/>
        <v>#VALUE!</v>
      </c>
      <c r="O1185">
        <v>10.73</v>
      </c>
      <c r="P1185" s="154" t="e">
        <f t="shared" si="169"/>
        <v>#VALUE!</v>
      </c>
      <c r="Q1185">
        <v>10.73</v>
      </c>
      <c r="R1185" s="154" t="e">
        <f t="shared" si="170"/>
        <v>#VALUE!</v>
      </c>
      <c r="S1185">
        <v>10.73</v>
      </c>
      <c r="T1185" s="154" t="e">
        <f t="shared" si="171"/>
        <v>#VALUE!</v>
      </c>
      <c r="U1185">
        <v>10.73</v>
      </c>
      <c r="V1185" s="154" t="e">
        <f t="shared" si="172"/>
        <v>#VALUE!</v>
      </c>
      <c r="W1185">
        <v>10.73</v>
      </c>
      <c r="X1185" s="157" t="e">
        <f t="shared" si="173"/>
        <v>#VALUE!</v>
      </c>
      <c r="Y1185">
        <v>10.73</v>
      </c>
      <c r="Z1185" s="154" t="e">
        <f t="shared" si="174"/>
        <v>#VALUE!</v>
      </c>
      <c r="AA1185">
        <v>10.73</v>
      </c>
      <c r="AB1185" s="154" t="e">
        <f t="shared" si="175"/>
        <v>#VALUE!</v>
      </c>
      <c r="AC1185">
        <v>10.73</v>
      </c>
      <c r="AD1185" s="154" t="e">
        <f t="shared" si="176"/>
        <v>#VALUE!</v>
      </c>
      <c r="AE1185">
        <v>10.73</v>
      </c>
    </row>
    <row r="1186" spans="12:31" ht="15" x14ac:dyDescent="0.2">
      <c r="L1186" s="154" t="e">
        <f t="shared" si="167"/>
        <v>#VALUE!</v>
      </c>
      <c r="M1186">
        <v>10.74</v>
      </c>
      <c r="N1186" s="154" t="e">
        <f t="shared" si="168"/>
        <v>#VALUE!</v>
      </c>
      <c r="O1186">
        <v>10.74</v>
      </c>
      <c r="P1186" s="154" t="e">
        <f t="shared" si="169"/>
        <v>#VALUE!</v>
      </c>
      <c r="Q1186">
        <v>10.74</v>
      </c>
      <c r="R1186" s="154" t="e">
        <f t="shared" si="170"/>
        <v>#VALUE!</v>
      </c>
      <c r="S1186">
        <v>10.74</v>
      </c>
      <c r="T1186" s="154" t="e">
        <f t="shared" si="171"/>
        <v>#VALUE!</v>
      </c>
      <c r="U1186">
        <v>10.74</v>
      </c>
      <c r="V1186" s="154" t="e">
        <f t="shared" si="172"/>
        <v>#VALUE!</v>
      </c>
      <c r="W1186">
        <v>10.74</v>
      </c>
      <c r="X1186" s="157" t="e">
        <f t="shared" si="173"/>
        <v>#VALUE!</v>
      </c>
      <c r="Y1186">
        <v>10.74</v>
      </c>
      <c r="Z1186" s="154" t="e">
        <f t="shared" si="174"/>
        <v>#VALUE!</v>
      </c>
      <c r="AA1186">
        <v>10.74</v>
      </c>
      <c r="AB1186" s="154" t="e">
        <f t="shared" si="175"/>
        <v>#VALUE!</v>
      </c>
      <c r="AC1186">
        <v>10.74</v>
      </c>
      <c r="AD1186" s="154" t="e">
        <f t="shared" si="176"/>
        <v>#VALUE!</v>
      </c>
      <c r="AE1186">
        <v>10.74</v>
      </c>
    </row>
    <row r="1187" spans="12:31" ht="15" x14ac:dyDescent="0.2">
      <c r="L1187" s="154" t="e">
        <f t="shared" si="167"/>
        <v>#VALUE!</v>
      </c>
      <c r="M1187">
        <v>10.75</v>
      </c>
      <c r="N1187" s="154" t="e">
        <f t="shared" si="168"/>
        <v>#VALUE!</v>
      </c>
      <c r="O1187">
        <v>10.75</v>
      </c>
      <c r="P1187" s="154" t="e">
        <f t="shared" si="169"/>
        <v>#VALUE!</v>
      </c>
      <c r="Q1187">
        <v>10.75</v>
      </c>
      <c r="R1187" s="154" t="e">
        <f t="shared" si="170"/>
        <v>#VALUE!</v>
      </c>
      <c r="S1187">
        <v>10.75</v>
      </c>
      <c r="T1187" s="154" t="e">
        <f t="shared" si="171"/>
        <v>#VALUE!</v>
      </c>
      <c r="U1187">
        <v>10.75</v>
      </c>
      <c r="V1187" s="154" t="e">
        <f t="shared" si="172"/>
        <v>#VALUE!</v>
      </c>
      <c r="W1187">
        <v>10.75</v>
      </c>
      <c r="X1187" s="157" t="e">
        <f t="shared" si="173"/>
        <v>#VALUE!</v>
      </c>
      <c r="Y1187">
        <v>10.75</v>
      </c>
      <c r="Z1187" s="154" t="e">
        <f t="shared" si="174"/>
        <v>#VALUE!</v>
      </c>
      <c r="AA1187">
        <v>10.75</v>
      </c>
      <c r="AB1187" s="154" t="e">
        <f t="shared" si="175"/>
        <v>#VALUE!</v>
      </c>
      <c r="AC1187">
        <v>10.75</v>
      </c>
      <c r="AD1187" s="154" t="e">
        <f t="shared" si="176"/>
        <v>#VALUE!</v>
      </c>
      <c r="AE1187">
        <v>10.75</v>
      </c>
    </row>
    <row r="1188" spans="12:31" ht="15" x14ac:dyDescent="0.2">
      <c r="L1188" s="154" t="e">
        <f t="shared" si="167"/>
        <v>#VALUE!</v>
      </c>
      <c r="M1188">
        <v>10.76</v>
      </c>
      <c r="N1188" s="154" t="e">
        <f t="shared" si="168"/>
        <v>#VALUE!</v>
      </c>
      <c r="O1188">
        <v>10.76</v>
      </c>
      <c r="P1188" s="154" t="e">
        <f t="shared" si="169"/>
        <v>#VALUE!</v>
      </c>
      <c r="Q1188">
        <v>10.76</v>
      </c>
      <c r="R1188" s="154" t="e">
        <f t="shared" si="170"/>
        <v>#VALUE!</v>
      </c>
      <c r="S1188">
        <v>10.76</v>
      </c>
      <c r="T1188" s="154" t="e">
        <f t="shared" si="171"/>
        <v>#VALUE!</v>
      </c>
      <c r="U1188">
        <v>10.76</v>
      </c>
      <c r="V1188" s="154" t="e">
        <f t="shared" si="172"/>
        <v>#VALUE!</v>
      </c>
      <c r="W1188">
        <v>10.76</v>
      </c>
      <c r="X1188" s="157" t="e">
        <f t="shared" si="173"/>
        <v>#VALUE!</v>
      </c>
      <c r="Y1188">
        <v>10.76</v>
      </c>
      <c r="Z1188" s="154" t="e">
        <f t="shared" si="174"/>
        <v>#VALUE!</v>
      </c>
      <c r="AA1188">
        <v>10.76</v>
      </c>
      <c r="AB1188" s="154" t="e">
        <f t="shared" si="175"/>
        <v>#VALUE!</v>
      </c>
      <c r="AC1188">
        <v>10.76</v>
      </c>
      <c r="AD1188" s="154" t="e">
        <f t="shared" si="176"/>
        <v>#VALUE!</v>
      </c>
      <c r="AE1188">
        <v>10.76</v>
      </c>
    </row>
    <row r="1189" spans="12:31" ht="15" x14ac:dyDescent="0.2">
      <c r="L1189" s="154" t="e">
        <f t="shared" si="167"/>
        <v>#VALUE!</v>
      </c>
      <c r="M1189">
        <v>10.77</v>
      </c>
      <c r="N1189" s="154" t="e">
        <f t="shared" si="168"/>
        <v>#VALUE!</v>
      </c>
      <c r="O1189">
        <v>10.77</v>
      </c>
      <c r="P1189" s="154" t="e">
        <f t="shared" si="169"/>
        <v>#VALUE!</v>
      </c>
      <c r="Q1189">
        <v>10.77</v>
      </c>
      <c r="R1189" s="154" t="e">
        <f t="shared" si="170"/>
        <v>#VALUE!</v>
      </c>
      <c r="S1189">
        <v>10.77</v>
      </c>
      <c r="T1189" s="154" t="e">
        <f t="shared" si="171"/>
        <v>#VALUE!</v>
      </c>
      <c r="U1189">
        <v>10.77</v>
      </c>
      <c r="V1189" s="154" t="e">
        <f t="shared" si="172"/>
        <v>#VALUE!</v>
      </c>
      <c r="W1189">
        <v>10.77</v>
      </c>
      <c r="X1189" s="157" t="e">
        <f t="shared" si="173"/>
        <v>#VALUE!</v>
      </c>
      <c r="Y1189">
        <v>10.77</v>
      </c>
      <c r="Z1189" s="154" t="e">
        <f t="shared" si="174"/>
        <v>#VALUE!</v>
      </c>
      <c r="AA1189">
        <v>10.77</v>
      </c>
      <c r="AB1189" s="154" t="e">
        <f t="shared" si="175"/>
        <v>#VALUE!</v>
      </c>
      <c r="AC1189">
        <v>10.77</v>
      </c>
      <c r="AD1189" s="154" t="e">
        <f t="shared" si="176"/>
        <v>#VALUE!</v>
      </c>
      <c r="AE1189">
        <v>10.77</v>
      </c>
    </row>
    <row r="1190" spans="12:31" ht="15" x14ac:dyDescent="0.2">
      <c r="L1190" s="154" t="e">
        <f t="shared" si="167"/>
        <v>#VALUE!</v>
      </c>
      <c r="M1190">
        <v>10.78</v>
      </c>
      <c r="N1190" s="154" t="e">
        <f t="shared" si="168"/>
        <v>#VALUE!</v>
      </c>
      <c r="O1190">
        <v>10.78</v>
      </c>
      <c r="P1190" s="154" t="e">
        <f t="shared" si="169"/>
        <v>#VALUE!</v>
      </c>
      <c r="Q1190">
        <v>10.78</v>
      </c>
      <c r="R1190" s="154" t="e">
        <f t="shared" si="170"/>
        <v>#VALUE!</v>
      </c>
      <c r="S1190">
        <v>10.78</v>
      </c>
      <c r="T1190" s="154" t="e">
        <f t="shared" si="171"/>
        <v>#VALUE!</v>
      </c>
      <c r="U1190">
        <v>10.78</v>
      </c>
      <c r="V1190" s="154" t="e">
        <f t="shared" si="172"/>
        <v>#VALUE!</v>
      </c>
      <c r="W1190">
        <v>10.78</v>
      </c>
      <c r="X1190" s="157" t="e">
        <f t="shared" si="173"/>
        <v>#VALUE!</v>
      </c>
      <c r="Y1190">
        <v>10.78</v>
      </c>
      <c r="Z1190" s="154" t="e">
        <f t="shared" si="174"/>
        <v>#VALUE!</v>
      </c>
      <c r="AA1190">
        <v>10.78</v>
      </c>
      <c r="AB1190" s="154" t="e">
        <f t="shared" si="175"/>
        <v>#VALUE!</v>
      </c>
      <c r="AC1190">
        <v>10.78</v>
      </c>
      <c r="AD1190" s="154" t="e">
        <f t="shared" si="176"/>
        <v>#VALUE!</v>
      </c>
      <c r="AE1190">
        <v>10.78</v>
      </c>
    </row>
    <row r="1191" spans="12:31" ht="15" x14ac:dyDescent="0.2">
      <c r="L1191" s="154" t="e">
        <f t="shared" si="167"/>
        <v>#VALUE!</v>
      </c>
      <c r="M1191">
        <v>10.79</v>
      </c>
      <c r="N1191" s="154" t="e">
        <f t="shared" si="168"/>
        <v>#VALUE!</v>
      </c>
      <c r="O1191">
        <v>10.79</v>
      </c>
      <c r="P1191" s="154" t="e">
        <f t="shared" si="169"/>
        <v>#VALUE!</v>
      </c>
      <c r="Q1191">
        <v>10.79</v>
      </c>
      <c r="R1191" s="154" t="e">
        <f t="shared" si="170"/>
        <v>#VALUE!</v>
      </c>
      <c r="S1191">
        <v>10.79</v>
      </c>
      <c r="T1191" s="154" t="e">
        <f t="shared" si="171"/>
        <v>#VALUE!</v>
      </c>
      <c r="U1191">
        <v>10.79</v>
      </c>
      <c r="V1191" s="154" t="e">
        <f t="shared" si="172"/>
        <v>#VALUE!</v>
      </c>
      <c r="W1191">
        <v>10.79</v>
      </c>
      <c r="X1191" s="157" t="e">
        <f t="shared" si="173"/>
        <v>#VALUE!</v>
      </c>
      <c r="Y1191">
        <v>10.79</v>
      </c>
      <c r="Z1191" s="154" t="e">
        <f t="shared" si="174"/>
        <v>#VALUE!</v>
      </c>
      <c r="AA1191">
        <v>10.79</v>
      </c>
      <c r="AB1191" s="154" t="e">
        <f t="shared" si="175"/>
        <v>#VALUE!</v>
      </c>
      <c r="AC1191">
        <v>10.79</v>
      </c>
      <c r="AD1191" s="154" t="e">
        <f t="shared" si="176"/>
        <v>#VALUE!</v>
      </c>
      <c r="AE1191">
        <v>10.79</v>
      </c>
    </row>
    <row r="1192" spans="12:31" ht="15" x14ac:dyDescent="0.2">
      <c r="L1192" s="154" t="e">
        <f t="shared" si="167"/>
        <v>#VALUE!</v>
      </c>
      <c r="M1192">
        <v>10.8</v>
      </c>
      <c r="N1192" s="154" t="e">
        <f t="shared" si="168"/>
        <v>#VALUE!</v>
      </c>
      <c r="O1192">
        <v>10.8</v>
      </c>
      <c r="P1192" s="154" t="e">
        <f t="shared" si="169"/>
        <v>#VALUE!</v>
      </c>
      <c r="Q1192">
        <v>10.8</v>
      </c>
      <c r="R1192" s="154" t="e">
        <f t="shared" si="170"/>
        <v>#VALUE!</v>
      </c>
      <c r="S1192">
        <v>10.8</v>
      </c>
      <c r="T1192" s="154" t="e">
        <f t="shared" si="171"/>
        <v>#VALUE!</v>
      </c>
      <c r="U1192">
        <v>10.8</v>
      </c>
      <c r="V1192" s="154" t="e">
        <f t="shared" si="172"/>
        <v>#VALUE!</v>
      </c>
      <c r="W1192">
        <v>10.8</v>
      </c>
      <c r="X1192" s="157" t="e">
        <f t="shared" si="173"/>
        <v>#VALUE!</v>
      </c>
      <c r="Y1192">
        <v>10.8</v>
      </c>
      <c r="Z1192" s="154" t="e">
        <f t="shared" si="174"/>
        <v>#VALUE!</v>
      </c>
      <c r="AA1192">
        <v>10.8</v>
      </c>
      <c r="AB1192" s="154" t="e">
        <f t="shared" si="175"/>
        <v>#VALUE!</v>
      </c>
      <c r="AC1192">
        <v>10.8</v>
      </c>
      <c r="AD1192" s="154" t="e">
        <f t="shared" si="176"/>
        <v>#VALUE!</v>
      </c>
      <c r="AE1192">
        <v>10.8</v>
      </c>
    </row>
    <row r="1193" spans="12:31" ht="15" x14ac:dyDescent="0.2">
      <c r="L1193" s="154" t="e">
        <f t="shared" si="167"/>
        <v>#VALUE!</v>
      </c>
      <c r="M1193">
        <v>10.81</v>
      </c>
      <c r="N1193" s="154" t="e">
        <f t="shared" si="168"/>
        <v>#VALUE!</v>
      </c>
      <c r="O1193">
        <v>10.81</v>
      </c>
      <c r="P1193" s="154" t="e">
        <f t="shared" si="169"/>
        <v>#VALUE!</v>
      </c>
      <c r="Q1193">
        <v>10.81</v>
      </c>
      <c r="R1193" s="154" t="e">
        <f t="shared" si="170"/>
        <v>#VALUE!</v>
      </c>
      <c r="S1193">
        <v>10.81</v>
      </c>
      <c r="T1193" s="154" t="e">
        <f t="shared" si="171"/>
        <v>#VALUE!</v>
      </c>
      <c r="U1193">
        <v>10.81</v>
      </c>
      <c r="V1193" s="154" t="e">
        <f t="shared" si="172"/>
        <v>#VALUE!</v>
      </c>
      <c r="W1193">
        <v>10.81</v>
      </c>
      <c r="X1193" s="157" t="e">
        <f t="shared" si="173"/>
        <v>#VALUE!</v>
      </c>
      <c r="Y1193">
        <v>10.81</v>
      </c>
      <c r="Z1193" s="154" t="e">
        <f t="shared" si="174"/>
        <v>#VALUE!</v>
      </c>
      <c r="AA1193">
        <v>10.81</v>
      </c>
      <c r="AB1193" s="154" t="e">
        <f t="shared" si="175"/>
        <v>#VALUE!</v>
      </c>
      <c r="AC1193">
        <v>10.81</v>
      </c>
      <c r="AD1193" s="154" t="e">
        <f t="shared" si="176"/>
        <v>#VALUE!</v>
      </c>
      <c r="AE1193">
        <v>10.81</v>
      </c>
    </row>
    <row r="1194" spans="12:31" ht="15" x14ac:dyDescent="0.2">
      <c r="L1194" s="154" t="e">
        <f t="shared" si="167"/>
        <v>#VALUE!</v>
      </c>
      <c r="M1194">
        <v>10.82</v>
      </c>
      <c r="N1194" s="154" t="e">
        <f t="shared" si="168"/>
        <v>#VALUE!</v>
      </c>
      <c r="O1194">
        <v>10.82</v>
      </c>
      <c r="P1194" s="154" t="e">
        <f t="shared" si="169"/>
        <v>#VALUE!</v>
      </c>
      <c r="Q1194">
        <v>10.82</v>
      </c>
      <c r="R1194" s="154" t="e">
        <f t="shared" si="170"/>
        <v>#VALUE!</v>
      </c>
      <c r="S1194">
        <v>10.82</v>
      </c>
      <c r="T1194" s="154" t="e">
        <f t="shared" si="171"/>
        <v>#VALUE!</v>
      </c>
      <c r="U1194">
        <v>10.82</v>
      </c>
      <c r="V1194" s="154" t="e">
        <f t="shared" si="172"/>
        <v>#VALUE!</v>
      </c>
      <c r="W1194">
        <v>10.82</v>
      </c>
      <c r="X1194" s="157" t="e">
        <f t="shared" si="173"/>
        <v>#VALUE!</v>
      </c>
      <c r="Y1194">
        <v>10.82</v>
      </c>
      <c r="Z1194" s="154" t="e">
        <f t="shared" si="174"/>
        <v>#VALUE!</v>
      </c>
      <c r="AA1194">
        <v>10.82</v>
      </c>
      <c r="AB1194" s="154" t="e">
        <f t="shared" si="175"/>
        <v>#VALUE!</v>
      </c>
      <c r="AC1194">
        <v>10.82</v>
      </c>
      <c r="AD1194" s="154" t="e">
        <f t="shared" si="176"/>
        <v>#VALUE!</v>
      </c>
      <c r="AE1194">
        <v>10.82</v>
      </c>
    </row>
    <row r="1195" spans="12:31" ht="15" x14ac:dyDescent="0.2">
      <c r="L1195" s="154" t="e">
        <f t="shared" si="167"/>
        <v>#VALUE!</v>
      </c>
      <c r="M1195">
        <v>10.83</v>
      </c>
      <c r="N1195" s="154" t="e">
        <f t="shared" si="168"/>
        <v>#VALUE!</v>
      </c>
      <c r="O1195">
        <v>10.83</v>
      </c>
      <c r="P1195" s="154" t="e">
        <f t="shared" si="169"/>
        <v>#VALUE!</v>
      </c>
      <c r="Q1195">
        <v>10.83</v>
      </c>
      <c r="R1195" s="154" t="e">
        <f t="shared" si="170"/>
        <v>#VALUE!</v>
      </c>
      <c r="S1195">
        <v>10.83</v>
      </c>
      <c r="T1195" s="154" t="e">
        <f t="shared" si="171"/>
        <v>#VALUE!</v>
      </c>
      <c r="U1195">
        <v>10.83</v>
      </c>
      <c r="V1195" s="154" t="e">
        <f t="shared" si="172"/>
        <v>#VALUE!</v>
      </c>
      <c r="W1195">
        <v>10.83</v>
      </c>
      <c r="X1195" s="157" t="e">
        <f t="shared" si="173"/>
        <v>#VALUE!</v>
      </c>
      <c r="Y1195">
        <v>10.83</v>
      </c>
      <c r="Z1195" s="154" t="e">
        <f t="shared" si="174"/>
        <v>#VALUE!</v>
      </c>
      <c r="AA1195">
        <v>10.83</v>
      </c>
      <c r="AB1195" s="154" t="e">
        <f t="shared" si="175"/>
        <v>#VALUE!</v>
      </c>
      <c r="AC1195">
        <v>10.83</v>
      </c>
      <c r="AD1195" s="154" t="e">
        <f t="shared" si="176"/>
        <v>#VALUE!</v>
      </c>
      <c r="AE1195">
        <v>10.83</v>
      </c>
    </row>
    <row r="1196" spans="12:31" ht="15" x14ac:dyDescent="0.2">
      <c r="L1196" s="154" t="e">
        <f t="shared" si="167"/>
        <v>#VALUE!</v>
      </c>
      <c r="M1196">
        <v>10.84</v>
      </c>
      <c r="N1196" s="154" t="e">
        <f t="shared" si="168"/>
        <v>#VALUE!</v>
      </c>
      <c r="O1196">
        <v>10.84</v>
      </c>
      <c r="P1196" s="154" t="e">
        <f t="shared" si="169"/>
        <v>#VALUE!</v>
      </c>
      <c r="Q1196">
        <v>10.84</v>
      </c>
      <c r="R1196" s="154" t="e">
        <f t="shared" si="170"/>
        <v>#VALUE!</v>
      </c>
      <c r="S1196">
        <v>10.84</v>
      </c>
      <c r="T1196" s="154" t="e">
        <f t="shared" si="171"/>
        <v>#VALUE!</v>
      </c>
      <c r="U1196">
        <v>10.84</v>
      </c>
      <c r="V1196" s="154" t="e">
        <f t="shared" si="172"/>
        <v>#VALUE!</v>
      </c>
      <c r="W1196">
        <v>10.84</v>
      </c>
      <c r="X1196" s="157" t="e">
        <f t="shared" si="173"/>
        <v>#VALUE!</v>
      </c>
      <c r="Y1196">
        <v>10.84</v>
      </c>
      <c r="Z1196" s="154" t="e">
        <f t="shared" si="174"/>
        <v>#VALUE!</v>
      </c>
      <c r="AA1196">
        <v>10.84</v>
      </c>
      <c r="AB1196" s="154" t="e">
        <f t="shared" si="175"/>
        <v>#VALUE!</v>
      </c>
      <c r="AC1196">
        <v>10.84</v>
      </c>
      <c r="AD1196" s="154" t="e">
        <f t="shared" si="176"/>
        <v>#VALUE!</v>
      </c>
      <c r="AE1196">
        <v>10.84</v>
      </c>
    </row>
    <row r="1197" spans="12:31" ht="15" x14ac:dyDescent="0.2">
      <c r="L1197" s="154" t="e">
        <f t="shared" si="167"/>
        <v>#VALUE!</v>
      </c>
      <c r="M1197">
        <v>10.85</v>
      </c>
      <c r="N1197" s="154" t="e">
        <f t="shared" si="168"/>
        <v>#VALUE!</v>
      </c>
      <c r="O1197">
        <v>10.85</v>
      </c>
      <c r="P1197" s="154" t="e">
        <f t="shared" si="169"/>
        <v>#VALUE!</v>
      </c>
      <c r="Q1197">
        <v>10.85</v>
      </c>
      <c r="R1197" s="154" t="e">
        <f t="shared" si="170"/>
        <v>#VALUE!</v>
      </c>
      <c r="S1197">
        <v>10.85</v>
      </c>
      <c r="T1197" s="154" t="e">
        <f t="shared" si="171"/>
        <v>#VALUE!</v>
      </c>
      <c r="U1197">
        <v>10.85</v>
      </c>
      <c r="V1197" s="154" t="e">
        <f t="shared" si="172"/>
        <v>#VALUE!</v>
      </c>
      <c r="W1197">
        <v>10.85</v>
      </c>
      <c r="X1197" s="157" t="e">
        <f t="shared" si="173"/>
        <v>#VALUE!</v>
      </c>
      <c r="Y1197">
        <v>10.85</v>
      </c>
      <c r="Z1197" s="154" t="e">
        <f t="shared" si="174"/>
        <v>#VALUE!</v>
      </c>
      <c r="AA1197">
        <v>10.85</v>
      </c>
      <c r="AB1197" s="154" t="e">
        <f t="shared" si="175"/>
        <v>#VALUE!</v>
      </c>
      <c r="AC1197">
        <v>10.85</v>
      </c>
      <c r="AD1197" s="154" t="e">
        <f t="shared" si="176"/>
        <v>#VALUE!</v>
      </c>
      <c r="AE1197">
        <v>10.85</v>
      </c>
    </row>
    <row r="1198" spans="12:31" ht="15" x14ac:dyDescent="0.2">
      <c r="L1198" s="154" t="e">
        <f t="shared" si="167"/>
        <v>#VALUE!</v>
      </c>
      <c r="M1198">
        <v>10.86</v>
      </c>
      <c r="N1198" s="154" t="e">
        <f t="shared" si="168"/>
        <v>#VALUE!</v>
      </c>
      <c r="O1198">
        <v>10.86</v>
      </c>
      <c r="P1198" s="154" t="e">
        <f t="shared" si="169"/>
        <v>#VALUE!</v>
      </c>
      <c r="Q1198">
        <v>10.86</v>
      </c>
      <c r="R1198" s="154" t="e">
        <f t="shared" si="170"/>
        <v>#VALUE!</v>
      </c>
      <c r="S1198">
        <v>10.86</v>
      </c>
      <c r="T1198" s="154" t="e">
        <f t="shared" si="171"/>
        <v>#VALUE!</v>
      </c>
      <c r="U1198">
        <v>10.86</v>
      </c>
      <c r="V1198" s="154" t="e">
        <f t="shared" si="172"/>
        <v>#VALUE!</v>
      </c>
      <c r="W1198">
        <v>10.86</v>
      </c>
      <c r="X1198" s="157" t="e">
        <f t="shared" si="173"/>
        <v>#VALUE!</v>
      </c>
      <c r="Y1198">
        <v>10.86</v>
      </c>
      <c r="Z1198" s="154" t="e">
        <f t="shared" si="174"/>
        <v>#VALUE!</v>
      </c>
      <c r="AA1198">
        <v>10.86</v>
      </c>
      <c r="AB1198" s="154" t="e">
        <f t="shared" si="175"/>
        <v>#VALUE!</v>
      </c>
      <c r="AC1198">
        <v>10.86</v>
      </c>
      <c r="AD1198" s="154" t="e">
        <f t="shared" si="176"/>
        <v>#VALUE!</v>
      </c>
      <c r="AE1198">
        <v>10.86</v>
      </c>
    </row>
    <row r="1199" spans="12:31" ht="15" x14ac:dyDescent="0.2">
      <c r="L1199" s="154" t="e">
        <f t="shared" si="167"/>
        <v>#VALUE!</v>
      </c>
      <c r="M1199">
        <v>10.87</v>
      </c>
      <c r="N1199" s="154" t="e">
        <f t="shared" si="168"/>
        <v>#VALUE!</v>
      </c>
      <c r="O1199">
        <v>10.87</v>
      </c>
      <c r="P1199" s="154" t="e">
        <f t="shared" si="169"/>
        <v>#VALUE!</v>
      </c>
      <c r="Q1199">
        <v>10.87</v>
      </c>
      <c r="R1199" s="154" t="e">
        <f t="shared" si="170"/>
        <v>#VALUE!</v>
      </c>
      <c r="S1199">
        <v>10.87</v>
      </c>
      <c r="T1199" s="154" t="e">
        <f t="shared" si="171"/>
        <v>#VALUE!</v>
      </c>
      <c r="U1199">
        <v>10.87</v>
      </c>
      <c r="V1199" s="154" t="e">
        <f t="shared" si="172"/>
        <v>#VALUE!</v>
      </c>
      <c r="W1199">
        <v>10.87</v>
      </c>
      <c r="X1199" s="157" t="e">
        <f t="shared" si="173"/>
        <v>#VALUE!</v>
      </c>
      <c r="Y1199">
        <v>10.87</v>
      </c>
      <c r="Z1199" s="154" t="e">
        <f t="shared" si="174"/>
        <v>#VALUE!</v>
      </c>
      <c r="AA1199">
        <v>10.87</v>
      </c>
      <c r="AB1199" s="154" t="e">
        <f t="shared" si="175"/>
        <v>#VALUE!</v>
      </c>
      <c r="AC1199">
        <v>10.87</v>
      </c>
      <c r="AD1199" s="154" t="e">
        <f t="shared" si="176"/>
        <v>#VALUE!</v>
      </c>
      <c r="AE1199">
        <v>10.87</v>
      </c>
    </row>
    <row r="1200" spans="12:31" ht="15" x14ac:dyDescent="0.2">
      <c r="L1200" s="154" t="e">
        <f t="shared" si="167"/>
        <v>#VALUE!</v>
      </c>
      <c r="M1200">
        <v>10.88</v>
      </c>
      <c r="N1200" s="154" t="e">
        <f t="shared" si="168"/>
        <v>#VALUE!</v>
      </c>
      <c r="O1200">
        <v>10.88</v>
      </c>
      <c r="P1200" s="154" t="e">
        <f t="shared" si="169"/>
        <v>#VALUE!</v>
      </c>
      <c r="Q1200">
        <v>10.88</v>
      </c>
      <c r="R1200" s="154" t="e">
        <f t="shared" si="170"/>
        <v>#VALUE!</v>
      </c>
      <c r="S1200">
        <v>10.88</v>
      </c>
      <c r="T1200" s="154" t="e">
        <f t="shared" si="171"/>
        <v>#VALUE!</v>
      </c>
      <c r="U1200">
        <v>10.88</v>
      </c>
      <c r="V1200" s="154" t="e">
        <f t="shared" si="172"/>
        <v>#VALUE!</v>
      </c>
      <c r="W1200">
        <v>10.88</v>
      </c>
      <c r="X1200" s="157" t="e">
        <f t="shared" si="173"/>
        <v>#VALUE!</v>
      </c>
      <c r="Y1200">
        <v>10.88</v>
      </c>
      <c r="Z1200" s="154" t="e">
        <f t="shared" si="174"/>
        <v>#VALUE!</v>
      </c>
      <c r="AA1200">
        <v>10.88</v>
      </c>
      <c r="AB1200" s="154" t="e">
        <f t="shared" si="175"/>
        <v>#VALUE!</v>
      </c>
      <c r="AC1200">
        <v>10.88</v>
      </c>
      <c r="AD1200" s="154" t="e">
        <f t="shared" si="176"/>
        <v>#VALUE!</v>
      </c>
      <c r="AE1200">
        <v>10.88</v>
      </c>
    </row>
    <row r="1201" spans="12:31" ht="15" x14ac:dyDescent="0.2">
      <c r="L1201" s="154" t="e">
        <f t="shared" ref="L1201:L1264" si="177">((1.486/$D$33)*((((PI()*($D$46/12)^2)/4)-((($D$46/12)/2)^2*((2*ACOS(((($D$46/12)/2)-(($D$46/12)-(M1201/12)))/(($D$46/12)/2)))-SIN(2*ACOS(((($D$46/12)/2)-(($D$46/12)-(M1201/12)))/(($D$46/12)/2))))/2))/((PI()*($D$46/12))-((2*ACOS(((($D$46/12)/2)-(($D$46/12)-(M1201/12)))/(($D$46/12)/2)))*(($D$46/12)/2))))^(2/3)*$H$17^0.5)*(((PI()*($D$46/12)^2)/4)-((($D$46/12)/2)^2*((2*ACOS(((($D$46/12)/2)-(($D$46/12)-(M1201/12)))/(($D$46/12)/2)))-SIN(2*ACOS(((($D$46/12)/2)-(($D$46/12)-(M1201/12)))/(($D$46/12)/2))))/2))</f>
        <v>#VALUE!</v>
      </c>
      <c r="M1201">
        <v>10.89</v>
      </c>
      <c r="N1201" s="154" t="e">
        <f t="shared" ref="N1201:N1264" si="178">((1.486/$D$34)*((((PI()*($D$47/12)^2)/4)-((($D$47/12)/2)^2*((2*ACOS(((($D$47/12)/2)-(($D$47/12)-(O1201/12)))/(($D$47/12)/2)))-SIN(2*ACOS(((($D$47/12)/2)-(($D$47/12)-(O1201/12)))/(($D$47/12)/2))))/2))/((PI()*($D$47/12))-((2*ACOS(((($D$47/12)/2)-(($D$47/12)-(O1201/12)))/(($D$47/12)/2)))*(($D$47/12)/2))))^(2/3)*$H$18^0.5)*(((PI()*($D$47/12)^2)/4)-((($D$47/12)/2)^2*((2*ACOS(((($D$47/12)/2)-(($D$47/12)-(O1201/12)))/(($D$47/12)/2)))-SIN(2*ACOS(((($D$47/12)/2)-(($D$47/12)-(O1201/12)))/(($D$47/12)/2))))/2))</f>
        <v>#VALUE!</v>
      </c>
      <c r="O1201">
        <v>10.89</v>
      </c>
      <c r="P1201" s="154" t="e">
        <f t="shared" ref="P1201:P1264" si="179">((1.486/$D$35)*((((PI()*($D$48/12)^2)/4)-((($D$48/12)/2)^2*((2*ACOS(((($D$48/12)/2)-(($D$48/12)-(Q1201/12)))/(($D$48/12)/2)))-SIN(2*ACOS(((($D$48/12)/2)-(($D$48/12)-(Q1201/12)))/(($D$48/12)/2))))/2))/((PI()*($D$48/12))-((2*ACOS(((($D$48/12)/2)-(($D$48/12)-(Q1201/12)))/(($D$48/12)/2)))*(($D$48/12)/2))))^(2/3)*$H$19^0.5)*(((PI()*($D$48/12)^2)/4)-((($D$48/12)/2)^2*((2*ACOS(((($D$48/12)/2)-(($D$48/12)-(Q1201/12)))/(($D$48/12)/2)))-SIN(2*ACOS(((($D$48/12)/2)-(($D$48/12)-(Q1201/12)))/(($D$48/12)/2))))/2))</f>
        <v>#VALUE!</v>
      </c>
      <c r="Q1201">
        <v>10.89</v>
      </c>
      <c r="R1201" s="154" t="e">
        <f t="shared" ref="R1201:R1264" si="180">((1.486/$D$36)*((((PI()*($D$49/12)^2)/4)-((($D$49/12)/2)^2*((2*ACOS(((($D$49/12)/2)-(($D$49/12)-(S1201/12)))/(($D$49/12)/2)))-SIN(2*ACOS(((($D$49/12)/2)-(($D$49/12)-(S1201/12)))/(($D$49/12)/2))))/2))/((PI()*($D$49/12))-((2*ACOS(((($D$49/12)/2)-(($D$49/12)-(S1201/12)))/(($D$49/12)/2)))*(($D$49/12)/2))))^(2/3)*$H$20^0.5)*(((PI()*($D$49/12)^2)/4)-((($D$49/12)/2)^2*((2*ACOS(((($D$49/12)/2)-(($D$49/12)-(S1201/12)))/(($D$49/12)/2)))-SIN(2*ACOS(((($D$49/12)/2)-(($D$49/12)-(S1201/12)))/(($D$49/12)/2))))/2))</f>
        <v>#VALUE!</v>
      </c>
      <c r="S1201">
        <v>10.89</v>
      </c>
      <c r="T1201" s="154" t="e">
        <f t="shared" ref="T1201:T1264" si="181">((1.486/$D$37)*((((PI()*($D$50/12)^2)/4)-((($D$50/12)/2)^2*((2*ACOS(((($D$50/12)/2)-(($D$50/12)-(U1201/12)))/(($D$50/12)/2)))-SIN(2*ACOS(((($D$50/12)/2)-(($D$50/12)-(U1201/12)))/(($D$50/12)/2))))/2))/((PI()*($D$50/12))-((2*ACOS(((($D$50/12)/2)-(($D$50/12)-(U1201/12)))/(($D$50/12)/2)))*(($D$50/12)/2))))^(2/3)*$H$21^0.5)*(((PI()*($D$50/12)^2)/4)-((($D$50/12)/2)^2*((2*ACOS(((($D$50/12)/2)-(($D$50/12)-(U1201/12)))/(($D$50/12)/2)))-SIN(2*ACOS(((($D$50/12)/2)-(($D$50/12)-(U1201/12)))/(($D$50/12)/2))))/2))</f>
        <v>#VALUE!</v>
      </c>
      <c r="U1201">
        <v>10.89</v>
      </c>
      <c r="V1201" s="154" t="e">
        <f t="shared" ref="V1201:V1264" si="182">((1.486/$D$38)*((((PI()*($D$51/12)^2)/4)-((($D$51/12)/2)^2*((2*ACOS(((($D$51/12)/2)-(($D$51/12)-(W1201/12)))/(($D$51/12)/2)))-SIN(2*ACOS(((($D$51/12)/2)-(($D$51/12)-(W1201/12)))/(($D$51/12)/2))))/2))/((PI()*($D$51/12))-((2*ACOS(((($D$51/12)/2)-(($D$51/12)-(W1201/12)))/(($D$51/12)/2)))*(($D$51/12)/2))))^(2/3)*$H$22^0.5)*(((PI()*($D$51/12)^2)/4)-((($D$51/12)/2)^2*((2*ACOS(((($D$51/12)/2)-(($D$51/12)-(W1201/12)))/(($D$51/12)/2)))-SIN(2*ACOS(((($D$51/12)/2)-(($D$51/12)-(W1201/12)))/(($D$51/12)/2))))/2))</f>
        <v>#VALUE!</v>
      </c>
      <c r="W1201">
        <v>10.89</v>
      </c>
      <c r="X1201" s="157" t="e">
        <f t="shared" ref="X1201:X1264" si="183">((1.486/$D$39)*((((PI()*($D$52/12)^2)/4)-((($D$52/12)/2)^2*((2*ACOS(((($D$52/12)/2)-(($D$52/12)-(Y1201/12)))/(($D$52/12)/2)))-SIN(2*ACOS(((($D$52/12)/2)-(($D$52/12)-(Y1201/12)))/(($D$52/12)/2))))/2))/((PI()*($D$52/12))-((2*ACOS(((($D$52/12)/2)-(($D$52/12)-(Y1201/12)))/(($D$52/12)/2)))*(($D$52/12)/2))))^(2/3)*$H$23^0.5)*(((PI()*($D$52/12)^2)/4)-((($D$52/12)/2)^2*((2*ACOS(((($D$52/12)/2)-(($D$52/12)-(Y1201/12)))/(($D$52/12)/2)))-SIN(2*ACOS(((($D$52/12)/2)-(($D$52/12)-(Y1201/12)))/(($D$52/12)/2))))/2))</f>
        <v>#VALUE!</v>
      </c>
      <c r="Y1201">
        <v>10.89</v>
      </c>
      <c r="Z1201" s="154" t="e">
        <f t="shared" ref="Z1201:Z1264" si="184">((1.486/$D$40)*((((PI()*($D$53/12)^2)/4)-((($D$53/12)/2)^2*((2*ACOS(((($D$53/12)/2)-(($D$53/12)-(AA1201/12)))/(($D$53/12)/2)))-SIN(2*ACOS(((($D$53/12)/2)-(($D$53/12)-(AA1201/12)))/(($D$53/12)/2))))/2))/((PI()*($D$53/12))-((2*ACOS(((($D$53/12)/2)-(($D$53/12)-(AA1201/12)))/(($D$53/12)/2)))*(($D$53/12)/2))))^(2/3)*$H$24^0.5)*(((PI()*($D$53/12)^2)/4)-((($D$53/12)/2)^2*((2*ACOS(((($D$53/12)/2)-(($D$53/12)-(AA1201/12)))/(($D$53/12)/2)))-SIN(2*ACOS(((($D$53/12)/2)-(($D$53/12)-(AA1201/12)))/(($D$53/12)/2))))/2))</f>
        <v>#VALUE!</v>
      </c>
      <c r="AA1201">
        <v>10.89</v>
      </c>
      <c r="AB1201" s="154" t="e">
        <f t="shared" ref="AB1201:AB1264" si="185">((1.486/$D$41)*((((PI()*($D$54/12)^2)/4)-((($D$54/12)/2)^2*((2*ACOS(((($D$54/12)/2)-(($D$54/12)-(AC1201/12)))/(($D$54/12)/2)))-SIN(2*ACOS(((($D$54/12)/2)-(($D$54/12)-(AC1201/12)))/(($D$54/12)/2))))/2))/((PI()*($D$54/12))-((2*ACOS(((($D$54/12)/2)-(($D$54/12)-(AC1201/12)))/(($D$54/12)/2)))*(($D$54/12)/2))))^(2/3)*$H$25^0.5)*(((PI()*($D$54/12)^2)/4)-((($D$54/12)/2)^2*((2*ACOS(((($D$54/12)/2)-(($D$54/12)-(AC1201/12)))/(($D$54/12)/2)))-SIN(2*ACOS(((($D$54/12)/2)-(($D$54/12)-(AC1201/12)))/(($D$54/12)/2))))/2))</f>
        <v>#VALUE!</v>
      </c>
      <c r="AC1201">
        <v>10.89</v>
      </c>
      <c r="AD1201" s="154" t="e">
        <f t="shared" ref="AD1201:AD1264" si="186">((1.486/$D$42)*((((PI()*($D$55/12)^2)/4)-((($D$55/12)/2)^2*((2*ACOS(((($D$55/12)/2)-(($D$55/12)-(AE1201/12)))/(($D$55/12)/2)))-SIN(2*ACOS(((($D$55/12)/2)-(($D$55/12)-(AE1201/12)))/(($D$55/12)/2))))/2))/((PI()*($D$55/12))-((2*ACOS(((($D$55/12)/2)-(($D$55/12)-(AE1201/12)))/(($D$55/12)/2)))*(($D$55/12)/2))))^(2/3)*$H$26^0.5)*(((PI()*($D$55/12)^2)/4)-((($D$55/12)/2)^2*((2*ACOS(((($D$55/12)/2)-(($D$55/12)-(AE1201/12)))/(($D$55/12)/2)))-SIN(2*ACOS(((($D$55/12)/2)-(($D$55/12)-(AE1201/12)))/(($D$55/12)/2))))/2))</f>
        <v>#VALUE!</v>
      </c>
      <c r="AE1201">
        <v>10.89</v>
      </c>
    </row>
    <row r="1202" spans="12:31" ht="15" x14ac:dyDescent="0.2">
      <c r="L1202" s="154" t="e">
        <f t="shared" si="177"/>
        <v>#VALUE!</v>
      </c>
      <c r="M1202">
        <v>10.9</v>
      </c>
      <c r="N1202" s="154" t="e">
        <f t="shared" si="178"/>
        <v>#VALUE!</v>
      </c>
      <c r="O1202">
        <v>10.9</v>
      </c>
      <c r="P1202" s="154" t="e">
        <f t="shared" si="179"/>
        <v>#VALUE!</v>
      </c>
      <c r="Q1202">
        <v>10.9</v>
      </c>
      <c r="R1202" s="154" t="e">
        <f t="shared" si="180"/>
        <v>#VALUE!</v>
      </c>
      <c r="S1202">
        <v>10.9</v>
      </c>
      <c r="T1202" s="154" t="e">
        <f t="shared" si="181"/>
        <v>#VALUE!</v>
      </c>
      <c r="U1202">
        <v>10.9</v>
      </c>
      <c r="V1202" s="154" t="e">
        <f t="shared" si="182"/>
        <v>#VALUE!</v>
      </c>
      <c r="W1202">
        <v>10.9</v>
      </c>
      <c r="X1202" s="157" t="e">
        <f t="shared" si="183"/>
        <v>#VALUE!</v>
      </c>
      <c r="Y1202">
        <v>10.9</v>
      </c>
      <c r="Z1202" s="154" t="e">
        <f t="shared" si="184"/>
        <v>#VALUE!</v>
      </c>
      <c r="AA1202">
        <v>10.9</v>
      </c>
      <c r="AB1202" s="154" t="e">
        <f t="shared" si="185"/>
        <v>#VALUE!</v>
      </c>
      <c r="AC1202">
        <v>10.9</v>
      </c>
      <c r="AD1202" s="154" t="e">
        <f t="shared" si="186"/>
        <v>#VALUE!</v>
      </c>
      <c r="AE1202">
        <v>10.9</v>
      </c>
    </row>
    <row r="1203" spans="12:31" ht="15" x14ac:dyDescent="0.2">
      <c r="L1203" s="154" t="e">
        <f t="shared" si="177"/>
        <v>#VALUE!</v>
      </c>
      <c r="M1203">
        <v>10.91</v>
      </c>
      <c r="N1203" s="154" t="e">
        <f t="shared" si="178"/>
        <v>#VALUE!</v>
      </c>
      <c r="O1203">
        <v>10.91</v>
      </c>
      <c r="P1203" s="154" t="e">
        <f t="shared" si="179"/>
        <v>#VALUE!</v>
      </c>
      <c r="Q1203">
        <v>10.91</v>
      </c>
      <c r="R1203" s="154" t="e">
        <f t="shared" si="180"/>
        <v>#VALUE!</v>
      </c>
      <c r="S1203">
        <v>10.91</v>
      </c>
      <c r="T1203" s="154" t="e">
        <f t="shared" si="181"/>
        <v>#VALUE!</v>
      </c>
      <c r="U1203">
        <v>10.91</v>
      </c>
      <c r="V1203" s="154" t="e">
        <f t="shared" si="182"/>
        <v>#VALUE!</v>
      </c>
      <c r="W1203">
        <v>10.91</v>
      </c>
      <c r="X1203" s="157" t="e">
        <f t="shared" si="183"/>
        <v>#VALUE!</v>
      </c>
      <c r="Y1203">
        <v>10.91</v>
      </c>
      <c r="Z1203" s="154" t="e">
        <f t="shared" si="184"/>
        <v>#VALUE!</v>
      </c>
      <c r="AA1203">
        <v>10.91</v>
      </c>
      <c r="AB1203" s="154" t="e">
        <f t="shared" si="185"/>
        <v>#VALUE!</v>
      </c>
      <c r="AC1203">
        <v>10.91</v>
      </c>
      <c r="AD1203" s="154" t="e">
        <f t="shared" si="186"/>
        <v>#VALUE!</v>
      </c>
      <c r="AE1203">
        <v>10.91</v>
      </c>
    </row>
    <row r="1204" spans="12:31" ht="15" x14ac:dyDescent="0.2">
      <c r="L1204" s="154" t="e">
        <f t="shared" si="177"/>
        <v>#VALUE!</v>
      </c>
      <c r="M1204">
        <v>10.92</v>
      </c>
      <c r="N1204" s="154" t="e">
        <f t="shared" si="178"/>
        <v>#VALUE!</v>
      </c>
      <c r="O1204">
        <v>10.92</v>
      </c>
      <c r="P1204" s="154" t="e">
        <f t="shared" si="179"/>
        <v>#VALUE!</v>
      </c>
      <c r="Q1204">
        <v>10.92</v>
      </c>
      <c r="R1204" s="154" t="e">
        <f t="shared" si="180"/>
        <v>#VALUE!</v>
      </c>
      <c r="S1204">
        <v>10.92</v>
      </c>
      <c r="T1204" s="154" t="e">
        <f t="shared" si="181"/>
        <v>#VALUE!</v>
      </c>
      <c r="U1204">
        <v>10.92</v>
      </c>
      <c r="V1204" s="154" t="e">
        <f t="shared" si="182"/>
        <v>#VALUE!</v>
      </c>
      <c r="W1204">
        <v>10.92</v>
      </c>
      <c r="X1204" s="157" t="e">
        <f t="shared" si="183"/>
        <v>#VALUE!</v>
      </c>
      <c r="Y1204">
        <v>10.92</v>
      </c>
      <c r="Z1204" s="154" t="e">
        <f t="shared" si="184"/>
        <v>#VALUE!</v>
      </c>
      <c r="AA1204">
        <v>10.92</v>
      </c>
      <c r="AB1204" s="154" t="e">
        <f t="shared" si="185"/>
        <v>#VALUE!</v>
      </c>
      <c r="AC1204">
        <v>10.92</v>
      </c>
      <c r="AD1204" s="154" t="e">
        <f t="shared" si="186"/>
        <v>#VALUE!</v>
      </c>
      <c r="AE1204">
        <v>10.92</v>
      </c>
    </row>
    <row r="1205" spans="12:31" ht="15" x14ac:dyDescent="0.2">
      <c r="L1205" s="154" t="e">
        <f t="shared" si="177"/>
        <v>#VALUE!</v>
      </c>
      <c r="M1205">
        <v>10.93</v>
      </c>
      <c r="N1205" s="154" t="e">
        <f t="shared" si="178"/>
        <v>#VALUE!</v>
      </c>
      <c r="O1205">
        <v>10.93</v>
      </c>
      <c r="P1205" s="154" t="e">
        <f t="shared" si="179"/>
        <v>#VALUE!</v>
      </c>
      <c r="Q1205">
        <v>10.93</v>
      </c>
      <c r="R1205" s="154" t="e">
        <f t="shared" si="180"/>
        <v>#VALUE!</v>
      </c>
      <c r="S1205">
        <v>10.93</v>
      </c>
      <c r="T1205" s="154" t="e">
        <f t="shared" si="181"/>
        <v>#VALUE!</v>
      </c>
      <c r="U1205">
        <v>10.93</v>
      </c>
      <c r="V1205" s="154" t="e">
        <f t="shared" si="182"/>
        <v>#VALUE!</v>
      </c>
      <c r="W1205">
        <v>10.93</v>
      </c>
      <c r="X1205" s="157" t="e">
        <f t="shared" si="183"/>
        <v>#VALUE!</v>
      </c>
      <c r="Y1205">
        <v>10.93</v>
      </c>
      <c r="Z1205" s="154" t="e">
        <f t="shared" si="184"/>
        <v>#VALUE!</v>
      </c>
      <c r="AA1205">
        <v>10.93</v>
      </c>
      <c r="AB1205" s="154" t="e">
        <f t="shared" si="185"/>
        <v>#VALUE!</v>
      </c>
      <c r="AC1205">
        <v>10.93</v>
      </c>
      <c r="AD1205" s="154" t="e">
        <f t="shared" si="186"/>
        <v>#VALUE!</v>
      </c>
      <c r="AE1205">
        <v>10.93</v>
      </c>
    </row>
    <row r="1206" spans="12:31" ht="15" x14ac:dyDescent="0.2">
      <c r="L1206" s="154" t="e">
        <f t="shared" si="177"/>
        <v>#VALUE!</v>
      </c>
      <c r="M1206">
        <v>10.94</v>
      </c>
      <c r="N1206" s="154" t="e">
        <f t="shared" si="178"/>
        <v>#VALUE!</v>
      </c>
      <c r="O1206">
        <v>10.94</v>
      </c>
      <c r="P1206" s="154" t="e">
        <f t="shared" si="179"/>
        <v>#VALUE!</v>
      </c>
      <c r="Q1206">
        <v>10.94</v>
      </c>
      <c r="R1206" s="154" t="e">
        <f t="shared" si="180"/>
        <v>#VALUE!</v>
      </c>
      <c r="S1206">
        <v>10.94</v>
      </c>
      <c r="T1206" s="154" t="e">
        <f t="shared" si="181"/>
        <v>#VALUE!</v>
      </c>
      <c r="U1206">
        <v>10.94</v>
      </c>
      <c r="V1206" s="154" t="e">
        <f t="shared" si="182"/>
        <v>#VALUE!</v>
      </c>
      <c r="W1206">
        <v>10.94</v>
      </c>
      <c r="X1206" s="157" t="e">
        <f t="shared" si="183"/>
        <v>#VALUE!</v>
      </c>
      <c r="Y1206">
        <v>10.94</v>
      </c>
      <c r="Z1206" s="154" t="e">
        <f t="shared" si="184"/>
        <v>#VALUE!</v>
      </c>
      <c r="AA1206">
        <v>10.94</v>
      </c>
      <c r="AB1206" s="154" t="e">
        <f t="shared" si="185"/>
        <v>#VALUE!</v>
      </c>
      <c r="AC1206">
        <v>10.94</v>
      </c>
      <c r="AD1206" s="154" t="e">
        <f t="shared" si="186"/>
        <v>#VALUE!</v>
      </c>
      <c r="AE1206">
        <v>10.94</v>
      </c>
    </row>
    <row r="1207" spans="12:31" ht="15" x14ac:dyDescent="0.2">
      <c r="L1207" s="154" t="e">
        <f t="shared" si="177"/>
        <v>#VALUE!</v>
      </c>
      <c r="M1207">
        <v>10.95</v>
      </c>
      <c r="N1207" s="154" t="e">
        <f t="shared" si="178"/>
        <v>#VALUE!</v>
      </c>
      <c r="O1207">
        <v>10.95</v>
      </c>
      <c r="P1207" s="154" t="e">
        <f t="shared" si="179"/>
        <v>#VALUE!</v>
      </c>
      <c r="Q1207">
        <v>10.95</v>
      </c>
      <c r="R1207" s="154" t="e">
        <f t="shared" si="180"/>
        <v>#VALUE!</v>
      </c>
      <c r="S1207">
        <v>10.95</v>
      </c>
      <c r="T1207" s="154" t="e">
        <f t="shared" si="181"/>
        <v>#VALUE!</v>
      </c>
      <c r="U1207">
        <v>10.95</v>
      </c>
      <c r="V1207" s="154" t="e">
        <f t="shared" si="182"/>
        <v>#VALUE!</v>
      </c>
      <c r="W1207">
        <v>10.95</v>
      </c>
      <c r="X1207" s="157" t="e">
        <f t="shared" si="183"/>
        <v>#VALUE!</v>
      </c>
      <c r="Y1207">
        <v>10.95</v>
      </c>
      <c r="Z1207" s="154" t="e">
        <f t="shared" si="184"/>
        <v>#VALUE!</v>
      </c>
      <c r="AA1207">
        <v>10.95</v>
      </c>
      <c r="AB1207" s="154" t="e">
        <f t="shared" si="185"/>
        <v>#VALUE!</v>
      </c>
      <c r="AC1207">
        <v>10.95</v>
      </c>
      <c r="AD1207" s="154" t="e">
        <f t="shared" si="186"/>
        <v>#VALUE!</v>
      </c>
      <c r="AE1207">
        <v>10.95</v>
      </c>
    </row>
    <row r="1208" spans="12:31" ht="15" x14ac:dyDescent="0.2">
      <c r="L1208" s="154" t="e">
        <f t="shared" si="177"/>
        <v>#VALUE!</v>
      </c>
      <c r="M1208">
        <v>10.96</v>
      </c>
      <c r="N1208" s="154" t="e">
        <f t="shared" si="178"/>
        <v>#VALUE!</v>
      </c>
      <c r="O1208">
        <v>10.96</v>
      </c>
      <c r="P1208" s="154" t="e">
        <f t="shared" si="179"/>
        <v>#VALUE!</v>
      </c>
      <c r="Q1208">
        <v>10.96</v>
      </c>
      <c r="R1208" s="154" t="e">
        <f t="shared" si="180"/>
        <v>#VALUE!</v>
      </c>
      <c r="S1208">
        <v>10.96</v>
      </c>
      <c r="T1208" s="154" t="e">
        <f t="shared" si="181"/>
        <v>#VALUE!</v>
      </c>
      <c r="U1208">
        <v>10.96</v>
      </c>
      <c r="V1208" s="154" t="e">
        <f t="shared" si="182"/>
        <v>#VALUE!</v>
      </c>
      <c r="W1208">
        <v>10.96</v>
      </c>
      <c r="X1208" s="157" t="e">
        <f t="shared" si="183"/>
        <v>#VALUE!</v>
      </c>
      <c r="Y1208">
        <v>10.96</v>
      </c>
      <c r="Z1208" s="154" t="e">
        <f t="shared" si="184"/>
        <v>#VALUE!</v>
      </c>
      <c r="AA1208">
        <v>10.96</v>
      </c>
      <c r="AB1208" s="154" t="e">
        <f t="shared" si="185"/>
        <v>#VALUE!</v>
      </c>
      <c r="AC1208">
        <v>10.96</v>
      </c>
      <c r="AD1208" s="154" t="e">
        <f t="shared" si="186"/>
        <v>#VALUE!</v>
      </c>
      <c r="AE1208">
        <v>10.96</v>
      </c>
    </row>
    <row r="1209" spans="12:31" ht="15" x14ac:dyDescent="0.2">
      <c r="L1209" s="154" t="e">
        <f t="shared" si="177"/>
        <v>#VALUE!</v>
      </c>
      <c r="M1209">
        <v>10.97</v>
      </c>
      <c r="N1209" s="154" t="e">
        <f t="shared" si="178"/>
        <v>#VALUE!</v>
      </c>
      <c r="O1209">
        <v>10.97</v>
      </c>
      <c r="P1209" s="154" t="e">
        <f t="shared" si="179"/>
        <v>#VALUE!</v>
      </c>
      <c r="Q1209">
        <v>10.97</v>
      </c>
      <c r="R1209" s="154" t="e">
        <f t="shared" si="180"/>
        <v>#VALUE!</v>
      </c>
      <c r="S1209">
        <v>10.97</v>
      </c>
      <c r="T1209" s="154" t="e">
        <f t="shared" si="181"/>
        <v>#VALUE!</v>
      </c>
      <c r="U1209">
        <v>10.97</v>
      </c>
      <c r="V1209" s="154" t="e">
        <f t="shared" si="182"/>
        <v>#VALUE!</v>
      </c>
      <c r="W1209">
        <v>10.97</v>
      </c>
      <c r="X1209" s="157" t="e">
        <f t="shared" si="183"/>
        <v>#VALUE!</v>
      </c>
      <c r="Y1209">
        <v>10.97</v>
      </c>
      <c r="Z1209" s="154" t="e">
        <f t="shared" si="184"/>
        <v>#VALUE!</v>
      </c>
      <c r="AA1209">
        <v>10.97</v>
      </c>
      <c r="AB1209" s="154" t="e">
        <f t="shared" si="185"/>
        <v>#VALUE!</v>
      </c>
      <c r="AC1209">
        <v>10.97</v>
      </c>
      <c r="AD1209" s="154" t="e">
        <f t="shared" si="186"/>
        <v>#VALUE!</v>
      </c>
      <c r="AE1209">
        <v>10.97</v>
      </c>
    </row>
    <row r="1210" spans="12:31" ht="15" x14ac:dyDescent="0.2">
      <c r="L1210" s="154" t="e">
        <f t="shared" si="177"/>
        <v>#VALUE!</v>
      </c>
      <c r="M1210">
        <v>10.98</v>
      </c>
      <c r="N1210" s="154" t="e">
        <f t="shared" si="178"/>
        <v>#VALUE!</v>
      </c>
      <c r="O1210">
        <v>10.98</v>
      </c>
      <c r="P1210" s="154" t="e">
        <f t="shared" si="179"/>
        <v>#VALUE!</v>
      </c>
      <c r="Q1210">
        <v>10.98</v>
      </c>
      <c r="R1210" s="154" t="e">
        <f t="shared" si="180"/>
        <v>#VALUE!</v>
      </c>
      <c r="S1210">
        <v>10.98</v>
      </c>
      <c r="T1210" s="154" t="e">
        <f t="shared" si="181"/>
        <v>#VALUE!</v>
      </c>
      <c r="U1210">
        <v>10.98</v>
      </c>
      <c r="V1210" s="154" t="e">
        <f t="shared" si="182"/>
        <v>#VALUE!</v>
      </c>
      <c r="W1210">
        <v>10.98</v>
      </c>
      <c r="X1210" s="157" t="e">
        <f t="shared" si="183"/>
        <v>#VALUE!</v>
      </c>
      <c r="Y1210">
        <v>10.98</v>
      </c>
      <c r="Z1210" s="154" t="e">
        <f t="shared" si="184"/>
        <v>#VALUE!</v>
      </c>
      <c r="AA1210">
        <v>10.98</v>
      </c>
      <c r="AB1210" s="154" t="e">
        <f t="shared" si="185"/>
        <v>#VALUE!</v>
      </c>
      <c r="AC1210">
        <v>10.98</v>
      </c>
      <c r="AD1210" s="154" t="e">
        <f t="shared" si="186"/>
        <v>#VALUE!</v>
      </c>
      <c r="AE1210">
        <v>10.98</v>
      </c>
    </row>
    <row r="1211" spans="12:31" ht="15" x14ac:dyDescent="0.2">
      <c r="L1211" s="154" t="e">
        <f t="shared" si="177"/>
        <v>#VALUE!</v>
      </c>
      <c r="M1211">
        <v>10.99</v>
      </c>
      <c r="N1211" s="154" t="e">
        <f t="shared" si="178"/>
        <v>#VALUE!</v>
      </c>
      <c r="O1211">
        <v>10.99</v>
      </c>
      <c r="P1211" s="154" t="e">
        <f t="shared" si="179"/>
        <v>#VALUE!</v>
      </c>
      <c r="Q1211">
        <v>10.99</v>
      </c>
      <c r="R1211" s="154" t="e">
        <f t="shared" si="180"/>
        <v>#VALUE!</v>
      </c>
      <c r="S1211">
        <v>10.99</v>
      </c>
      <c r="T1211" s="154" t="e">
        <f t="shared" si="181"/>
        <v>#VALUE!</v>
      </c>
      <c r="U1211">
        <v>10.99</v>
      </c>
      <c r="V1211" s="154" t="e">
        <f t="shared" si="182"/>
        <v>#VALUE!</v>
      </c>
      <c r="W1211">
        <v>10.99</v>
      </c>
      <c r="X1211" s="157" t="e">
        <f t="shared" si="183"/>
        <v>#VALUE!</v>
      </c>
      <c r="Y1211">
        <v>10.99</v>
      </c>
      <c r="Z1211" s="154" t="e">
        <f t="shared" si="184"/>
        <v>#VALUE!</v>
      </c>
      <c r="AA1211">
        <v>10.99</v>
      </c>
      <c r="AB1211" s="154" t="e">
        <f t="shared" si="185"/>
        <v>#VALUE!</v>
      </c>
      <c r="AC1211">
        <v>10.99</v>
      </c>
      <c r="AD1211" s="154" t="e">
        <f t="shared" si="186"/>
        <v>#VALUE!</v>
      </c>
      <c r="AE1211">
        <v>10.99</v>
      </c>
    </row>
    <row r="1212" spans="12:31" ht="15" x14ac:dyDescent="0.2">
      <c r="L1212" s="154" t="e">
        <f t="shared" si="177"/>
        <v>#VALUE!</v>
      </c>
      <c r="M1212">
        <v>11</v>
      </c>
      <c r="N1212" s="154" t="e">
        <f t="shared" si="178"/>
        <v>#VALUE!</v>
      </c>
      <c r="O1212">
        <v>11</v>
      </c>
      <c r="P1212" s="154" t="e">
        <f t="shared" si="179"/>
        <v>#VALUE!</v>
      </c>
      <c r="Q1212">
        <v>11</v>
      </c>
      <c r="R1212" s="154" t="e">
        <f t="shared" si="180"/>
        <v>#VALUE!</v>
      </c>
      <c r="S1212">
        <v>11</v>
      </c>
      <c r="T1212" s="154" t="e">
        <f t="shared" si="181"/>
        <v>#VALUE!</v>
      </c>
      <c r="U1212">
        <v>11</v>
      </c>
      <c r="V1212" s="154" t="e">
        <f t="shared" si="182"/>
        <v>#VALUE!</v>
      </c>
      <c r="W1212">
        <v>11</v>
      </c>
      <c r="X1212" s="157" t="e">
        <f t="shared" si="183"/>
        <v>#VALUE!</v>
      </c>
      <c r="Y1212">
        <v>11</v>
      </c>
      <c r="Z1212" s="154" t="e">
        <f t="shared" si="184"/>
        <v>#VALUE!</v>
      </c>
      <c r="AA1212">
        <v>11</v>
      </c>
      <c r="AB1212" s="154" t="e">
        <f t="shared" si="185"/>
        <v>#VALUE!</v>
      </c>
      <c r="AC1212">
        <v>11</v>
      </c>
      <c r="AD1212" s="154" t="e">
        <f t="shared" si="186"/>
        <v>#VALUE!</v>
      </c>
      <c r="AE1212">
        <v>11</v>
      </c>
    </row>
    <row r="1213" spans="12:31" ht="15" x14ac:dyDescent="0.2">
      <c r="L1213" s="154" t="e">
        <f t="shared" si="177"/>
        <v>#VALUE!</v>
      </c>
      <c r="M1213">
        <v>11.01</v>
      </c>
      <c r="N1213" s="154" t="e">
        <f t="shared" si="178"/>
        <v>#VALUE!</v>
      </c>
      <c r="O1213">
        <v>11.01</v>
      </c>
      <c r="P1213" s="154" t="e">
        <f t="shared" si="179"/>
        <v>#VALUE!</v>
      </c>
      <c r="Q1213">
        <v>11.01</v>
      </c>
      <c r="R1213" s="154" t="e">
        <f t="shared" si="180"/>
        <v>#VALUE!</v>
      </c>
      <c r="S1213">
        <v>11.01</v>
      </c>
      <c r="T1213" s="154" t="e">
        <f t="shared" si="181"/>
        <v>#VALUE!</v>
      </c>
      <c r="U1213">
        <v>11.01</v>
      </c>
      <c r="V1213" s="154" t="e">
        <f t="shared" si="182"/>
        <v>#VALUE!</v>
      </c>
      <c r="W1213">
        <v>11.01</v>
      </c>
      <c r="X1213" s="157" t="e">
        <f t="shared" si="183"/>
        <v>#VALUE!</v>
      </c>
      <c r="Y1213">
        <v>11.01</v>
      </c>
      <c r="Z1213" s="154" t="e">
        <f t="shared" si="184"/>
        <v>#VALUE!</v>
      </c>
      <c r="AA1213">
        <v>11.01</v>
      </c>
      <c r="AB1213" s="154" t="e">
        <f t="shared" si="185"/>
        <v>#VALUE!</v>
      </c>
      <c r="AC1213">
        <v>11.01</v>
      </c>
      <c r="AD1213" s="154" t="e">
        <f t="shared" si="186"/>
        <v>#VALUE!</v>
      </c>
      <c r="AE1213">
        <v>11.01</v>
      </c>
    </row>
    <row r="1214" spans="12:31" ht="15" x14ac:dyDescent="0.2">
      <c r="L1214" s="154" t="e">
        <f t="shared" si="177"/>
        <v>#VALUE!</v>
      </c>
      <c r="M1214">
        <v>11.02</v>
      </c>
      <c r="N1214" s="154" t="e">
        <f t="shared" si="178"/>
        <v>#VALUE!</v>
      </c>
      <c r="O1214">
        <v>11.02</v>
      </c>
      <c r="P1214" s="154" t="e">
        <f t="shared" si="179"/>
        <v>#VALUE!</v>
      </c>
      <c r="Q1214">
        <v>11.02</v>
      </c>
      <c r="R1214" s="154" t="e">
        <f t="shared" si="180"/>
        <v>#VALUE!</v>
      </c>
      <c r="S1214">
        <v>11.02</v>
      </c>
      <c r="T1214" s="154" t="e">
        <f t="shared" si="181"/>
        <v>#VALUE!</v>
      </c>
      <c r="U1214">
        <v>11.02</v>
      </c>
      <c r="V1214" s="154" t="e">
        <f t="shared" si="182"/>
        <v>#VALUE!</v>
      </c>
      <c r="W1214">
        <v>11.02</v>
      </c>
      <c r="X1214" s="157" t="e">
        <f t="shared" si="183"/>
        <v>#VALUE!</v>
      </c>
      <c r="Y1214">
        <v>11.02</v>
      </c>
      <c r="Z1214" s="154" t="e">
        <f t="shared" si="184"/>
        <v>#VALUE!</v>
      </c>
      <c r="AA1214">
        <v>11.02</v>
      </c>
      <c r="AB1214" s="154" t="e">
        <f t="shared" si="185"/>
        <v>#VALUE!</v>
      </c>
      <c r="AC1214">
        <v>11.02</v>
      </c>
      <c r="AD1214" s="154" t="e">
        <f t="shared" si="186"/>
        <v>#VALUE!</v>
      </c>
      <c r="AE1214">
        <v>11.02</v>
      </c>
    </row>
    <row r="1215" spans="12:31" ht="15" x14ac:dyDescent="0.2">
      <c r="L1215" s="154" t="e">
        <f t="shared" si="177"/>
        <v>#VALUE!</v>
      </c>
      <c r="M1215">
        <v>11.03</v>
      </c>
      <c r="N1215" s="154" t="e">
        <f t="shared" si="178"/>
        <v>#VALUE!</v>
      </c>
      <c r="O1215">
        <v>11.03</v>
      </c>
      <c r="P1215" s="154" t="e">
        <f t="shared" si="179"/>
        <v>#VALUE!</v>
      </c>
      <c r="Q1215">
        <v>11.03</v>
      </c>
      <c r="R1215" s="154" t="e">
        <f t="shared" si="180"/>
        <v>#VALUE!</v>
      </c>
      <c r="S1215">
        <v>11.03</v>
      </c>
      <c r="T1215" s="154" t="e">
        <f t="shared" si="181"/>
        <v>#VALUE!</v>
      </c>
      <c r="U1215">
        <v>11.03</v>
      </c>
      <c r="V1215" s="154" t="e">
        <f t="shared" si="182"/>
        <v>#VALUE!</v>
      </c>
      <c r="W1215">
        <v>11.03</v>
      </c>
      <c r="X1215" s="157" t="e">
        <f t="shared" si="183"/>
        <v>#VALUE!</v>
      </c>
      <c r="Y1215">
        <v>11.03</v>
      </c>
      <c r="Z1215" s="154" t="e">
        <f t="shared" si="184"/>
        <v>#VALUE!</v>
      </c>
      <c r="AA1215">
        <v>11.03</v>
      </c>
      <c r="AB1215" s="154" t="e">
        <f t="shared" si="185"/>
        <v>#VALUE!</v>
      </c>
      <c r="AC1215">
        <v>11.03</v>
      </c>
      <c r="AD1215" s="154" t="e">
        <f t="shared" si="186"/>
        <v>#VALUE!</v>
      </c>
      <c r="AE1215">
        <v>11.03</v>
      </c>
    </row>
    <row r="1216" spans="12:31" ht="15" x14ac:dyDescent="0.2">
      <c r="L1216" s="154" t="e">
        <f t="shared" si="177"/>
        <v>#VALUE!</v>
      </c>
      <c r="M1216">
        <v>11.04</v>
      </c>
      <c r="N1216" s="154" t="e">
        <f t="shared" si="178"/>
        <v>#VALUE!</v>
      </c>
      <c r="O1216">
        <v>11.04</v>
      </c>
      <c r="P1216" s="154" t="e">
        <f t="shared" si="179"/>
        <v>#VALUE!</v>
      </c>
      <c r="Q1216">
        <v>11.04</v>
      </c>
      <c r="R1216" s="154" t="e">
        <f t="shared" si="180"/>
        <v>#VALUE!</v>
      </c>
      <c r="S1216">
        <v>11.04</v>
      </c>
      <c r="T1216" s="154" t="e">
        <f t="shared" si="181"/>
        <v>#VALUE!</v>
      </c>
      <c r="U1216">
        <v>11.04</v>
      </c>
      <c r="V1216" s="154" t="e">
        <f t="shared" si="182"/>
        <v>#VALUE!</v>
      </c>
      <c r="W1216">
        <v>11.04</v>
      </c>
      <c r="X1216" s="157" t="e">
        <f t="shared" si="183"/>
        <v>#VALUE!</v>
      </c>
      <c r="Y1216">
        <v>11.04</v>
      </c>
      <c r="Z1216" s="154" t="e">
        <f t="shared" si="184"/>
        <v>#VALUE!</v>
      </c>
      <c r="AA1216">
        <v>11.04</v>
      </c>
      <c r="AB1216" s="154" t="e">
        <f t="shared" si="185"/>
        <v>#VALUE!</v>
      </c>
      <c r="AC1216">
        <v>11.04</v>
      </c>
      <c r="AD1216" s="154" t="e">
        <f t="shared" si="186"/>
        <v>#VALUE!</v>
      </c>
      <c r="AE1216">
        <v>11.04</v>
      </c>
    </row>
    <row r="1217" spans="12:31" ht="15" x14ac:dyDescent="0.2">
      <c r="L1217" s="154" t="e">
        <f t="shared" si="177"/>
        <v>#VALUE!</v>
      </c>
      <c r="M1217">
        <v>11.05</v>
      </c>
      <c r="N1217" s="154" t="e">
        <f t="shared" si="178"/>
        <v>#VALUE!</v>
      </c>
      <c r="O1217">
        <v>11.05</v>
      </c>
      <c r="P1217" s="154" t="e">
        <f t="shared" si="179"/>
        <v>#VALUE!</v>
      </c>
      <c r="Q1217">
        <v>11.05</v>
      </c>
      <c r="R1217" s="154" t="e">
        <f t="shared" si="180"/>
        <v>#VALUE!</v>
      </c>
      <c r="S1217">
        <v>11.05</v>
      </c>
      <c r="T1217" s="154" t="e">
        <f t="shared" si="181"/>
        <v>#VALUE!</v>
      </c>
      <c r="U1217">
        <v>11.05</v>
      </c>
      <c r="V1217" s="154" t="e">
        <f t="shared" si="182"/>
        <v>#VALUE!</v>
      </c>
      <c r="W1217">
        <v>11.05</v>
      </c>
      <c r="X1217" s="157" t="e">
        <f t="shared" si="183"/>
        <v>#VALUE!</v>
      </c>
      <c r="Y1217">
        <v>11.05</v>
      </c>
      <c r="Z1217" s="154" t="e">
        <f t="shared" si="184"/>
        <v>#VALUE!</v>
      </c>
      <c r="AA1217">
        <v>11.05</v>
      </c>
      <c r="AB1217" s="154" t="e">
        <f t="shared" si="185"/>
        <v>#VALUE!</v>
      </c>
      <c r="AC1217">
        <v>11.05</v>
      </c>
      <c r="AD1217" s="154" t="e">
        <f t="shared" si="186"/>
        <v>#VALUE!</v>
      </c>
      <c r="AE1217">
        <v>11.05</v>
      </c>
    </row>
    <row r="1218" spans="12:31" ht="15" x14ac:dyDescent="0.2">
      <c r="L1218" s="154" t="e">
        <f t="shared" si="177"/>
        <v>#VALUE!</v>
      </c>
      <c r="M1218">
        <v>11.06</v>
      </c>
      <c r="N1218" s="154" t="e">
        <f t="shared" si="178"/>
        <v>#VALUE!</v>
      </c>
      <c r="O1218">
        <v>11.06</v>
      </c>
      <c r="P1218" s="154" t="e">
        <f t="shared" si="179"/>
        <v>#VALUE!</v>
      </c>
      <c r="Q1218">
        <v>11.06</v>
      </c>
      <c r="R1218" s="154" t="e">
        <f t="shared" si="180"/>
        <v>#VALUE!</v>
      </c>
      <c r="S1218">
        <v>11.06</v>
      </c>
      <c r="T1218" s="154" t="e">
        <f t="shared" si="181"/>
        <v>#VALUE!</v>
      </c>
      <c r="U1218">
        <v>11.06</v>
      </c>
      <c r="V1218" s="154" t="e">
        <f t="shared" si="182"/>
        <v>#VALUE!</v>
      </c>
      <c r="W1218">
        <v>11.06</v>
      </c>
      <c r="X1218" s="157" t="e">
        <f t="shared" si="183"/>
        <v>#VALUE!</v>
      </c>
      <c r="Y1218">
        <v>11.06</v>
      </c>
      <c r="Z1218" s="154" t="e">
        <f t="shared" si="184"/>
        <v>#VALUE!</v>
      </c>
      <c r="AA1218">
        <v>11.06</v>
      </c>
      <c r="AB1218" s="154" t="e">
        <f t="shared" si="185"/>
        <v>#VALUE!</v>
      </c>
      <c r="AC1218">
        <v>11.06</v>
      </c>
      <c r="AD1218" s="154" t="e">
        <f t="shared" si="186"/>
        <v>#VALUE!</v>
      </c>
      <c r="AE1218">
        <v>11.06</v>
      </c>
    </row>
    <row r="1219" spans="12:31" ht="15" x14ac:dyDescent="0.2">
      <c r="L1219" s="154" t="e">
        <f t="shared" si="177"/>
        <v>#VALUE!</v>
      </c>
      <c r="M1219">
        <v>11.07</v>
      </c>
      <c r="N1219" s="154" t="e">
        <f t="shared" si="178"/>
        <v>#VALUE!</v>
      </c>
      <c r="O1219">
        <v>11.07</v>
      </c>
      <c r="P1219" s="154" t="e">
        <f t="shared" si="179"/>
        <v>#VALUE!</v>
      </c>
      <c r="Q1219">
        <v>11.07</v>
      </c>
      <c r="R1219" s="154" t="e">
        <f t="shared" si="180"/>
        <v>#VALUE!</v>
      </c>
      <c r="S1219">
        <v>11.07</v>
      </c>
      <c r="T1219" s="154" t="e">
        <f t="shared" si="181"/>
        <v>#VALUE!</v>
      </c>
      <c r="U1219">
        <v>11.07</v>
      </c>
      <c r="V1219" s="154" t="e">
        <f t="shared" si="182"/>
        <v>#VALUE!</v>
      </c>
      <c r="W1219">
        <v>11.07</v>
      </c>
      <c r="X1219" s="157" t="e">
        <f t="shared" si="183"/>
        <v>#VALUE!</v>
      </c>
      <c r="Y1219">
        <v>11.07</v>
      </c>
      <c r="Z1219" s="154" t="e">
        <f t="shared" si="184"/>
        <v>#VALUE!</v>
      </c>
      <c r="AA1219">
        <v>11.07</v>
      </c>
      <c r="AB1219" s="154" t="e">
        <f t="shared" si="185"/>
        <v>#VALUE!</v>
      </c>
      <c r="AC1219">
        <v>11.07</v>
      </c>
      <c r="AD1219" s="154" t="e">
        <f t="shared" si="186"/>
        <v>#VALUE!</v>
      </c>
      <c r="AE1219">
        <v>11.07</v>
      </c>
    </row>
    <row r="1220" spans="12:31" ht="15" x14ac:dyDescent="0.2">
      <c r="L1220" s="154" t="e">
        <f t="shared" si="177"/>
        <v>#VALUE!</v>
      </c>
      <c r="M1220">
        <v>11.08</v>
      </c>
      <c r="N1220" s="154" t="e">
        <f t="shared" si="178"/>
        <v>#VALUE!</v>
      </c>
      <c r="O1220">
        <v>11.08</v>
      </c>
      <c r="P1220" s="154" t="e">
        <f t="shared" si="179"/>
        <v>#VALUE!</v>
      </c>
      <c r="Q1220">
        <v>11.08</v>
      </c>
      <c r="R1220" s="154" t="e">
        <f t="shared" si="180"/>
        <v>#VALUE!</v>
      </c>
      <c r="S1220">
        <v>11.08</v>
      </c>
      <c r="T1220" s="154" t="e">
        <f t="shared" si="181"/>
        <v>#VALUE!</v>
      </c>
      <c r="U1220">
        <v>11.08</v>
      </c>
      <c r="V1220" s="154" t="e">
        <f t="shared" si="182"/>
        <v>#VALUE!</v>
      </c>
      <c r="W1220">
        <v>11.08</v>
      </c>
      <c r="X1220" s="157" t="e">
        <f t="shared" si="183"/>
        <v>#VALUE!</v>
      </c>
      <c r="Y1220">
        <v>11.08</v>
      </c>
      <c r="Z1220" s="154" t="e">
        <f t="shared" si="184"/>
        <v>#VALUE!</v>
      </c>
      <c r="AA1220">
        <v>11.08</v>
      </c>
      <c r="AB1220" s="154" t="e">
        <f t="shared" si="185"/>
        <v>#VALUE!</v>
      </c>
      <c r="AC1220">
        <v>11.08</v>
      </c>
      <c r="AD1220" s="154" t="e">
        <f t="shared" si="186"/>
        <v>#VALUE!</v>
      </c>
      <c r="AE1220">
        <v>11.08</v>
      </c>
    </row>
    <row r="1221" spans="12:31" ht="15" x14ac:dyDescent="0.2">
      <c r="L1221" s="154" t="e">
        <f t="shared" si="177"/>
        <v>#VALUE!</v>
      </c>
      <c r="M1221">
        <v>11.09</v>
      </c>
      <c r="N1221" s="154" t="e">
        <f t="shared" si="178"/>
        <v>#VALUE!</v>
      </c>
      <c r="O1221">
        <v>11.09</v>
      </c>
      <c r="P1221" s="154" t="e">
        <f t="shared" si="179"/>
        <v>#VALUE!</v>
      </c>
      <c r="Q1221">
        <v>11.09</v>
      </c>
      <c r="R1221" s="154" t="e">
        <f t="shared" si="180"/>
        <v>#VALUE!</v>
      </c>
      <c r="S1221">
        <v>11.09</v>
      </c>
      <c r="T1221" s="154" t="e">
        <f t="shared" si="181"/>
        <v>#VALUE!</v>
      </c>
      <c r="U1221">
        <v>11.09</v>
      </c>
      <c r="V1221" s="154" t="e">
        <f t="shared" si="182"/>
        <v>#VALUE!</v>
      </c>
      <c r="W1221">
        <v>11.09</v>
      </c>
      <c r="X1221" s="157" t="e">
        <f t="shared" si="183"/>
        <v>#VALUE!</v>
      </c>
      <c r="Y1221">
        <v>11.09</v>
      </c>
      <c r="Z1221" s="154" t="e">
        <f t="shared" si="184"/>
        <v>#VALUE!</v>
      </c>
      <c r="AA1221">
        <v>11.09</v>
      </c>
      <c r="AB1221" s="154" t="e">
        <f t="shared" si="185"/>
        <v>#VALUE!</v>
      </c>
      <c r="AC1221">
        <v>11.09</v>
      </c>
      <c r="AD1221" s="154" t="e">
        <f t="shared" si="186"/>
        <v>#VALUE!</v>
      </c>
      <c r="AE1221">
        <v>11.09</v>
      </c>
    </row>
    <row r="1222" spans="12:31" ht="15" x14ac:dyDescent="0.2">
      <c r="L1222" s="154" t="e">
        <f t="shared" si="177"/>
        <v>#VALUE!</v>
      </c>
      <c r="M1222">
        <v>11.1</v>
      </c>
      <c r="N1222" s="154" t="e">
        <f t="shared" si="178"/>
        <v>#VALUE!</v>
      </c>
      <c r="O1222">
        <v>11.1</v>
      </c>
      <c r="P1222" s="154" t="e">
        <f t="shared" si="179"/>
        <v>#VALUE!</v>
      </c>
      <c r="Q1222">
        <v>11.1</v>
      </c>
      <c r="R1222" s="154" t="e">
        <f t="shared" si="180"/>
        <v>#VALUE!</v>
      </c>
      <c r="S1222">
        <v>11.1</v>
      </c>
      <c r="T1222" s="154" t="e">
        <f t="shared" si="181"/>
        <v>#VALUE!</v>
      </c>
      <c r="U1222">
        <v>11.1</v>
      </c>
      <c r="V1222" s="154" t="e">
        <f t="shared" si="182"/>
        <v>#VALUE!</v>
      </c>
      <c r="W1222">
        <v>11.1</v>
      </c>
      <c r="X1222" s="157" t="e">
        <f t="shared" si="183"/>
        <v>#VALUE!</v>
      </c>
      <c r="Y1222">
        <v>11.1</v>
      </c>
      <c r="Z1222" s="154" t="e">
        <f t="shared" si="184"/>
        <v>#VALUE!</v>
      </c>
      <c r="AA1222">
        <v>11.1</v>
      </c>
      <c r="AB1222" s="154" t="e">
        <f t="shared" si="185"/>
        <v>#VALUE!</v>
      </c>
      <c r="AC1222">
        <v>11.1</v>
      </c>
      <c r="AD1222" s="154" t="e">
        <f t="shared" si="186"/>
        <v>#VALUE!</v>
      </c>
      <c r="AE1222">
        <v>11.1</v>
      </c>
    </row>
    <row r="1223" spans="12:31" ht="15" x14ac:dyDescent="0.2">
      <c r="L1223" s="154" t="e">
        <f t="shared" si="177"/>
        <v>#VALUE!</v>
      </c>
      <c r="M1223">
        <v>11.11</v>
      </c>
      <c r="N1223" s="154" t="e">
        <f t="shared" si="178"/>
        <v>#VALUE!</v>
      </c>
      <c r="O1223">
        <v>11.11</v>
      </c>
      <c r="P1223" s="154" t="e">
        <f t="shared" si="179"/>
        <v>#VALUE!</v>
      </c>
      <c r="Q1223">
        <v>11.11</v>
      </c>
      <c r="R1223" s="154" t="e">
        <f t="shared" si="180"/>
        <v>#VALUE!</v>
      </c>
      <c r="S1223">
        <v>11.11</v>
      </c>
      <c r="T1223" s="154" t="e">
        <f t="shared" si="181"/>
        <v>#VALUE!</v>
      </c>
      <c r="U1223">
        <v>11.11</v>
      </c>
      <c r="V1223" s="154" t="e">
        <f t="shared" si="182"/>
        <v>#VALUE!</v>
      </c>
      <c r="W1223">
        <v>11.11</v>
      </c>
      <c r="X1223" s="157" t="e">
        <f t="shared" si="183"/>
        <v>#VALUE!</v>
      </c>
      <c r="Y1223">
        <v>11.11</v>
      </c>
      <c r="Z1223" s="154" t="e">
        <f t="shared" si="184"/>
        <v>#VALUE!</v>
      </c>
      <c r="AA1223">
        <v>11.11</v>
      </c>
      <c r="AB1223" s="154" t="e">
        <f t="shared" si="185"/>
        <v>#VALUE!</v>
      </c>
      <c r="AC1223">
        <v>11.11</v>
      </c>
      <c r="AD1223" s="154" t="e">
        <f t="shared" si="186"/>
        <v>#VALUE!</v>
      </c>
      <c r="AE1223">
        <v>11.11</v>
      </c>
    </row>
    <row r="1224" spans="12:31" ht="15" x14ac:dyDescent="0.2">
      <c r="L1224" s="154" t="e">
        <f t="shared" si="177"/>
        <v>#VALUE!</v>
      </c>
      <c r="M1224">
        <v>11.12</v>
      </c>
      <c r="N1224" s="154" t="e">
        <f t="shared" si="178"/>
        <v>#VALUE!</v>
      </c>
      <c r="O1224">
        <v>11.12</v>
      </c>
      <c r="P1224" s="154" t="e">
        <f t="shared" si="179"/>
        <v>#VALUE!</v>
      </c>
      <c r="Q1224">
        <v>11.12</v>
      </c>
      <c r="R1224" s="154" t="e">
        <f t="shared" si="180"/>
        <v>#VALUE!</v>
      </c>
      <c r="S1224">
        <v>11.12</v>
      </c>
      <c r="T1224" s="154" t="e">
        <f t="shared" si="181"/>
        <v>#VALUE!</v>
      </c>
      <c r="U1224">
        <v>11.12</v>
      </c>
      <c r="V1224" s="154" t="e">
        <f t="shared" si="182"/>
        <v>#VALUE!</v>
      </c>
      <c r="W1224">
        <v>11.12</v>
      </c>
      <c r="X1224" s="157" t="e">
        <f t="shared" si="183"/>
        <v>#VALUE!</v>
      </c>
      <c r="Y1224">
        <v>11.12</v>
      </c>
      <c r="Z1224" s="154" t="e">
        <f t="shared" si="184"/>
        <v>#VALUE!</v>
      </c>
      <c r="AA1224">
        <v>11.12</v>
      </c>
      <c r="AB1224" s="154" t="e">
        <f t="shared" si="185"/>
        <v>#VALUE!</v>
      </c>
      <c r="AC1224">
        <v>11.12</v>
      </c>
      <c r="AD1224" s="154" t="e">
        <f t="shared" si="186"/>
        <v>#VALUE!</v>
      </c>
      <c r="AE1224">
        <v>11.12</v>
      </c>
    </row>
    <row r="1225" spans="12:31" ht="15" x14ac:dyDescent="0.2">
      <c r="L1225" s="154" t="e">
        <f t="shared" si="177"/>
        <v>#VALUE!</v>
      </c>
      <c r="M1225">
        <v>11.13</v>
      </c>
      <c r="N1225" s="154" t="e">
        <f t="shared" si="178"/>
        <v>#VALUE!</v>
      </c>
      <c r="O1225">
        <v>11.13</v>
      </c>
      <c r="P1225" s="154" t="e">
        <f t="shared" si="179"/>
        <v>#VALUE!</v>
      </c>
      <c r="Q1225">
        <v>11.13</v>
      </c>
      <c r="R1225" s="154" t="e">
        <f t="shared" si="180"/>
        <v>#VALUE!</v>
      </c>
      <c r="S1225">
        <v>11.13</v>
      </c>
      <c r="T1225" s="154" t="e">
        <f t="shared" si="181"/>
        <v>#VALUE!</v>
      </c>
      <c r="U1225">
        <v>11.13</v>
      </c>
      <c r="V1225" s="154" t="e">
        <f t="shared" si="182"/>
        <v>#VALUE!</v>
      </c>
      <c r="W1225">
        <v>11.13</v>
      </c>
      <c r="X1225" s="157" t="e">
        <f t="shared" si="183"/>
        <v>#VALUE!</v>
      </c>
      <c r="Y1225">
        <v>11.13</v>
      </c>
      <c r="Z1225" s="154" t="e">
        <f t="shared" si="184"/>
        <v>#VALUE!</v>
      </c>
      <c r="AA1225">
        <v>11.13</v>
      </c>
      <c r="AB1225" s="154" t="e">
        <f t="shared" si="185"/>
        <v>#VALUE!</v>
      </c>
      <c r="AC1225">
        <v>11.13</v>
      </c>
      <c r="AD1225" s="154" t="e">
        <f t="shared" si="186"/>
        <v>#VALUE!</v>
      </c>
      <c r="AE1225">
        <v>11.13</v>
      </c>
    </row>
    <row r="1226" spans="12:31" ht="15" x14ac:dyDescent="0.2">
      <c r="L1226" s="154" t="e">
        <f t="shared" si="177"/>
        <v>#VALUE!</v>
      </c>
      <c r="M1226">
        <v>11.14</v>
      </c>
      <c r="N1226" s="154" t="e">
        <f t="shared" si="178"/>
        <v>#VALUE!</v>
      </c>
      <c r="O1226">
        <v>11.14</v>
      </c>
      <c r="P1226" s="154" t="e">
        <f t="shared" si="179"/>
        <v>#VALUE!</v>
      </c>
      <c r="Q1226">
        <v>11.14</v>
      </c>
      <c r="R1226" s="154" t="e">
        <f t="shared" si="180"/>
        <v>#VALUE!</v>
      </c>
      <c r="S1226">
        <v>11.14</v>
      </c>
      <c r="T1226" s="154" t="e">
        <f t="shared" si="181"/>
        <v>#VALUE!</v>
      </c>
      <c r="U1226">
        <v>11.14</v>
      </c>
      <c r="V1226" s="154" t="e">
        <f t="shared" si="182"/>
        <v>#VALUE!</v>
      </c>
      <c r="W1226">
        <v>11.14</v>
      </c>
      <c r="X1226" s="157" t="e">
        <f t="shared" si="183"/>
        <v>#VALUE!</v>
      </c>
      <c r="Y1226">
        <v>11.14</v>
      </c>
      <c r="Z1226" s="154" t="e">
        <f t="shared" si="184"/>
        <v>#VALUE!</v>
      </c>
      <c r="AA1226">
        <v>11.14</v>
      </c>
      <c r="AB1226" s="154" t="e">
        <f t="shared" si="185"/>
        <v>#VALUE!</v>
      </c>
      <c r="AC1226">
        <v>11.14</v>
      </c>
      <c r="AD1226" s="154" t="e">
        <f t="shared" si="186"/>
        <v>#VALUE!</v>
      </c>
      <c r="AE1226">
        <v>11.14</v>
      </c>
    </row>
    <row r="1227" spans="12:31" ht="15" x14ac:dyDescent="0.2">
      <c r="L1227" s="154" t="e">
        <f t="shared" si="177"/>
        <v>#VALUE!</v>
      </c>
      <c r="M1227">
        <v>11.15</v>
      </c>
      <c r="N1227" s="154" t="e">
        <f t="shared" si="178"/>
        <v>#VALUE!</v>
      </c>
      <c r="O1227">
        <v>11.15</v>
      </c>
      <c r="P1227" s="154" t="e">
        <f t="shared" si="179"/>
        <v>#VALUE!</v>
      </c>
      <c r="Q1227">
        <v>11.15</v>
      </c>
      <c r="R1227" s="154" t="e">
        <f t="shared" si="180"/>
        <v>#VALUE!</v>
      </c>
      <c r="S1227">
        <v>11.15</v>
      </c>
      <c r="T1227" s="154" t="e">
        <f t="shared" si="181"/>
        <v>#VALUE!</v>
      </c>
      <c r="U1227">
        <v>11.15</v>
      </c>
      <c r="V1227" s="154" t="e">
        <f t="shared" si="182"/>
        <v>#VALUE!</v>
      </c>
      <c r="W1227">
        <v>11.15</v>
      </c>
      <c r="X1227" s="157" t="e">
        <f t="shared" si="183"/>
        <v>#VALUE!</v>
      </c>
      <c r="Y1227">
        <v>11.15</v>
      </c>
      <c r="Z1227" s="154" t="e">
        <f t="shared" si="184"/>
        <v>#VALUE!</v>
      </c>
      <c r="AA1227">
        <v>11.15</v>
      </c>
      <c r="AB1227" s="154" t="e">
        <f t="shared" si="185"/>
        <v>#VALUE!</v>
      </c>
      <c r="AC1227">
        <v>11.15</v>
      </c>
      <c r="AD1227" s="154" t="e">
        <f t="shared" si="186"/>
        <v>#VALUE!</v>
      </c>
      <c r="AE1227">
        <v>11.15</v>
      </c>
    </row>
    <row r="1228" spans="12:31" ht="15" x14ac:dyDescent="0.2">
      <c r="L1228" s="154" t="e">
        <f t="shared" si="177"/>
        <v>#VALUE!</v>
      </c>
      <c r="M1228">
        <v>11.16</v>
      </c>
      <c r="N1228" s="154" t="e">
        <f t="shared" si="178"/>
        <v>#VALUE!</v>
      </c>
      <c r="O1228">
        <v>11.16</v>
      </c>
      <c r="P1228" s="154" t="e">
        <f t="shared" si="179"/>
        <v>#VALUE!</v>
      </c>
      <c r="Q1228">
        <v>11.16</v>
      </c>
      <c r="R1228" s="154" t="e">
        <f t="shared" si="180"/>
        <v>#VALUE!</v>
      </c>
      <c r="S1228">
        <v>11.16</v>
      </c>
      <c r="T1228" s="154" t="e">
        <f t="shared" si="181"/>
        <v>#VALUE!</v>
      </c>
      <c r="U1228">
        <v>11.16</v>
      </c>
      <c r="V1228" s="154" t="e">
        <f t="shared" si="182"/>
        <v>#VALUE!</v>
      </c>
      <c r="W1228">
        <v>11.16</v>
      </c>
      <c r="X1228" s="157" t="e">
        <f t="shared" si="183"/>
        <v>#VALUE!</v>
      </c>
      <c r="Y1228">
        <v>11.16</v>
      </c>
      <c r="Z1228" s="154" t="e">
        <f t="shared" si="184"/>
        <v>#VALUE!</v>
      </c>
      <c r="AA1228">
        <v>11.16</v>
      </c>
      <c r="AB1228" s="154" t="e">
        <f t="shared" si="185"/>
        <v>#VALUE!</v>
      </c>
      <c r="AC1228">
        <v>11.16</v>
      </c>
      <c r="AD1228" s="154" t="e">
        <f t="shared" si="186"/>
        <v>#VALUE!</v>
      </c>
      <c r="AE1228">
        <v>11.16</v>
      </c>
    </row>
    <row r="1229" spans="12:31" ht="15" x14ac:dyDescent="0.2">
      <c r="L1229" s="154" t="e">
        <f t="shared" si="177"/>
        <v>#VALUE!</v>
      </c>
      <c r="M1229">
        <v>11.17</v>
      </c>
      <c r="N1229" s="154" t="e">
        <f t="shared" si="178"/>
        <v>#VALUE!</v>
      </c>
      <c r="O1229">
        <v>11.17</v>
      </c>
      <c r="P1229" s="154" t="e">
        <f t="shared" si="179"/>
        <v>#VALUE!</v>
      </c>
      <c r="Q1229">
        <v>11.17</v>
      </c>
      <c r="R1229" s="154" t="e">
        <f t="shared" si="180"/>
        <v>#VALUE!</v>
      </c>
      <c r="S1229">
        <v>11.17</v>
      </c>
      <c r="T1229" s="154" t="e">
        <f t="shared" si="181"/>
        <v>#VALUE!</v>
      </c>
      <c r="U1229">
        <v>11.17</v>
      </c>
      <c r="V1229" s="154" t="e">
        <f t="shared" si="182"/>
        <v>#VALUE!</v>
      </c>
      <c r="W1229">
        <v>11.17</v>
      </c>
      <c r="X1229" s="157" t="e">
        <f t="shared" si="183"/>
        <v>#VALUE!</v>
      </c>
      <c r="Y1229">
        <v>11.17</v>
      </c>
      <c r="Z1229" s="154" t="e">
        <f t="shared" si="184"/>
        <v>#VALUE!</v>
      </c>
      <c r="AA1229">
        <v>11.17</v>
      </c>
      <c r="AB1229" s="154" t="e">
        <f t="shared" si="185"/>
        <v>#VALUE!</v>
      </c>
      <c r="AC1229">
        <v>11.17</v>
      </c>
      <c r="AD1229" s="154" t="e">
        <f t="shared" si="186"/>
        <v>#VALUE!</v>
      </c>
      <c r="AE1229">
        <v>11.17</v>
      </c>
    </row>
    <row r="1230" spans="12:31" ht="15" x14ac:dyDescent="0.2">
      <c r="L1230" s="154" t="e">
        <f t="shared" si="177"/>
        <v>#VALUE!</v>
      </c>
      <c r="M1230">
        <v>11.18</v>
      </c>
      <c r="N1230" s="154" t="e">
        <f t="shared" si="178"/>
        <v>#VALUE!</v>
      </c>
      <c r="O1230">
        <v>11.18</v>
      </c>
      <c r="P1230" s="154" t="e">
        <f t="shared" si="179"/>
        <v>#VALUE!</v>
      </c>
      <c r="Q1230">
        <v>11.18</v>
      </c>
      <c r="R1230" s="154" t="e">
        <f t="shared" si="180"/>
        <v>#VALUE!</v>
      </c>
      <c r="S1230">
        <v>11.18</v>
      </c>
      <c r="T1230" s="154" t="e">
        <f t="shared" si="181"/>
        <v>#VALUE!</v>
      </c>
      <c r="U1230">
        <v>11.18</v>
      </c>
      <c r="V1230" s="154" t="e">
        <f t="shared" si="182"/>
        <v>#VALUE!</v>
      </c>
      <c r="W1230">
        <v>11.18</v>
      </c>
      <c r="X1230" s="157" t="e">
        <f t="shared" si="183"/>
        <v>#VALUE!</v>
      </c>
      <c r="Y1230">
        <v>11.18</v>
      </c>
      <c r="Z1230" s="154" t="e">
        <f t="shared" si="184"/>
        <v>#VALUE!</v>
      </c>
      <c r="AA1230">
        <v>11.18</v>
      </c>
      <c r="AB1230" s="154" t="e">
        <f t="shared" si="185"/>
        <v>#VALUE!</v>
      </c>
      <c r="AC1230">
        <v>11.18</v>
      </c>
      <c r="AD1230" s="154" t="e">
        <f t="shared" si="186"/>
        <v>#VALUE!</v>
      </c>
      <c r="AE1230">
        <v>11.18</v>
      </c>
    </row>
    <row r="1231" spans="12:31" ht="15" x14ac:dyDescent="0.2">
      <c r="L1231" s="154" t="e">
        <f t="shared" si="177"/>
        <v>#VALUE!</v>
      </c>
      <c r="M1231">
        <v>11.19</v>
      </c>
      <c r="N1231" s="154" t="e">
        <f t="shared" si="178"/>
        <v>#VALUE!</v>
      </c>
      <c r="O1231">
        <v>11.19</v>
      </c>
      <c r="P1231" s="154" t="e">
        <f t="shared" si="179"/>
        <v>#VALUE!</v>
      </c>
      <c r="Q1231">
        <v>11.19</v>
      </c>
      <c r="R1231" s="154" t="e">
        <f t="shared" si="180"/>
        <v>#VALUE!</v>
      </c>
      <c r="S1231">
        <v>11.19</v>
      </c>
      <c r="T1231" s="154" t="e">
        <f t="shared" si="181"/>
        <v>#VALUE!</v>
      </c>
      <c r="U1231">
        <v>11.19</v>
      </c>
      <c r="V1231" s="154" t="e">
        <f t="shared" si="182"/>
        <v>#VALUE!</v>
      </c>
      <c r="W1231">
        <v>11.19</v>
      </c>
      <c r="X1231" s="157" t="e">
        <f t="shared" si="183"/>
        <v>#VALUE!</v>
      </c>
      <c r="Y1231">
        <v>11.19</v>
      </c>
      <c r="Z1231" s="154" t="e">
        <f t="shared" si="184"/>
        <v>#VALUE!</v>
      </c>
      <c r="AA1231">
        <v>11.19</v>
      </c>
      <c r="AB1231" s="154" t="e">
        <f t="shared" si="185"/>
        <v>#VALUE!</v>
      </c>
      <c r="AC1231">
        <v>11.19</v>
      </c>
      <c r="AD1231" s="154" t="e">
        <f t="shared" si="186"/>
        <v>#VALUE!</v>
      </c>
      <c r="AE1231">
        <v>11.19</v>
      </c>
    </row>
    <row r="1232" spans="12:31" ht="15" x14ac:dyDescent="0.2">
      <c r="L1232" s="154" t="e">
        <f t="shared" si="177"/>
        <v>#VALUE!</v>
      </c>
      <c r="M1232">
        <v>11.2</v>
      </c>
      <c r="N1232" s="154" t="e">
        <f t="shared" si="178"/>
        <v>#VALUE!</v>
      </c>
      <c r="O1232">
        <v>11.2</v>
      </c>
      <c r="P1232" s="154" t="e">
        <f t="shared" si="179"/>
        <v>#VALUE!</v>
      </c>
      <c r="Q1232">
        <v>11.2</v>
      </c>
      <c r="R1232" s="154" t="e">
        <f t="shared" si="180"/>
        <v>#VALUE!</v>
      </c>
      <c r="S1232">
        <v>11.2</v>
      </c>
      <c r="T1232" s="154" t="e">
        <f t="shared" si="181"/>
        <v>#VALUE!</v>
      </c>
      <c r="U1232">
        <v>11.2</v>
      </c>
      <c r="V1232" s="154" t="e">
        <f t="shared" si="182"/>
        <v>#VALUE!</v>
      </c>
      <c r="W1232">
        <v>11.2</v>
      </c>
      <c r="X1232" s="157" t="e">
        <f t="shared" si="183"/>
        <v>#VALUE!</v>
      </c>
      <c r="Y1232">
        <v>11.2</v>
      </c>
      <c r="Z1232" s="154" t="e">
        <f t="shared" si="184"/>
        <v>#VALUE!</v>
      </c>
      <c r="AA1232">
        <v>11.2</v>
      </c>
      <c r="AB1232" s="154" t="e">
        <f t="shared" si="185"/>
        <v>#VALUE!</v>
      </c>
      <c r="AC1232">
        <v>11.2</v>
      </c>
      <c r="AD1232" s="154" t="e">
        <f t="shared" si="186"/>
        <v>#VALUE!</v>
      </c>
      <c r="AE1232">
        <v>11.2</v>
      </c>
    </row>
    <row r="1233" spans="12:31" ht="15" x14ac:dyDescent="0.2">
      <c r="L1233" s="154" t="e">
        <f t="shared" si="177"/>
        <v>#VALUE!</v>
      </c>
      <c r="M1233">
        <v>11.21</v>
      </c>
      <c r="N1233" s="154" t="e">
        <f t="shared" si="178"/>
        <v>#VALUE!</v>
      </c>
      <c r="O1233">
        <v>11.21</v>
      </c>
      <c r="P1233" s="154" t="e">
        <f t="shared" si="179"/>
        <v>#VALUE!</v>
      </c>
      <c r="Q1233">
        <v>11.21</v>
      </c>
      <c r="R1233" s="154" t="e">
        <f t="shared" si="180"/>
        <v>#VALUE!</v>
      </c>
      <c r="S1233">
        <v>11.21</v>
      </c>
      <c r="T1233" s="154" t="e">
        <f t="shared" si="181"/>
        <v>#VALUE!</v>
      </c>
      <c r="U1233">
        <v>11.21</v>
      </c>
      <c r="V1233" s="154" t="e">
        <f t="shared" si="182"/>
        <v>#VALUE!</v>
      </c>
      <c r="W1233">
        <v>11.21</v>
      </c>
      <c r="X1233" s="157" t="e">
        <f t="shared" si="183"/>
        <v>#VALUE!</v>
      </c>
      <c r="Y1233">
        <v>11.21</v>
      </c>
      <c r="Z1233" s="154" t="e">
        <f t="shared" si="184"/>
        <v>#VALUE!</v>
      </c>
      <c r="AA1233">
        <v>11.21</v>
      </c>
      <c r="AB1233" s="154" t="e">
        <f t="shared" si="185"/>
        <v>#VALUE!</v>
      </c>
      <c r="AC1233">
        <v>11.21</v>
      </c>
      <c r="AD1233" s="154" t="e">
        <f t="shared" si="186"/>
        <v>#VALUE!</v>
      </c>
      <c r="AE1233">
        <v>11.21</v>
      </c>
    </row>
    <row r="1234" spans="12:31" ht="15" x14ac:dyDescent="0.2">
      <c r="L1234" s="154" t="e">
        <f t="shared" si="177"/>
        <v>#VALUE!</v>
      </c>
      <c r="M1234">
        <v>11.22</v>
      </c>
      <c r="N1234" s="154" t="e">
        <f t="shared" si="178"/>
        <v>#VALUE!</v>
      </c>
      <c r="O1234">
        <v>11.22</v>
      </c>
      <c r="P1234" s="154" t="e">
        <f t="shared" si="179"/>
        <v>#VALUE!</v>
      </c>
      <c r="Q1234">
        <v>11.22</v>
      </c>
      <c r="R1234" s="154" t="e">
        <f t="shared" si="180"/>
        <v>#VALUE!</v>
      </c>
      <c r="S1234">
        <v>11.22</v>
      </c>
      <c r="T1234" s="154" t="e">
        <f t="shared" si="181"/>
        <v>#VALUE!</v>
      </c>
      <c r="U1234">
        <v>11.22</v>
      </c>
      <c r="V1234" s="154" t="e">
        <f t="shared" si="182"/>
        <v>#VALUE!</v>
      </c>
      <c r="W1234">
        <v>11.22</v>
      </c>
      <c r="X1234" s="157" t="e">
        <f t="shared" si="183"/>
        <v>#VALUE!</v>
      </c>
      <c r="Y1234">
        <v>11.22</v>
      </c>
      <c r="Z1234" s="154" t="e">
        <f t="shared" si="184"/>
        <v>#VALUE!</v>
      </c>
      <c r="AA1234">
        <v>11.22</v>
      </c>
      <c r="AB1234" s="154" t="e">
        <f t="shared" si="185"/>
        <v>#VALUE!</v>
      </c>
      <c r="AC1234">
        <v>11.22</v>
      </c>
      <c r="AD1234" s="154" t="e">
        <f t="shared" si="186"/>
        <v>#VALUE!</v>
      </c>
      <c r="AE1234">
        <v>11.22</v>
      </c>
    </row>
    <row r="1235" spans="12:31" ht="15" x14ac:dyDescent="0.2">
      <c r="L1235" s="154" t="e">
        <f t="shared" si="177"/>
        <v>#VALUE!</v>
      </c>
      <c r="M1235">
        <v>11.23</v>
      </c>
      <c r="N1235" s="154" t="e">
        <f t="shared" si="178"/>
        <v>#VALUE!</v>
      </c>
      <c r="O1235">
        <v>11.23</v>
      </c>
      <c r="P1235" s="154" t="e">
        <f t="shared" si="179"/>
        <v>#VALUE!</v>
      </c>
      <c r="Q1235">
        <v>11.23</v>
      </c>
      <c r="R1235" s="154" t="e">
        <f t="shared" si="180"/>
        <v>#VALUE!</v>
      </c>
      <c r="S1235">
        <v>11.23</v>
      </c>
      <c r="T1235" s="154" t="e">
        <f t="shared" si="181"/>
        <v>#VALUE!</v>
      </c>
      <c r="U1235">
        <v>11.23</v>
      </c>
      <c r="V1235" s="154" t="e">
        <f t="shared" si="182"/>
        <v>#VALUE!</v>
      </c>
      <c r="W1235">
        <v>11.23</v>
      </c>
      <c r="X1235" s="157" t="e">
        <f t="shared" si="183"/>
        <v>#VALUE!</v>
      </c>
      <c r="Y1235">
        <v>11.23</v>
      </c>
      <c r="Z1235" s="154" t="e">
        <f t="shared" si="184"/>
        <v>#VALUE!</v>
      </c>
      <c r="AA1235">
        <v>11.23</v>
      </c>
      <c r="AB1235" s="154" t="e">
        <f t="shared" si="185"/>
        <v>#VALUE!</v>
      </c>
      <c r="AC1235">
        <v>11.23</v>
      </c>
      <c r="AD1235" s="154" t="e">
        <f t="shared" si="186"/>
        <v>#VALUE!</v>
      </c>
      <c r="AE1235">
        <v>11.23</v>
      </c>
    </row>
    <row r="1236" spans="12:31" ht="15" x14ac:dyDescent="0.2">
      <c r="L1236" s="154" t="e">
        <f t="shared" si="177"/>
        <v>#VALUE!</v>
      </c>
      <c r="M1236">
        <v>11.24</v>
      </c>
      <c r="N1236" s="154" t="e">
        <f t="shared" si="178"/>
        <v>#VALUE!</v>
      </c>
      <c r="O1236">
        <v>11.24</v>
      </c>
      <c r="P1236" s="154" t="e">
        <f t="shared" si="179"/>
        <v>#VALUE!</v>
      </c>
      <c r="Q1236">
        <v>11.24</v>
      </c>
      <c r="R1236" s="154" t="e">
        <f t="shared" si="180"/>
        <v>#VALUE!</v>
      </c>
      <c r="S1236">
        <v>11.24</v>
      </c>
      <c r="T1236" s="154" t="e">
        <f t="shared" si="181"/>
        <v>#VALUE!</v>
      </c>
      <c r="U1236">
        <v>11.24</v>
      </c>
      <c r="V1236" s="154" t="e">
        <f t="shared" si="182"/>
        <v>#VALUE!</v>
      </c>
      <c r="W1236">
        <v>11.24</v>
      </c>
      <c r="X1236" s="157" t="e">
        <f t="shared" si="183"/>
        <v>#VALUE!</v>
      </c>
      <c r="Y1236">
        <v>11.24</v>
      </c>
      <c r="Z1236" s="154" t="e">
        <f t="shared" si="184"/>
        <v>#VALUE!</v>
      </c>
      <c r="AA1236">
        <v>11.24</v>
      </c>
      <c r="AB1236" s="154" t="e">
        <f t="shared" si="185"/>
        <v>#VALUE!</v>
      </c>
      <c r="AC1236">
        <v>11.24</v>
      </c>
      <c r="AD1236" s="154" t="e">
        <f t="shared" si="186"/>
        <v>#VALUE!</v>
      </c>
      <c r="AE1236">
        <v>11.24</v>
      </c>
    </row>
    <row r="1237" spans="12:31" ht="15" x14ac:dyDescent="0.2">
      <c r="L1237" s="154" t="e">
        <f t="shared" si="177"/>
        <v>#VALUE!</v>
      </c>
      <c r="M1237">
        <v>11.25</v>
      </c>
      <c r="N1237" s="154" t="e">
        <f t="shared" si="178"/>
        <v>#VALUE!</v>
      </c>
      <c r="O1237">
        <v>11.25</v>
      </c>
      <c r="P1237" s="154" t="e">
        <f t="shared" si="179"/>
        <v>#VALUE!</v>
      </c>
      <c r="Q1237">
        <v>11.25</v>
      </c>
      <c r="R1237" s="154" t="e">
        <f t="shared" si="180"/>
        <v>#VALUE!</v>
      </c>
      <c r="S1237">
        <v>11.25</v>
      </c>
      <c r="T1237" s="154" t="e">
        <f t="shared" si="181"/>
        <v>#VALUE!</v>
      </c>
      <c r="U1237">
        <v>11.25</v>
      </c>
      <c r="V1237" s="154" t="e">
        <f t="shared" si="182"/>
        <v>#VALUE!</v>
      </c>
      <c r="W1237">
        <v>11.25</v>
      </c>
      <c r="X1237" s="157" t="e">
        <f t="shared" si="183"/>
        <v>#VALUE!</v>
      </c>
      <c r="Y1237">
        <v>11.25</v>
      </c>
      <c r="Z1237" s="154" t="e">
        <f t="shared" si="184"/>
        <v>#VALUE!</v>
      </c>
      <c r="AA1237">
        <v>11.25</v>
      </c>
      <c r="AB1237" s="154" t="e">
        <f t="shared" si="185"/>
        <v>#VALUE!</v>
      </c>
      <c r="AC1237">
        <v>11.25</v>
      </c>
      <c r="AD1237" s="154" t="e">
        <f t="shared" si="186"/>
        <v>#VALUE!</v>
      </c>
      <c r="AE1237">
        <v>11.25</v>
      </c>
    </row>
    <row r="1238" spans="12:31" ht="15" x14ac:dyDescent="0.2">
      <c r="L1238" s="154" t="e">
        <f t="shared" si="177"/>
        <v>#VALUE!</v>
      </c>
      <c r="M1238">
        <v>11.26</v>
      </c>
      <c r="N1238" s="154" t="e">
        <f t="shared" si="178"/>
        <v>#VALUE!</v>
      </c>
      <c r="O1238">
        <v>11.26</v>
      </c>
      <c r="P1238" s="154" t="e">
        <f t="shared" si="179"/>
        <v>#VALUE!</v>
      </c>
      <c r="Q1238">
        <v>11.26</v>
      </c>
      <c r="R1238" s="154" t="e">
        <f t="shared" si="180"/>
        <v>#VALUE!</v>
      </c>
      <c r="S1238">
        <v>11.26</v>
      </c>
      <c r="T1238" s="154" t="e">
        <f t="shared" si="181"/>
        <v>#VALUE!</v>
      </c>
      <c r="U1238">
        <v>11.26</v>
      </c>
      <c r="V1238" s="154" t="e">
        <f t="shared" si="182"/>
        <v>#VALUE!</v>
      </c>
      <c r="W1238">
        <v>11.26</v>
      </c>
      <c r="X1238" s="157" t="e">
        <f t="shared" si="183"/>
        <v>#VALUE!</v>
      </c>
      <c r="Y1238">
        <v>11.26</v>
      </c>
      <c r="Z1238" s="154" t="e">
        <f t="shared" si="184"/>
        <v>#VALUE!</v>
      </c>
      <c r="AA1238">
        <v>11.26</v>
      </c>
      <c r="AB1238" s="154" t="e">
        <f t="shared" si="185"/>
        <v>#VALUE!</v>
      </c>
      <c r="AC1238">
        <v>11.26</v>
      </c>
      <c r="AD1238" s="154" t="e">
        <f t="shared" si="186"/>
        <v>#VALUE!</v>
      </c>
      <c r="AE1238">
        <v>11.26</v>
      </c>
    </row>
    <row r="1239" spans="12:31" ht="15" x14ac:dyDescent="0.2">
      <c r="L1239" s="154" t="e">
        <f t="shared" si="177"/>
        <v>#VALUE!</v>
      </c>
      <c r="M1239">
        <v>11.27</v>
      </c>
      <c r="N1239" s="154" t="e">
        <f t="shared" si="178"/>
        <v>#VALUE!</v>
      </c>
      <c r="O1239">
        <v>11.27</v>
      </c>
      <c r="P1239" s="154" t="e">
        <f t="shared" si="179"/>
        <v>#VALUE!</v>
      </c>
      <c r="Q1239">
        <v>11.27</v>
      </c>
      <c r="R1239" s="154" t="e">
        <f t="shared" si="180"/>
        <v>#VALUE!</v>
      </c>
      <c r="S1239">
        <v>11.27</v>
      </c>
      <c r="T1239" s="154" t="e">
        <f t="shared" si="181"/>
        <v>#VALUE!</v>
      </c>
      <c r="U1239">
        <v>11.27</v>
      </c>
      <c r="V1239" s="154" t="e">
        <f t="shared" si="182"/>
        <v>#VALUE!</v>
      </c>
      <c r="W1239">
        <v>11.27</v>
      </c>
      <c r="X1239" s="157" t="e">
        <f t="shared" si="183"/>
        <v>#VALUE!</v>
      </c>
      <c r="Y1239">
        <v>11.27</v>
      </c>
      <c r="Z1239" s="154" t="e">
        <f t="shared" si="184"/>
        <v>#VALUE!</v>
      </c>
      <c r="AA1239">
        <v>11.27</v>
      </c>
      <c r="AB1239" s="154" t="e">
        <f t="shared" si="185"/>
        <v>#VALUE!</v>
      </c>
      <c r="AC1239">
        <v>11.27</v>
      </c>
      <c r="AD1239" s="154" t="e">
        <f t="shared" si="186"/>
        <v>#VALUE!</v>
      </c>
      <c r="AE1239">
        <v>11.27</v>
      </c>
    </row>
    <row r="1240" spans="12:31" ht="15" x14ac:dyDescent="0.2">
      <c r="L1240" s="154" t="e">
        <f t="shared" si="177"/>
        <v>#VALUE!</v>
      </c>
      <c r="M1240">
        <v>11.28</v>
      </c>
      <c r="N1240" s="154" t="e">
        <f t="shared" si="178"/>
        <v>#VALUE!</v>
      </c>
      <c r="O1240">
        <v>11.28</v>
      </c>
      <c r="P1240" s="154" t="e">
        <f t="shared" si="179"/>
        <v>#VALUE!</v>
      </c>
      <c r="Q1240">
        <v>11.28</v>
      </c>
      <c r="R1240" s="154" t="e">
        <f t="shared" si="180"/>
        <v>#VALUE!</v>
      </c>
      <c r="S1240">
        <v>11.28</v>
      </c>
      <c r="T1240" s="154" t="e">
        <f t="shared" si="181"/>
        <v>#VALUE!</v>
      </c>
      <c r="U1240">
        <v>11.28</v>
      </c>
      <c r="V1240" s="154" t="e">
        <f t="shared" si="182"/>
        <v>#VALUE!</v>
      </c>
      <c r="W1240">
        <v>11.28</v>
      </c>
      <c r="X1240" s="157" t="e">
        <f t="shared" si="183"/>
        <v>#VALUE!</v>
      </c>
      <c r="Y1240">
        <v>11.28</v>
      </c>
      <c r="Z1240" s="154" t="e">
        <f t="shared" si="184"/>
        <v>#VALUE!</v>
      </c>
      <c r="AA1240">
        <v>11.28</v>
      </c>
      <c r="AB1240" s="154" t="e">
        <f t="shared" si="185"/>
        <v>#VALUE!</v>
      </c>
      <c r="AC1240">
        <v>11.28</v>
      </c>
      <c r="AD1240" s="154" t="e">
        <f t="shared" si="186"/>
        <v>#VALUE!</v>
      </c>
      <c r="AE1240">
        <v>11.28</v>
      </c>
    </row>
    <row r="1241" spans="12:31" ht="15" x14ac:dyDescent="0.2">
      <c r="L1241" s="154" t="e">
        <f t="shared" si="177"/>
        <v>#VALUE!</v>
      </c>
      <c r="M1241">
        <v>11.29</v>
      </c>
      <c r="N1241" s="154" t="e">
        <f t="shared" si="178"/>
        <v>#VALUE!</v>
      </c>
      <c r="O1241">
        <v>11.29</v>
      </c>
      <c r="P1241" s="154" t="e">
        <f t="shared" si="179"/>
        <v>#VALUE!</v>
      </c>
      <c r="Q1241">
        <v>11.29</v>
      </c>
      <c r="R1241" s="154" t="e">
        <f t="shared" si="180"/>
        <v>#VALUE!</v>
      </c>
      <c r="S1241">
        <v>11.29</v>
      </c>
      <c r="T1241" s="154" t="e">
        <f t="shared" si="181"/>
        <v>#VALUE!</v>
      </c>
      <c r="U1241">
        <v>11.29</v>
      </c>
      <c r="V1241" s="154" t="e">
        <f t="shared" si="182"/>
        <v>#VALUE!</v>
      </c>
      <c r="W1241">
        <v>11.29</v>
      </c>
      <c r="X1241" s="157" t="e">
        <f t="shared" si="183"/>
        <v>#VALUE!</v>
      </c>
      <c r="Y1241">
        <v>11.29</v>
      </c>
      <c r="Z1241" s="154" t="e">
        <f t="shared" si="184"/>
        <v>#VALUE!</v>
      </c>
      <c r="AA1241">
        <v>11.29</v>
      </c>
      <c r="AB1241" s="154" t="e">
        <f t="shared" si="185"/>
        <v>#VALUE!</v>
      </c>
      <c r="AC1241">
        <v>11.29</v>
      </c>
      <c r="AD1241" s="154" t="e">
        <f t="shared" si="186"/>
        <v>#VALUE!</v>
      </c>
      <c r="AE1241">
        <v>11.29</v>
      </c>
    </row>
    <row r="1242" spans="12:31" ht="15" x14ac:dyDescent="0.2">
      <c r="L1242" s="154" t="e">
        <f t="shared" si="177"/>
        <v>#VALUE!</v>
      </c>
      <c r="M1242">
        <v>11.3</v>
      </c>
      <c r="N1242" s="154" t="e">
        <f t="shared" si="178"/>
        <v>#VALUE!</v>
      </c>
      <c r="O1242">
        <v>11.3</v>
      </c>
      <c r="P1242" s="154" t="e">
        <f t="shared" si="179"/>
        <v>#VALUE!</v>
      </c>
      <c r="Q1242">
        <v>11.3</v>
      </c>
      <c r="R1242" s="154" t="e">
        <f t="shared" si="180"/>
        <v>#VALUE!</v>
      </c>
      <c r="S1242">
        <v>11.3</v>
      </c>
      <c r="T1242" s="154" t="e">
        <f t="shared" si="181"/>
        <v>#VALUE!</v>
      </c>
      <c r="U1242">
        <v>11.3</v>
      </c>
      <c r="V1242" s="154" t="e">
        <f t="shared" si="182"/>
        <v>#VALUE!</v>
      </c>
      <c r="W1242">
        <v>11.3</v>
      </c>
      <c r="X1242" s="157" t="e">
        <f t="shared" si="183"/>
        <v>#VALUE!</v>
      </c>
      <c r="Y1242">
        <v>11.3</v>
      </c>
      <c r="Z1242" s="154" t="e">
        <f t="shared" si="184"/>
        <v>#VALUE!</v>
      </c>
      <c r="AA1242">
        <v>11.3</v>
      </c>
      <c r="AB1242" s="154" t="e">
        <f t="shared" si="185"/>
        <v>#VALUE!</v>
      </c>
      <c r="AC1242">
        <v>11.3</v>
      </c>
      <c r="AD1242" s="154" t="e">
        <f t="shared" si="186"/>
        <v>#VALUE!</v>
      </c>
      <c r="AE1242">
        <v>11.3</v>
      </c>
    </row>
    <row r="1243" spans="12:31" ht="15" x14ac:dyDescent="0.2">
      <c r="L1243" s="154" t="e">
        <f t="shared" si="177"/>
        <v>#VALUE!</v>
      </c>
      <c r="M1243">
        <v>11.31</v>
      </c>
      <c r="N1243" s="154" t="e">
        <f t="shared" si="178"/>
        <v>#VALUE!</v>
      </c>
      <c r="O1243">
        <v>11.31</v>
      </c>
      <c r="P1243" s="154" t="e">
        <f t="shared" si="179"/>
        <v>#VALUE!</v>
      </c>
      <c r="Q1243">
        <v>11.31</v>
      </c>
      <c r="R1243" s="154" t="e">
        <f t="shared" si="180"/>
        <v>#VALUE!</v>
      </c>
      <c r="S1243">
        <v>11.31</v>
      </c>
      <c r="T1243" s="154" t="e">
        <f t="shared" si="181"/>
        <v>#VALUE!</v>
      </c>
      <c r="U1243">
        <v>11.31</v>
      </c>
      <c r="V1243" s="154" t="e">
        <f t="shared" si="182"/>
        <v>#VALUE!</v>
      </c>
      <c r="W1243">
        <v>11.31</v>
      </c>
      <c r="X1243" s="157" t="e">
        <f t="shared" si="183"/>
        <v>#VALUE!</v>
      </c>
      <c r="Y1243">
        <v>11.31</v>
      </c>
      <c r="Z1243" s="154" t="e">
        <f t="shared" si="184"/>
        <v>#VALUE!</v>
      </c>
      <c r="AA1243">
        <v>11.31</v>
      </c>
      <c r="AB1243" s="154" t="e">
        <f t="shared" si="185"/>
        <v>#VALUE!</v>
      </c>
      <c r="AC1243">
        <v>11.31</v>
      </c>
      <c r="AD1243" s="154" t="e">
        <f t="shared" si="186"/>
        <v>#VALUE!</v>
      </c>
      <c r="AE1243">
        <v>11.31</v>
      </c>
    </row>
    <row r="1244" spans="12:31" ht="15" x14ac:dyDescent="0.2">
      <c r="L1244" s="154" t="e">
        <f t="shared" si="177"/>
        <v>#VALUE!</v>
      </c>
      <c r="M1244">
        <v>11.32</v>
      </c>
      <c r="N1244" s="154" t="e">
        <f t="shared" si="178"/>
        <v>#VALUE!</v>
      </c>
      <c r="O1244">
        <v>11.32</v>
      </c>
      <c r="P1244" s="154" t="e">
        <f t="shared" si="179"/>
        <v>#VALUE!</v>
      </c>
      <c r="Q1244">
        <v>11.32</v>
      </c>
      <c r="R1244" s="154" t="e">
        <f t="shared" si="180"/>
        <v>#VALUE!</v>
      </c>
      <c r="S1244">
        <v>11.32</v>
      </c>
      <c r="T1244" s="154" t="e">
        <f t="shared" si="181"/>
        <v>#VALUE!</v>
      </c>
      <c r="U1244">
        <v>11.32</v>
      </c>
      <c r="V1244" s="154" t="e">
        <f t="shared" si="182"/>
        <v>#VALUE!</v>
      </c>
      <c r="W1244">
        <v>11.32</v>
      </c>
      <c r="X1244" s="157" t="e">
        <f t="shared" si="183"/>
        <v>#VALUE!</v>
      </c>
      <c r="Y1244">
        <v>11.32</v>
      </c>
      <c r="Z1244" s="154" t="e">
        <f t="shared" si="184"/>
        <v>#VALUE!</v>
      </c>
      <c r="AA1244">
        <v>11.32</v>
      </c>
      <c r="AB1244" s="154" t="e">
        <f t="shared" si="185"/>
        <v>#VALUE!</v>
      </c>
      <c r="AC1244">
        <v>11.32</v>
      </c>
      <c r="AD1244" s="154" t="e">
        <f t="shared" si="186"/>
        <v>#VALUE!</v>
      </c>
      <c r="AE1244">
        <v>11.32</v>
      </c>
    </row>
    <row r="1245" spans="12:31" ht="15" x14ac:dyDescent="0.2">
      <c r="L1245" s="154" t="e">
        <f t="shared" si="177"/>
        <v>#VALUE!</v>
      </c>
      <c r="M1245">
        <v>11.33</v>
      </c>
      <c r="N1245" s="154" t="e">
        <f t="shared" si="178"/>
        <v>#VALUE!</v>
      </c>
      <c r="O1245">
        <v>11.33</v>
      </c>
      <c r="P1245" s="154" t="e">
        <f t="shared" si="179"/>
        <v>#VALUE!</v>
      </c>
      <c r="Q1245">
        <v>11.33</v>
      </c>
      <c r="R1245" s="154" t="e">
        <f t="shared" si="180"/>
        <v>#VALUE!</v>
      </c>
      <c r="S1245">
        <v>11.33</v>
      </c>
      <c r="T1245" s="154" t="e">
        <f t="shared" si="181"/>
        <v>#VALUE!</v>
      </c>
      <c r="U1245">
        <v>11.33</v>
      </c>
      <c r="V1245" s="154" t="e">
        <f t="shared" si="182"/>
        <v>#VALUE!</v>
      </c>
      <c r="W1245">
        <v>11.33</v>
      </c>
      <c r="X1245" s="157" t="e">
        <f t="shared" si="183"/>
        <v>#VALUE!</v>
      </c>
      <c r="Y1245">
        <v>11.33</v>
      </c>
      <c r="Z1245" s="154" t="e">
        <f t="shared" si="184"/>
        <v>#VALUE!</v>
      </c>
      <c r="AA1245">
        <v>11.33</v>
      </c>
      <c r="AB1245" s="154" t="e">
        <f t="shared" si="185"/>
        <v>#VALUE!</v>
      </c>
      <c r="AC1245">
        <v>11.33</v>
      </c>
      <c r="AD1245" s="154" t="e">
        <f t="shared" si="186"/>
        <v>#VALUE!</v>
      </c>
      <c r="AE1245">
        <v>11.33</v>
      </c>
    </row>
    <row r="1246" spans="12:31" ht="15" x14ac:dyDescent="0.2">
      <c r="L1246" s="154" t="e">
        <f t="shared" si="177"/>
        <v>#VALUE!</v>
      </c>
      <c r="M1246">
        <v>11.34</v>
      </c>
      <c r="N1246" s="154" t="e">
        <f t="shared" si="178"/>
        <v>#VALUE!</v>
      </c>
      <c r="O1246">
        <v>11.34</v>
      </c>
      <c r="P1246" s="154" t="e">
        <f t="shared" si="179"/>
        <v>#VALUE!</v>
      </c>
      <c r="Q1246">
        <v>11.34</v>
      </c>
      <c r="R1246" s="154" t="e">
        <f t="shared" si="180"/>
        <v>#VALUE!</v>
      </c>
      <c r="S1246">
        <v>11.34</v>
      </c>
      <c r="T1246" s="154" t="e">
        <f t="shared" si="181"/>
        <v>#VALUE!</v>
      </c>
      <c r="U1246">
        <v>11.34</v>
      </c>
      <c r="V1246" s="154" t="e">
        <f t="shared" si="182"/>
        <v>#VALUE!</v>
      </c>
      <c r="W1246">
        <v>11.34</v>
      </c>
      <c r="X1246" s="157" t="e">
        <f t="shared" si="183"/>
        <v>#VALUE!</v>
      </c>
      <c r="Y1246">
        <v>11.34</v>
      </c>
      <c r="Z1246" s="154" t="e">
        <f t="shared" si="184"/>
        <v>#VALUE!</v>
      </c>
      <c r="AA1246">
        <v>11.34</v>
      </c>
      <c r="AB1246" s="154" t="e">
        <f t="shared" si="185"/>
        <v>#VALUE!</v>
      </c>
      <c r="AC1246">
        <v>11.34</v>
      </c>
      <c r="AD1246" s="154" t="e">
        <f t="shared" si="186"/>
        <v>#VALUE!</v>
      </c>
      <c r="AE1246">
        <v>11.34</v>
      </c>
    </row>
    <row r="1247" spans="12:31" ht="15" x14ac:dyDescent="0.2">
      <c r="L1247" s="154" t="e">
        <f t="shared" si="177"/>
        <v>#VALUE!</v>
      </c>
      <c r="M1247">
        <v>11.35</v>
      </c>
      <c r="N1247" s="154" t="e">
        <f t="shared" si="178"/>
        <v>#VALUE!</v>
      </c>
      <c r="O1247">
        <v>11.35</v>
      </c>
      <c r="P1247" s="154" t="e">
        <f t="shared" si="179"/>
        <v>#VALUE!</v>
      </c>
      <c r="Q1247">
        <v>11.35</v>
      </c>
      <c r="R1247" s="154" t="e">
        <f t="shared" si="180"/>
        <v>#VALUE!</v>
      </c>
      <c r="S1247">
        <v>11.35</v>
      </c>
      <c r="T1247" s="154" t="e">
        <f t="shared" si="181"/>
        <v>#VALUE!</v>
      </c>
      <c r="U1247">
        <v>11.35</v>
      </c>
      <c r="V1247" s="154" t="e">
        <f t="shared" si="182"/>
        <v>#VALUE!</v>
      </c>
      <c r="W1247">
        <v>11.35</v>
      </c>
      <c r="X1247" s="157" t="e">
        <f t="shared" si="183"/>
        <v>#VALUE!</v>
      </c>
      <c r="Y1247">
        <v>11.35</v>
      </c>
      <c r="Z1247" s="154" t="e">
        <f t="shared" si="184"/>
        <v>#VALUE!</v>
      </c>
      <c r="AA1247">
        <v>11.35</v>
      </c>
      <c r="AB1247" s="154" t="e">
        <f t="shared" si="185"/>
        <v>#VALUE!</v>
      </c>
      <c r="AC1247">
        <v>11.35</v>
      </c>
      <c r="AD1247" s="154" t="e">
        <f t="shared" si="186"/>
        <v>#VALUE!</v>
      </c>
      <c r="AE1247">
        <v>11.35</v>
      </c>
    </row>
    <row r="1248" spans="12:31" ht="15" x14ac:dyDescent="0.2">
      <c r="L1248" s="154" t="e">
        <f t="shared" si="177"/>
        <v>#VALUE!</v>
      </c>
      <c r="M1248">
        <v>11.36</v>
      </c>
      <c r="N1248" s="154" t="e">
        <f t="shared" si="178"/>
        <v>#VALUE!</v>
      </c>
      <c r="O1248">
        <v>11.36</v>
      </c>
      <c r="P1248" s="154" t="e">
        <f t="shared" si="179"/>
        <v>#VALUE!</v>
      </c>
      <c r="Q1248">
        <v>11.36</v>
      </c>
      <c r="R1248" s="154" t="e">
        <f t="shared" si="180"/>
        <v>#VALUE!</v>
      </c>
      <c r="S1248">
        <v>11.36</v>
      </c>
      <c r="T1248" s="154" t="e">
        <f t="shared" si="181"/>
        <v>#VALUE!</v>
      </c>
      <c r="U1248">
        <v>11.36</v>
      </c>
      <c r="V1248" s="154" t="e">
        <f t="shared" si="182"/>
        <v>#VALUE!</v>
      </c>
      <c r="W1248">
        <v>11.36</v>
      </c>
      <c r="X1248" s="157" t="e">
        <f t="shared" si="183"/>
        <v>#VALUE!</v>
      </c>
      <c r="Y1248">
        <v>11.36</v>
      </c>
      <c r="Z1248" s="154" t="e">
        <f t="shared" si="184"/>
        <v>#VALUE!</v>
      </c>
      <c r="AA1248">
        <v>11.36</v>
      </c>
      <c r="AB1248" s="154" t="e">
        <f t="shared" si="185"/>
        <v>#VALUE!</v>
      </c>
      <c r="AC1248">
        <v>11.36</v>
      </c>
      <c r="AD1248" s="154" t="e">
        <f t="shared" si="186"/>
        <v>#VALUE!</v>
      </c>
      <c r="AE1248">
        <v>11.36</v>
      </c>
    </row>
    <row r="1249" spans="12:31" ht="15" x14ac:dyDescent="0.2">
      <c r="L1249" s="154" t="e">
        <f t="shared" si="177"/>
        <v>#VALUE!</v>
      </c>
      <c r="M1249">
        <v>11.37</v>
      </c>
      <c r="N1249" s="154" t="e">
        <f t="shared" si="178"/>
        <v>#VALUE!</v>
      </c>
      <c r="O1249">
        <v>11.37</v>
      </c>
      <c r="P1249" s="154" t="e">
        <f t="shared" si="179"/>
        <v>#VALUE!</v>
      </c>
      <c r="Q1249">
        <v>11.37</v>
      </c>
      <c r="R1249" s="154" t="e">
        <f t="shared" si="180"/>
        <v>#VALUE!</v>
      </c>
      <c r="S1249">
        <v>11.37</v>
      </c>
      <c r="T1249" s="154" t="e">
        <f t="shared" si="181"/>
        <v>#VALUE!</v>
      </c>
      <c r="U1249">
        <v>11.37</v>
      </c>
      <c r="V1249" s="154" t="e">
        <f t="shared" si="182"/>
        <v>#VALUE!</v>
      </c>
      <c r="W1249">
        <v>11.37</v>
      </c>
      <c r="X1249" s="157" t="e">
        <f t="shared" si="183"/>
        <v>#VALUE!</v>
      </c>
      <c r="Y1249">
        <v>11.37</v>
      </c>
      <c r="Z1249" s="154" t="e">
        <f t="shared" si="184"/>
        <v>#VALUE!</v>
      </c>
      <c r="AA1249">
        <v>11.37</v>
      </c>
      <c r="AB1249" s="154" t="e">
        <f t="shared" si="185"/>
        <v>#VALUE!</v>
      </c>
      <c r="AC1249">
        <v>11.37</v>
      </c>
      <c r="AD1249" s="154" t="e">
        <f t="shared" si="186"/>
        <v>#VALUE!</v>
      </c>
      <c r="AE1249">
        <v>11.37</v>
      </c>
    </row>
    <row r="1250" spans="12:31" ht="15" x14ac:dyDescent="0.2">
      <c r="L1250" s="154" t="e">
        <f t="shared" si="177"/>
        <v>#VALUE!</v>
      </c>
      <c r="M1250">
        <v>11.38</v>
      </c>
      <c r="N1250" s="154" t="e">
        <f t="shared" si="178"/>
        <v>#VALUE!</v>
      </c>
      <c r="O1250">
        <v>11.38</v>
      </c>
      <c r="P1250" s="154" t="e">
        <f t="shared" si="179"/>
        <v>#VALUE!</v>
      </c>
      <c r="Q1250">
        <v>11.38</v>
      </c>
      <c r="R1250" s="154" t="e">
        <f t="shared" si="180"/>
        <v>#VALUE!</v>
      </c>
      <c r="S1250">
        <v>11.38</v>
      </c>
      <c r="T1250" s="154" t="e">
        <f t="shared" si="181"/>
        <v>#VALUE!</v>
      </c>
      <c r="U1250">
        <v>11.38</v>
      </c>
      <c r="V1250" s="154" t="e">
        <f t="shared" si="182"/>
        <v>#VALUE!</v>
      </c>
      <c r="W1250">
        <v>11.38</v>
      </c>
      <c r="X1250" s="157" t="e">
        <f t="shared" si="183"/>
        <v>#VALUE!</v>
      </c>
      <c r="Y1250">
        <v>11.38</v>
      </c>
      <c r="Z1250" s="154" t="e">
        <f t="shared" si="184"/>
        <v>#VALUE!</v>
      </c>
      <c r="AA1250">
        <v>11.38</v>
      </c>
      <c r="AB1250" s="154" t="e">
        <f t="shared" si="185"/>
        <v>#VALUE!</v>
      </c>
      <c r="AC1250">
        <v>11.38</v>
      </c>
      <c r="AD1250" s="154" t="e">
        <f t="shared" si="186"/>
        <v>#VALUE!</v>
      </c>
      <c r="AE1250">
        <v>11.38</v>
      </c>
    </row>
    <row r="1251" spans="12:31" ht="15" x14ac:dyDescent="0.2">
      <c r="L1251" s="154" t="e">
        <f t="shared" si="177"/>
        <v>#VALUE!</v>
      </c>
      <c r="M1251">
        <v>11.39</v>
      </c>
      <c r="N1251" s="154" t="e">
        <f t="shared" si="178"/>
        <v>#VALUE!</v>
      </c>
      <c r="O1251">
        <v>11.39</v>
      </c>
      <c r="P1251" s="154" t="e">
        <f t="shared" si="179"/>
        <v>#VALUE!</v>
      </c>
      <c r="Q1251">
        <v>11.39</v>
      </c>
      <c r="R1251" s="154" t="e">
        <f t="shared" si="180"/>
        <v>#VALUE!</v>
      </c>
      <c r="S1251">
        <v>11.39</v>
      </c>
      <c r="T1251" s="154" t="e">
        <f t="shared" si="181"/>
        <v>#VALUE!</v>
      </c>
      <c r="U1251">
        <v>11.39</v>
      </c>
      <c r="V1251" s="154" t="e">
        <f t="shared" si="182"/>
        <v>#VALUE!</v>
      </c>
      <c r="W1251">
        <v>11.39</v>
      </c>
      <c r="X1251" s="157" t="e">
        <f t="shared" si="183"/>
        <v>#VALUE!</v>
      </c>
      <c r="Y1251">
        <v>11.39</v>
      </c>
      <c r="Z1251" s="154" t="e">
        <f t="shared" si="184"/>
        <v>#VALUE!</v>
      </c>
      <c r="AA1251">
        <v>11.39</v>
      </c>
      <c r="AB1251" s="154" t="e">
        <f t="shared" si="185"/>
        <v>#VALUE!</v>
      </c>
      <c r="AC1251">
        <v>11.39</v>
      </c>
      <c r="AD1251" s="154" t="e">
        <f t="shared" si="186"/>
        <v>#VALUE!</v>
      </c>
      <c r="AE1251">
        <v>11.39</v>
      </c>
    </row>
    <row r="1252" spans="12:31" ht="15" x14ac:dyDescent="0.2">
      <c r="L1252" s="154" t="e">
        <f t="shared" si="177"/>
        <v>#VALUE!</v>
      </c>
      <c r="M1252">
        <v>11.4</v>
      </c>
      <c r="N1252" s="154" t="e">
        <f t="shared" si="178"/>
        <v>#VALUE!</v>
      </c>
      <c r="O1252">
        <v>11.4</v>
      </c>
      <c r="P1252" s="154" t="e">
        <f t="shared" si="179"/>
        <v>#VALUE!</v>
      </c>
      <c r="Q1252">
        <v>11.4</v>
      </c>
      <c r="R1252" s="154" t="e">
        <f t="shared" si="180"/>
        <v>#VALUE!</v>
      </c>
      <c r="S1252">
        <v>11.4</v>
      </c>
      <c r="T1252" s="154" t="e">
        <f t="shared" si="181"/>
        <v>#VALUE!</v>
      </c>
      <c r="U1252">
        <v>11.4</v>
      </c>
      <c r="V1252" s="154" t="e">
        <f t="shared" si="182"/>
        <v>#VALUE!</v>
      </c>
      <c r="W1252">
        <v>11.4</v>
      </c>
      <c r="X1252" s="157" t="e">
        <f t="shared" si="183"/>
        <v>#VALUE!</v>
      </c>
      <c r="Y1252">
        <v>11.4</v>
      </c>
      <c r="Z1252" s="154" t="e">
        <f t="shared" si="184"/>
        <v>#VALUE!</v>
      </c>
      <c r="AA1252">
        <v>11.4</v>
      </c>
      <c r="AB1252" s="154" t="e">
        <f t="shared" si="185"/>
        <v>#VALUE!</v>
      </c>
      <c r="AC1252">
        <v>11.4</v>
      </c>
      <c r="AD1252" s="154" t="e">
        <f t="shared" si="186"/>
        <v>#VALUE!</v>
      </c>
      <c r="AE1252">
        <v>11.4</v>
      </c>
    </row>
    <row r="1253" spans="12:31" ht="15" x14ac:dyDescent="0.2">
      <c r="L1253" s="154" t="e">
        <f t="shared" si="177"/>
        <v>#VALUE!</v>
      </c>
      <c r="M1253">
        <v>11.41</v>
      </c>
      <c r="N1253" s="154" t="e">
        <f t="shared" si="178"/>
        <v>#VALUE!</v>
      </c>
      <c r="O1253">
        <v>11.41</v>
      </c>
      <c r="P1253" s="154" t="e">
        <f t="shared" si="179"/>
        <v>#VALUE!</v>
      </c>
      <c r="Q1253">
        <v>11.41</v>
      </c>
      <c r="R1253" s="154" t="e">
        <f t="shared" si="180"/>
        <v>#VALUE!</v>
      </c>
      <c r="S1253">
        <v>11.41</v>
      </c>
      <c r="T1253" s="154" t="e">
        <f t="shared" si="181"/>
        <v>#VALUE!</v>
      </c>
      <c r="U1253">
        <v>11.41</v>
      </c>
      <c r="V1253" s="154" t="e">
        <f t="shared" si="182"/>
        <v>#VALUE!</v>
      </c>
      <c r="W1253">
        <v>11.41</v>
      </c>
      <c r="X1253" s="157" t="e">
        <f t="shared" si="183"/>
        <v>#VALUE!</v>
      </c>
      <c r="Y1253">
        <v>11.41</v>
      </c>
      <c r="Z1253" s="154" t="e">
        <f t="shared" si="184"/>
        <v>#VALUE!</v>
      </c>
      <c r="AA1253">
        <v>11.41</v>
      </c>
      <c r="AB1253" s="154" t="e">
        <f t="shared" si="185"/>
        <v>#VALUE!</v>
      </c>
      <c r="AC1253">
        <v>11.41</v>
      </c>
      <c r="AD1253" s="154" t="e">
        <f t="shared" si="186"/>
        <v>#VALUE!</v>
      </c>
      <c r="AE1253">
        <v>11.41</v>
      </c>
    </row>
    <row r="1254" spans="12:31" ht="15" x14ac:dyDescent="0.2">
      <c r="L1254" s="154" t="e">
        <f t="shared" si="177"/>
        <v>#VALUE!</v>
      </c>
      <c r="M1254">
        <v>11.42</v>
      </c>
      <c r="N1254" s="154" t="e">
        <f t="shared" si="178"/>
        <v>#VALUE!</v>
      </c>
      <c r="O1254">
        <v>11.42</v>
      </c>
      <c r="P1254" s="154" t="e">
        <f t="shared" si="179"/>
        <v>#VALUE!</v>
      </c>
      <c r="Q1254">
        <v>11.42</v>
      </c>
      <c r="R1254" s="154" t="e">
        <f t="shared" si="180"/>
        <v>#VALUE!</v>
      </c>
      <c r="S1254">
        <v>11.42</v>
      </c>
      <c r="T1254" s="154" t="e">
        <f t="shared" si="181"/>
        <v>#VALUE!</v>
      </c>
      <c r="U1254">
        <v>11.42</v>
      </c>
      <c r="V1254" s="154" t="e">
        <f t="shared" si="182"/>
        <v>#VALUE!</v>
      </c>
      <c r="W1254">
        <v>11.42</v>
      </c>
      <c r="X1254" s="157" t="e">
        <f t="shared" si="183"/>
        <v>#VALUE!</v>
      </c>
      <c r="Y1254">
        <v>11.42</v>
      </c>
      <c r="Z1254" s="154" t="e">
        <f t="shared" si="184"/>
        <v>#VALUE!</v>
      </c>
      <c r="AA1254">
        <v>11.42</v>
      </c>
      <c r="AB1254" s="154" t="e">
        <f t="shared" si="185"/>
        <v>#VALUE!</v>
      </c>
      <c r="AC1254">
        <v>11.42</v>
      </c>
      <c r="AD1254" s="154" t="e">
        <f t="shared" si="186"/>
        <v>#VALUE!</v>
      </c>
      <c r="AE1254">
        <v>11.42</v>
      </c>
    </row>
    <row r="1255" spans="12:31" ht="15" x14ac:dyDescent="0.2">
      <c r="L1255" s="154" t="e">
        <f t="shared" si="177"/>
        <v>#VALUE!</v>
      </c>
      <c r="M1255">
        <v>11.43</v>
      </c>
      <c r="N1255" s="154" t="e">
        <f t="shared" si="178"/>
        <v>#VALUE!</v>
      </c>
      <c r="O1255">
        <v>11.43</v>
      </c>
      <c r="P1255" s="154" t="e">
        <f t="shared" si="179"/>
        <v>#VALUE!</v>
      </c>
      <c r="Q1255">
        <v>11.43</v>
      </c>
      <c r="R1255" s="154" t="e">
        <f t="shared" si="180"/>
        <v>#VALUE!</v>
      </c>
      <c r="S1255">
        <v>11.43</v>
      </c>
      <c r="T1255" s="154" t="e">
        <f t="shared" si="181"/>
        <v>#VALUE!</v>
      </c>
      <c r="U1255">
        <v>11.43</v>
      </c>
      <c r="V1255" s="154" t="e">
        <f t="shared" si="182"/>
        <v>#VALUE!</v>
      </c>
      <c r="W1255">
        <v>11.43</v>
      </c>
      <c r="X1255" s="157" t="e">
        <f t="shared" si="183"/>
        <v>#VALUE!</v>
      </c>
      <c r="Y1255">
        <v>11.43</v>
      </c>
      <c r="Z1255" s="154" t="e">
        <f t="shared" si="184"/>
        <v>#VALUE!</v>
      </c>
      <c r="AA1255">
        <v>11.43</v>
      </c>
      <c r="AB1255" s="154" t="e">
        <f t="shared" si="185"/>
        <v>#VALUE!</v>
      </c>
      <c r="AC1255">
        <v>11.43</v>
      </c>
      <c r="AD1255" s="154" t="e">
        <f t="shared" si="186"/>
        <v>#VALUE!</v>
      </c>
      <c r="AE1255">
        <v>11.43</v>
      </c>
    </row>
    <row r="1256" spans="12:31" ht="15" x14ac:dyDescent="0.2">
      <c r="L1256" s="154" t="e">
        <f t="shared" si="177"/>
        <v>#VALUE!</v>
      </c>
      <c r="M1256">
        <v>11.44</v>
      </c>
      <c r="N1256" s="154" t="e">
        <f t="shared" si="178"/>
        <v>#VALUE!</v>
      </c>
      <c r="O1256">
        <v>11.44</v>
      </c>
      <c r="P1256" s="154" t="e">
        <f t="shared" si="179"/>
        <v>#VALUE!</v>
      </c>
      <c r="Q1256">
        <v>11.44</v>
      </c>
      <c r="R1256" s="154" t="e">
        <f t="shared" si="180"/>
        <v>#VALUE!</v>
      </c>
      <c r="S1256">
        <v>11.44</v>
      </c>
      <c r="T1256" s="154" t="e">
        <f t="shared" si="181"/>
        <v>#VALUE!</v>
      </c>
      <c r="U1256">
        <v>11.44</v>
      </c>
      <c r="V1256" s="154" t="e">
        <f t="shared" si="182"/>
        <v>#VALUE!</v>
      </c>
      <c r="W1256">
        <v>11.44</v>
      </c>
      <c r="X1256" s="157" t="e">
        <f t="shared" si="183"/>
        <v>#VALUE!</v>
      </c>
      <c r="Y1256">
        <v>11.44</v>
      </c>
      <c r="Z1256" s="154" t="e">
        <f t="shared" si="184"/>
        <v>#VALUE!</v>
      </c>
      <c r="AA1256">
        <v>11.44</v>
      </c>
      <c r="AB1256" s="154" t="e">
        <f t="shared" si="185"/>
        <v>#VALUE!</v>
      </c>
      <c r="AC1256">
        <v>11.44</v>
      </c>
      <c r="AD1256" s="154" t="e">
        <f t="shared" si="186"/>
        <v>#VALUE!</v>
      </c>
      <c r="AE1256">
        <v>11.44</v>
      </c>
    </row>
    <row r="1257" spans="12:31" ht="15" x14ac:dyDescent="0.2">
      <c r="L1257" s="154" t="e">
        <f t="shared" si="177"/>
        <v>#VALUE!</v>
      </c>
      <c r="M1257">
        <v>11.45</v>
      </c>
      <c r="N1257" s="154" t="e">
        <f t="shared" si="178"/>
        <v>#VALUE!</v>
      </c>
      <c r="O1257">
        <v>11.45</v>
      </c>
      <c r="P1257" s="154" t="e">
        <f t="shared" si="179"/>
        <v>#VALUE!</v>
      </c>
      <c r="Q1257">
        <v>11.45</v>
      </c>
      <c r="R1257" s="154" t="e">
        <f t="shared" si="180"/>
        <v>#VALUE!</v>
      </c>
      <c r="S1257">
        <v>11.45</v>
      </c>
      <c r="T1257" s="154" t="e">
        <f t="shared" si="181"/>
        <v>#VALUE!</v>
      </c>
      <c r="U1257">
        <v>11.45</v>
      </c>
      <c r="V1257" s="154" t="e">
        <f t="shared" si="182"/>
        <v>#VALUE!</v>
      </c>
      <c r="W1257">
        <v>11.45</v>
      </c>
      <c r="X1257" s="157" t="e">
        <f t="shared" si="183"/>
        <v>#VALUE!</v>
      </c>
      <c r="Y1257">
        <v>11.45</v>
      </c>
      <c r="Z1257" s="154" t="e">
        <f t="shared" si="184"/>
        <v>#VALUE!</v>
      </c>
      <c r="AA1257">
        <v>11.45</v>
      </c>
      <c r="AB1257" s="154" t="e">
        <f t="shared" si="185"/>
        <v>#VALUE!</v>
      </c>
      <c r="AC1257">
        <v>11.45</v>
      </c>
      <c r="AD1257" s="154" t="e">
        <f t="shared" si="186"/>
        <v>#VALUE!</v>
      </c>
      <c r="AE1257">
        <v>11.45</v>
      </c>
    </row>
    <row r="1258" spans="12:31" ht="15" x14ac:dyDescent="0.2">
      <c r="L1258" s="154" t="e">
        <f t="shared" si="177"/>
        <v>#VALUE!</v>
      </c>
      <c r="M1258">
        <v>11.46</v>
      </c>
      <c r="N1258" s="154" t="e">
        <f t="shared" si="178"/>
        <v>#VALUE!</v>
      </c>
      <c r="O1258">
        <v>11.46</v>
      </c>
      <c r="P1258" s="154" t="e">
        <f t="shared" si="179"/>
        <v>#VALUE!</v>
      </c>
      <c r="Q1258">
        <v>11.46</v>
      </c>
      <c r="R1258" s="154" t="e">
        <f t="shared" si="180"/>
        <v>#VALUE!</v>
      </c>
      <c r="S1258">
        <v>11.46</v>
      </c>
      <c r="T1258" s="154" t="e">
        <f t="shared" si="181"/>
        <v>#VALUE!</v>
      </c>
      <c r="U1258">
        <v>11.46</v>
      </c>
      <c r="V1258" s="154" t="e">
        <f t="shared" si="182"/>
        <v>#VALUE!</v>
      </c>
      <c r="W1258">
        <v>11.46</v>
      </c>
      <c r="X1258" s="157" t="e">
        <f t="shared" si="183"/>
        <v>#VALUE!</v>
      </c>
      <c r="Y1258">
        <v>11.46</v>
      </c>
      <c r="Z1258" s="154" t="e">
        <f t="shared" si="184"/>
        <v>#VALUE!</v>
      </c>
      <c r="AA1258">
        <v>11.46</v>
      </c>
      <c r="AB1258" s="154" t="e">
        <f t="shared" si="185"/>
        <v>#VALUE!</v>
      </c>
      <c r="AC1258">
        <v>11.46</v>
      </c>
      <c r="AD1258" s="154" t="e">
        <f t="shared" si="186"/>
        <v>#VALUE!</v>
      </c>
      <c r="AE1258">
        <v>11.46</v>
      </c>
    </row>
    <row r="1259" spans="12:31" ht="15" x14ac:dyDescent="0.2">
      <c r="L1259" s="154" t="e">
        <f t="shared" si="177"/>
        <v>#VALUE!</v>
      </c>
      <c r="M1259">
        <v>11.47</v>
      </c>
      <c r="N1259" s="154" t="e">
        <f t="shared" si="178"/>
        <v>#VALUE!</v>
      </c>
      <c r="O1259">
        <v>11.47</v>
      </c>
      <c r="P1259" s="154" t="e">
        <f t="shared" si="179"/>
        <v>#VALUE!</v>
      </c>
      <c r="Q1259">
        <v>11.47</v>
      </c>
      <c r="R1259" s="154" t="e">
        <f t="shared" si="180"/>
        <v>#VALUE!</v>
      </c>
      <c r="S1259">
        <v>11.47</v>
      </c>
      <c r="T1259" s="154" t="e">
        <f t="shared" si="181"/>
        <v>#VALUE!</v>
      </c>
      <c r="U1259">
        <v>11.47</v>
      </c>
      <c r="V1259" s="154" t="e">
        <f t="shared" si="182"/>
        <v>#VALUE!</v>
      </c>
      <c r="W1259">
        <v>11.47</v>
      </c>
      <c r="X1259" s="157" t="e">
        <f t="shared" si="183"/>
        <v>#VALUE!</v>
      </c>
      <c r="Y1259">
        <v>11.47</v>
      </c>
      <c r="Z1259" s="154" t="e">
        <f t="shared" si="184"/>
        <v>#VALUE!</v>
      </c>
      <c r="AA1259">
        <v>11.47</v>
      </c>
      <c r="AB1259" s="154" t="e">
        <f t="shared" si="185"/>
        <v>#VALUE!</v>
      </c>
      <c r="AC1259">
        <v>11.47</v>
      </c>
      <c r="AD1259" s="154" t="e">
        <f t="shared" si="186"/>
        <v>#VALUE!</v>
      </c>
      <c r="AE1259">
        <v>11.47</v>
      </c>
    </row>
    <row r="1260" spans="12:31" ht="15" x14ac:dyDescent="0.2">
      <c r="L1260" s="154" t="e">
        <f t="shared" si="177"/>
        <v>#VALUE!</v>
      </c>
      <c r="M1260">
        <v>11.48</v>
      </c>
      <c r="N1260" s="154" t="e">
        <f t="shared" si="178"/>
        <v>#VALUE!</v>
      </c>
      <c r="O1260">
        <v>11.48</v>
      </c>
      <c r="P1260" s="154" t="e">
        <f t="shared" si="179"/>
        <v>#VALUE!</v>
      </c>
      <c r="Q1260">
        <v>11.48</v>
      </c>
      <c r="R1260" s="154" t="e">
        <f t="shared" si="180"/>
        <v>#VALUE!</v>
      </c>
      <c r="S1260">
        <v>11.48</v>
      </c>
      <c r="T1260" s="154" t="e">
        <f t="shared" si="181"/>
        <v>#VALUE!</v>
      </c>
      <c r="U1260">
        <v>11.48</v>
      </c>
      <c r="V1260" s="154" t="e">
        <f t="shared" si="182"/>
        <v>#VALUE!</v>
      </c>
      <c r="W1260">
        <v>11.48</v>
      </c>
      <c r="X1260" s="157" t="e">
        <f t="shared" si="183"/>
        <v>#VALUE!</v>
      </c>
      <c r="Y1260">
        <v>11.48</v>
      </c>
      <c r="Z1260" s="154" t="e">
        <f t="shared" si="184"/>
        <v>#VALUE!</v>
      </c>
      <c r="AA1260">
        <v>11.48</v>
      </c>
      <c r="AB1260" s="154" t="e">
        <f t="shared" si="185"/>
        <v>#VALUE!</v>
      </c>
      <c r="AC1260">
        <v>11.48</v>
      </c>
      <c r="AD1260" s="154" t="e">
        <f t="shared" si="186"/>
        <v>#VALUE!</v>
      </c>
      <c r="AE1260">
        <v>11.48</v>
      </c>
    </row>
    <row r="1261" spans="12:31" ht="15" x14ac:dyDescent="0.2">
      <c r="L1261" s="154" t="e">
        <f t="shared" si="177"/>
        <v>#VALUE!</v>
      </c>
      <c r="M1261">
        <v>11.49</v>
      </c>
      <c r="N1261" s="154" t="e">
        <f t="shared" si="178"/>
        <v>#VALUE!</v>
      </c>
      <c r="O1261">
        <v>11.49</v>
      </c>
      <c r="P1261" s="154" t="e">
        <f t="shared" si="179"/>
        <v>#VALUE!</v>
      </c>
      <c r="Q1261">
        <v>11.49</v>
      </c>
      <c r="R1261" s="154" t="e">
        <f t="shared" si="180"/>
        <v>#VALUE!</v>
      </c>
      <c r="S1261">
        <v>11.49</v>
      </c>
      <c r="T1261" s="154" t="e">
        <f t="shared" si="181"/>
        <v>#VALUE!</v>
      </c>
      <c r="U1261">
        <v>11.49</v>
      </c>
      <c r="V1261" s="154" t="e">
        <f t="shared" si="182"/>
        <v>#VALUE!</v>
      </c>
      <c r="W1261">
        <v>11.49</v>
      </c>
      <c r="X1261" s="157" t="e">
        <f t="shared" si="183"/>
        <v>#VALUE!</v>
      </c>
      <c r="Y1261">
        <v>11.49</v>
      </c>
      <c r="Z1261" s="154" t="e">
        <f t="shared" si="184"/>
        <v>#VALUE!</v>
      </c>
      <c r="AA1261">
        <v>11.49</v>
      </c>
      <c r="AB1261" s="154" t="e">
        <f t="shared" si="185"/>
        <v>#VALUE!</v>
      </c>
      <c r="AC1261">
        <v>11.49</v>
      </c>
      <c r="AD1261" s="154" t="e">
        <f t="shared" si="186"/>
        <v>#VALUE!</v>
      </c>
      <c r="AE1261">
        <v>11.49</v>
      </c>
    </row>
    <row r="1262" spans="12:31" ht="15" x14ac:dyDescent="0.2">
      <c r="L1262" s="154" t="e">
        <f t="shared" si="177"/>
        <v>#VALUE!</v>
      </c>
      <c r="M1262">
        <v>11.5</v>
      </c>
      <c r="N1262" s="154" t="e">
        <f t="shared" si="178"/>
        <v>#VALUE!</v>
      </c>
      <c r="O1262">
        <v>11.5</v>
      </c>
      <c r="P1262" s="154" t="e">
        <f t="shared" si="179"/>
        <v>#VALUE!</v>
      </c>
      <c r="Q1262">
        <v>11.5</v>
      </c>
      <c r="R1262" s="154" t="e">
        <f t="shared" si="180"/>
        <v>#VALUE!</v>
      </c>
      <c r="S1262">
        <v>11.5</v>
      </c>
      <c r="T1262" s="154" t="e">
        <f t="shared" si="181"/>
        <v>#VALUE!</v>
      </c>
      <c r="U1262">
        <v>11.5</v>
      </c>
      <c r="V1262" s="154" t="e">
        <f t="shared" si="182"/>
        <v>#VALUE!</v>
      </c>
      <c r="W1262">
        <v>11.5</v>
      </c>
      <c r="X1262" s="157" t="e">
        <f t="shared" si="183"/>
        <v>#VALUE!</v>
      </c>
      <c r="Y1262">
        <v>11.5</v>
      </c>
      <c r="Z1262" s="154" t="e">
        <f t="shared" si="184"/>
        <v>#VALUE!</v>
      </c>
      <c r="AA1262">
        <v>11.5</v>
      </c>
      <c r="AB1262" s="154" t="e">
        <f t="shared" si="185"/>
        <v>#VALUE!</v>
      </c>
      <c r="AC1262">
        <v>11.5</v>
      </c>
      <c r="AD1262" s="154" t="e">
        <f t="shared" si="186"/>
        <v>#VALUE!</v>
      </c>
      <c r="AE1262">
        <v>11.5</v>
      </c>
    </row>
    <row r="1263" spans="12:31" ht="15" x14ac:dyDescent="0.2">
      <c r="L1263" s="154" t="e">
        <f t="shared" si="177"/>
        <v>#VALUE!</v>
      </c>
      <c r="M1263">
        <v>11.51</v>
      </c>
      <c r="N1263" s="154" t="e">
        <f t="shared" si="178"/>
        <v>#VALUE!</v>
      </c>
      <c r="O1263">
        <v>11.51</v>
      </c>
      <c r="P1263" s="154" t="e">
        <f t="shared" si="179"/>
        <v>#VALUE!</v>
      </c>
      <c r="Q1263">
        <v>11.51</v>
      </c>
      <c r="R1263" s="154" t="e">
        <f t="shared" si="180"/>
        <v>#VALUE!</v>
      </c>
      <c r="S1263">
        <v>11.51</v>
      </c>
      <c r="T1263" s="154" t="e">
        <f t="shared" si="181"/>
        <v>#VALUE!</v>
      </c>
      <c r="U1263">
        <v>11.51</v>
      </c>
      <c r="V1263" s="154" t="e">
        <f t="shared" si="182"/>
        <v>#VALUE!</v>
      </c>
      <c r="W1263">
        <v>11.51</v>
      </c>
      <c r="X1263" s="157" t="e">
        <f t="shared" si="183"/>
        <v>#VALUE!</v>
      </c>
      <c r="Y1263">
        <v>11.51</v>
      </c>
      <c r="Z1263" s="154" t="e">
        <f t="shared" si="184"/>
        <v>#VALUE!</v>
      </c>
      <c r="AA1263">
        <v>11.51</v>
      </c>
      <c r="AB1263" s="154" t="e">
        <f t="shared" si="185"/>
        <v>#VALUE!</v>
      </c>
      <c r="AC1263">
        <v>11.51</v>
      </c>
      <c r="AD1263" s="154" t="e">
        <f t="shared" si="186"/>
        <v>#VALUE!</v>
      </c>
      <c r="AE1263">
        <v>11.51</v>
      </c>
    </row>
    <row r="1264" spans="12:31" ht="15" x14ac:dyDescent="0.2">
      <c r="L1264" s="154" t="e">
        <f t="shared" si="177"/>
        <v>#VALUE!</v>
      </c>
      <c r="M1264">
        <v>11.52</v>
      </c>
      <c r="N1264" s="154" t="e">
        <f t="shared" si="178"/>
        <v>#VALUE!</v>
      </c>
      <c r="O1264">
        <v>11.52</v>
      </c>
      <c r="P1264" s="154" t="e">
        <f t="shared" si="179"/>
        <v>#VALUE!</v>
      </c>
      <c r="Q1264">
        <v>11.52</v>
      </c>
      <c r="R1264" s="154" t="e">
        <f t="shared" si="180"/>
        <v>#VALUE!</v>
      </c>
      <c r="S1264">
        <v>11.52</v>
      </c>
      <c r="T1264" s="154" t="e">
        <f t="shared" si="181"/>
        <v>#VALUE!</v>
      </c>
      <c r="U1264">
        <v>11.52</v>
      </c>
      <c r="V1264" s="154" t="e">
        <f t="shared" si="182"/>
        <v>#VALUE!</v>
      </c>
      <c r="W1264">
        <v>11.52</v>
      </c>
      <c r="X1264" s="157" t="e">
        <f t="shared" si="183"/>
        <v>#VALUE!</v>
      </c>
      <c r="Y1264">
        <v>11.52</v>
      </c>
      <c r="Z1264" s="154" t="e">
        <f t="shared" si="184"/>
        <v>#VALUE!</v>
      </c>
      <c r="AA1264">
        <v>11.52</v>
      </c>
      <c r="AB1264" s="154" t="e">
        <f t="shared" si="185"/>
        <v>#VALUE!</v>
      </c>
      <c r="AC1264">
        <v>11.52</v>
      </c>
      <c r="AD1264" s="154" t="e">
        <f t="shared" si="186"/>
        <v>#VALUE!</v>
      </c>
      <c r="AE1264">
        <v>11.52</v>
      </c>
    </row>
    <row r="1265" spans="12:31" ht="15" x14ac:dyDescent="0.2">
      <c r="L1265" s="154" t="e">
        <f t="shared" ref="L1265:L1328" si="187">((1.486/$D$33)*((((PI()*($D$46/12)^2)/4)-((($D$46/12)/2)^2*((2*ACOS(((($D$46/12)/2)-(($D$46/12)-(M1265/12)))/(($D$46/12)/2)))-SIN(2*ACOS(((($D$46/12)/2)-(($D$46/12)-(M1265/12)))/(($D$46/12)/2))))/2))/((PI()*($D$46/12))-((2*ACOS(((($D$46/12)/2)-(($D$46/12)-(M1265/12)))/(($D$46/12)/2)))*(($D$46/12)/2))))^(2/3)*$H$17^0.5)*(((PI()*($D$46/12)^2)/4)-((($D$46/12)/2)^2*((2*ACOS(((($D$46/12)/2)-(($D$46/12)-(M1265/12)))/(($D$46/12)/2)))-SIN(2*ACOS(((($D$46/12)/2)-(($D$46/12)-(M1265/12)))/(($D$46/12)/2))))/2))</f>
        <v>#VALUE!</v>
      </c>
      <c r="M1265">
        <v>11.53</v>
      </c>
      <c r="N1265" s="154" t="e">
        <f t="shared" ref="N1265:N1328" si="188">((1.486/$D$34)*((((PI()*($D$47/12)^2)/4)-((($D$47/12)/2)^2*((2*ACOS(((($D$47/12)/2)-(($D$47/12)-(O1265/12)))/(($D$47/12)/2)))-SIN(2*ACOS(((($D$47/12)/2)-(($D$47/12)-(O1265/12)))/(($D$47/12)/2))))/2))/((PI()*($D$47/12))-((2*ACOS(((($D$47/12)/2)-(($D$47/12)-(O1265/12)))/(($D$47/12)/2)))*(($D$47/12)/2))))^(2/3)*$H$18^0.5)*(((PI()*($D$47/12)^2)/4)-((($D$47/12)/2)^2*((2*ACOS(((($D$47/12)/2)-(($D$47/12)-(O1265/12)))/(($D$47/12)/2)))-SIN(2*ACOS(((($D$47/12)/2)-(($D$47/12)-(O1265/12)))/(($D$47/12)/2))))/2))</f>
        <v>#VALUE!</v>
      </c>
      <c r="O1265">
        <v>11.53</v>
      </c>
      <c r="P1265" s="154" t="e">
        <f t="shared" ref="P1265:P1328" si="189">((1.486/$D$35)*((((PI()*($D$48/12)^2)/4)-((($D$48/12)/2)^2*((2*ACOS(((($D$48/12)/2)-(($D$48/12)-(Q1265/12)))/(($D$48/12)/2)))-SIN(2*ACOS(((($D$48/12)/2)-(($D$48/12)-(Q1265/12)))/(($D$48/12)/2))))/2))/((PI()*($D$48/12))-((2*ACOS(((($D$48/12)/2)-(($D$48/12)-(Q1265/12)))/(($D$48/12)/2)))*(($D$48/12)/2))))^(2/3)*$H$19^0.5)*(((PI()*($D$48/12)^2)/4)-((($D$48/12)/2)^2*((2*ACOS(((($D$48/12)/2)-(($D$48/12)-(Q1265/12)))/(($D$48/12)/2)))-SIN(2*ACOS(((($D$48/12)/2)-(($D$48/12)-(Q1265/12)))/(($D$48/12)/2))))/2))</f>
        <v>#VALUE!</v>
      </c>
      <c r="Q1265">
        <v>11.53</v>
      </c>
      <c r="R1265" s="154" t="e">
        <f t="shared" ref="R1265:R1328" si="190">((1.486/$D$36)*((((PI()*($D$49/12)^2)/4)-((($D$49/12)/2)^2*((2*ACOS(((($D$49/12)/2)-(($D$49/12)-(S1265/12)))/(($D$49/12)/2)))-SIN(2*ACOS(((($D$49/12)/2)-(($D$49/12)-(S1265/12)))/(($D$49/12)/2))))/2))/((PI()*($D$49/12))-((2*ACOS(((($D$49/12)/2)-(($D$49/12)-(S1265/12)))/(($D$49/12)/2)))*(($D$49/12)/2))))^(2/3)*$H$20^0.5)*(((PI()*($D$49/12)^2)/4)-((($D$49/12)/2)^2*((2*ACOS(((($D$49/12)/2)-(($D$49/12)-(S1265/12)))/(($D$49/12)/2)))-SIN(2*ACOS(((($D$49/12)/2)-(($D$49/12)-(S1265/12)))/(($D$49/12)/2))))/2))</f>
        <v>#VALUE!</v>
      </c>
      <c r="S1265">
        <v>11.53</v>
      </c>
      <c r="T1265" s="154" t="e">
        <f t="shared" ref="T1265:T1328" si="191">((1.486/$D$37)*((((PI()*($D$50/12)^2)/4)-((($D$50/12)/2)^2*((2*ACOS(((($D$50/12)/2)-(($D$50/12)-(U1265/12)))/(($D$50/12)/2)))-SIN(2*ACOS(((($D$50/12)/2)-(($D$50/12)-(U1265/12)))/(($D$50/12)/2))))/2))/((PI()*($D$50/12))-((2*ACOS(((($D$50/12)/2)-(($D$50/12)-(U1265/12)))/(($D$50/12)/2)))*(($D$50/12)/2))))^(2/3)*$H$21^0.5)*(((PI()*($D$50/12)^2)/4)-((($D$50/12)/2)^2*((2*ACOS(((($D$50/12)/2)-(($D$50/12)-(U1265/12)))/(($D$50/12)/2)))-SIN(2*ACOS(((($D$50/12)/2)-(($D$50/12)-(U1265/12)))/(($D$50/12)/2))))/2))</f>
        <v>#VALUE!</v>
      </c>
      <c r="U1265">
        <v>11.53</v>
      </c>
      <c r="V1265" s="154" t="e">
        <f t="shared" ref="V1265:V1328" si="192">((1.486/$D$38)*((((PI()*($D$51/12)^2)/4)-((($D$51/12)/2)^2*((2*ACOS(((($D$51/12)/2)-(($D$51/12)-(W1265/12)))/(($D$51/12)/2)))-SIN(2*ACOS(((($D$51/12)/2)-(($D$51/12)-(W1265/12)))/(($D$51/12)/2))))/2))/((PI()*($D$51/12))-((2*ACOS(((($D$51/12)/2)-(($D$51/12)-(W1265/12)))/(($D$51/12)/2)))*(($D$51/12)/2))))^(2/3)*$H$22^0.5)*(((PI()*($D$51/12)^2)/4)-((($D$51/12)/2)^2*((2*ACOS(((($D$51/12)/2)-(($D$51/12)-(W1265/12)))/(($D$51/12)/2)))-SIN(2*ACOS(((($D$51/12)/2)-(($D$51/12)-(W1265/12)))/(($D$51/12)/2))))/2))</f>
        <v>#VALUE!</v>
      </c>
      <c r="W1265">
        <v>11.53</v>
      </c>
      <c r="X1265" s="157" t="e">
        <f t="shared" ref="X1265:X1328" si="193">((1.486/$D$39)*((((PI()*($D$52/12)^2)/4)-((($D$52/12)/2)^2*((2*ACOS(((($D$52/12)/2)-(($D$52/12)-(Y1265/12)))/(($D$52/12)/2)))-SIN(2*ACOS(((($D$52/12)/2)-(($D$52/12)-(Y1265/12)))/(($D$52/12)/2))))/2))/((PI()*($D$52/12))-((2*ACOS(((($D$52/12)/2)-(($D$52/12)-(Y1265/12)))/(($D$52/12)/2)))*(($D$52/12)/2))))^(2/3)*$H$23^0.5)*(((PI()*($D$52/12)^2)/4)-((($D$52/12)/2)^2*((2*ACOS(((($D$52/12)/2)-(($D$52/12)-(Y1265/12)))/(($D$52/12)/2)))-SIN(2*ACOS(((($D$52/12)/2)-(($D$52/12)-(Y1265/12)))/(($D$52/12)/2))))/2))</f>
        <v>#VALUE!</v>
      </c>
      <c r="Y1265">
        <v>11.53</v>
      </c>
      <c r="Z1265" s="154" t="e">
        <f t="shared" ref="Z1265:Z1328" si="194">((1.486/$D$40)*((((PI()*($D$53/12)^2)/4)-((($D$53/12)/2)^2*((2*ACOS(((($D$53/12)/2)-(($D$53/12)-(AA1265/12)))/(($D$53/12)/2)))-SIN(2*ACOS(((($D$53/12)/2)-(($D$53/12)-(AA1265/12)))/(($D$53/12)/2))))/2))/((PI()*($D$53/12))-((2*ACOS(((($D$53/12)/2)-(($D$53/12)-(AA1265/12)))/(($D$53/12)/2)))*(($D$53/12)/2))))^(2/3)*$H$24^0.5)*(((PI()*($D$53/12)^2)/4)-((($D$53/12)/2)^2*((2*ACOS(((($D$53/12)/2)-(($D$53/12)-(AA1265/12)))/(($D$53/12)/2)))-SIN(2*ACOS(((($D$53/12)/2)-(($D$53/12)-(AA1265/12)))/(($D$53/12)/2))))/2))</f>
        <v>#VALUE!</v>
      </c>
      <c r="AA1265">
        <v>11.53</v>
      </c>
      <c r="AB1265" s="154" t="e">
        <f t="shared" ref="AB1265:AB1328" si="195">((1.486/$D$41)*((((PI()*($D$54/12)^2)/4)-((($D$54/12)/2)^2*((2*ACOS(((($D$54/12)/2)-(($D$54/12)-(AC1265/12)))/(($D$54/12)/2)))-SIN(2*ACOS(((($D$54/12)/2)-(($D$54/12)-(AC1265/12)))/(($D$54/12)/2))))/2))/((PI()*($D$54/12))-((2*ACOS(((($D$54/12)/2)-(($D$54/12)-(AC1265/12)))/(($D$54/12)/2)))*(($D$54/12)/2))))^(2/3)*$H$25^0.5)*(((PI()*($D$54/12)^2)/4)-((($D$54/12)/2)^2*((2*ACOS(((($D$54/12)/2)-(($D$54/12)-(AC1265/12)))/(($D$54/12)/2)))-SIN(2*ACOS(((($D$54/12)/2)-(($D$54/12)-(AC1265/12)))/(($D$54/12)/2))))/2))</f>
        <v>#VALUE!</v>
      </c>
      <c r="AC1265">
        <v>11.53</v>
      </c>
      <c r="AD1265" s="154" t="e">
        <f t="shared" ref="AD1265:AD1328" si="196">((1.486/$D$42)*((((PI()*($D$55/12)^2)/4)-((($D$55/12)/2)^2*((2*ACOS(((($D$55/12)/2)-(($D$55/12)-(AE1265/12)))/(($D$55/12)/2)))-SIN(2*ACOS(((($D$55/12)/2)-(($D$55/12)-(AE1265/12)))/(($D$55/12)/2))))/2))/((PI()*($D$55/12))-((2*ACOS(((($D$55/12)/2)-(($D$55/12)-(AE1265/12)))/(($D$55/12)/2)))*(($D$55/12)/2))))^(2/3)*$H$26^0.5)*(((PI()*($D$55/12)^2)/4)-((($D$55/12)/2)^2*((2*ACOS(((($D$55/12)/2)-(($D$55/12)-(AE1265/12)))/(($D$55/12)/2)))-SIN(2*ACOS(((($D$55/12)/2)-(($D$55/12)-(AE1265/12)))/(($D$55/12)/2))))/2))</f>
        <v>#VALUE!</v>
      </c>
      <c r="AE1265">
        <v>11.53</v>
      </c>
    </row>
    <row r="1266" spans="12:31" ht="15" x14ac:dyDescent="0.2">
      <c r="L1266" s="154" t="e">
        <f t="shared" si="187"/>
        <v>#VALUE!</v>
      </c>
      <c r="M1266">
        <v>11.54</v>
      </c>
      <c r="N1266" s="154" t="e">
        <f t="shared" si="188"/>
        <v>#VALUE!</v>
      </c>
      <c r="O1266">
        <v>11.54</v>
      </c>
      <c r="P1266" s="154" t="e">
        <f t="shared" si="189"/>
        <v>#VALUE!</v>
      </c>
      <c r="Q1266">
        <v>11.54</v>
      </c>
      <c r="R1266" s="154" t="e">
        <f t="shared" si="190"/>
        <v>#VALUE!</v>
      </c>
      <c r="S1266">
        <v>11.54</v>
      </c>
      <c r="T1266" s="154" t="e">
        <f t="shared" si="191"/>
        <v>#VALUE!</v>
      </c>
      <c r="U1266">
        <v>11.54</v>
      </c>
      <c r="V1266" s="154" t="e">
        <f t="shared" si="192"/>
        <v>#VALUE!</v>
      </c>
      <c r="W1266">
        <v>11.54</v>
      </c>
      <c r="X1266" s="157" t="e">
        <f t="shared" si="193"/>
        <v>#VALUE!</v>
      </c>
      <c r="Y1266">
        <v>11.54</v>
      </c>
      <c r="Z1266" s="154" t="e">
        <f t="shared" si="194"/>
        <v>#VALUE!</v>
      </c>
      <c r="AA1266">
        <v>11.54</v>
      </c>
      <c r="AB1266" s="154" t="e">
        <f t="shared" si="195"/>
        <v>#VALUE!</v>
      </c>
      <c r="AC1266">
        <v>11.54</v>
      </c>
      <c r="AD1266" s="154" t="e">
        <f t="shared" si="196"/>
        <v>#VALUE!</v>
      </c>
      <c r="AE1266">
        <v>11.54</v>
      </c>
    </row>
    <row r="1267" spans="12:31" ht="15" x14ac:dyDescent="0.2">
      <c r="L1267" s="154" t="e">
        <f t="shared" si="187"/>
        <v>#VALUE!</v>
      </c>
      <c r="M1267">
        <v>11.55</v>
      </c>
      <c r="N1267" s="154" t="e">
        <f t="shared" si="188"/>
        <v>#VALUE!</v>
      </c>
      <c r="O1267">
        <v>11.55</v>
      </c>
      <c r="P1267" s="154" t="e">
        <f t="shared" si="189"/>
        <v>#VALUE!</v>
      </c>
      <c r="Q1267">
        <v>11.55</v>
      </c>
      <c r="R1267" s="154" t="e">
        <f t="shared" si="190"/>
        <v>#VALUE!</v>
      </c>
      <c r="S1267">
        <v>11.55</v>
      </c>
      <c r="T1267" s="154" t="e">
        <f t="shared" si="191"/>
        <v>#VALUE!</v>
      </c>
      <c r="U1267">
        <v>11.55</v>
      </c>
      <c r="V1267" s="154" t="e">
        <f t="shared" si="192"/>
        <v>#VALUE!</v>
      </c>
      <c r="W1267">
        <v>11.55</v>
      </c>
      <c r="X1267" s="157" t="e">
        <f t="shared" si="193"/>
        <v>#VALUE!</v>
      </c>
      <c r="Y1267">
        <v>11.55</v>
      </c>
      <c r="Z1267" s="154" t="e">
        <f t="shared" si="194"/>
        <v>#VALUE!</v>
      </c>
      <c r="AA1267">
        <v>11.55</v>
      </c>
      <c r="AB1267" s="154" t="e">
        <f t="shared" si="195"/>
        <v>#VALUE!</v>
      </c>
      <c r="AC1267">
        <v>11.55</v>
      </c>
      <c r="AD1267" s="154" t="e">
        <f t="shared" si="196"/>
        <v>#VALUE!</v>
      </c>
      <c r="AE1267">
        <v>11.55</v>
      </c>
    </row>
    <row r="1268" spans="12:31" ht="15" x14ac:dyDescent="0.2">
      <c r="L1268" s="154" t="e">
        <f t="shared" si="187"/>
        <v>#VALUE!</v>
      </c>
      <c r="M1268">
        <v>11.56</v>
      </c>
      <c r="N1268" s="154" t="e">
        <f t="shared" si="188"/>
        <v>#VALUE!</v>
      </c>
      <c r="O1268">
        <v>11.56</v>
      </c>
      <c r="P1268" s="154" t="e">
        <f t="shared" si="189"/>
        <v>#VALUE!</v>
      </c>
      <c r="Q1268">
        <v>11.56</v>
      </c>
      <c r="R1268" s="154" t="e">
        <f t="shared" si="190"/>
        <v>#VALUE!</v>
      </c>
      <c r="S1268">
        <v>11.56</v>
      </c>
      <c r="T1268" s="154" t="e">
        <f t="shared" si="191"/>
        <v>#VALUE!</v>
      </c>
      <c r="U1268">
        <v>11.56</v>
      </c>
      <c r="V1268" s="154" t="e">
        <f t="shared" si="192"/>
        <v>#VALUE!</v>
      </c>
      <c r="W1268">
        <v>11.56</v>
      </c>
      <c r="X1268" s="157" t="e">
        <f t="shared" si="193"/>
        <v>#VALUE!</v>
      </c>
      <c r="Y1268">
        <v>11.56</v>
      </c>
      <c r="Z1268" s="154" t="e">
        <f t="shared" si="194"/>
        <v>#VALUE!</v>
      </c>
      <c r="AA1268">
        <v>11.56</v>
      </c>
      <c r="AB1268" s="154" t="e">
        <f t="shared" si="195"/>
        <v>#VALUE!</v>
      </c>
      <c r="AC1268">
        <v>11.56</v>
      </c>
      <c r="AD1268" s="154" t="e">
        <f t="shared" si="196"/>
        <v>#VALUE!</v>
      </c>
      <c r="AE1268">
        <v>11.56</v>
      </c>
    </row>
    <row r="1269" spans="12:31" ht="15" x14ac:dyDescent="0.2">
      <c r="L1269" s="154" t="e">
        <f t="shared" si="187"/>
        <v>#VALUE!</v>
      </c>
      <c r="M1269">
        <v>11.57</v>
      </c>
      <c r="N1269" s="154" t="e">
        <f t="shared" si="188"/>
        <v>#VALUE!</v>
      </c>
      <c r="O1269">
        <v>11.57</v>
      </c>
      <c r="P1269" s="154" t="e">
        <f t="shared" si="189"/>
        <v>#VALUE!</v>
      </c>
      <c r="Q1269">
        <v>11.57</v>
      </c>
      <c r="R1269" s="154" t="e">
        <f t="shared" si="190"/>
        <v>#VALUE!</v>
      </c>
      <c r="S1269">
        <v>11.57</v>
      </c>
      <c r="T1269" s="154" t="e">
        <f t="shared" si="191"/>
        <v>#VALUE!</v>
      </c>
      <c r="U1269">
        <v>11.57</v>
      </c>
      <c r="V1269" s="154" t="e">
        <f t="shared" si="192"/>
        <v>#VALUE!</v>
      </c>
      <c r="W1269">
        <v>11.57</v>
      </c>
      <c r="X1269" s="157" t="e">
        <f t="shared" si="193"/>
        <v>#VALUE!</v>
      </c>
      <c r="Y1269">
        <v>11.57</v>
      </c>
      <c r="Z1269" s="154" t="e">
        <f t="shared" si="194"/>
        <v>#VALUE!</v>
      </c>
      <c r="AA1269">
        <v>11.57</v>
      </c>
      <c r="AB1269" s="154" t="e">
        <f t="shared" si="195"/>
        <v>#VALUE!</v>
      </c>
      <c r="AC1269">
        <v>11.57</v>
      </c>
      <c r="AD1269" s="154" t="e">
        <f t="shared" si="196"/>
        <v>#VALUE!</v>
      </c>
      <c r="AE1269">
        <v>11.57</v>
      </c>
    </row>
    <row r="1270" spans="12:31" ht="15" x14ac:dyDescent="0.2">
      <c r="L1270" s="154" t="e">
        <f t="shared" si="187"/>
        <v>#VALUE!</v>
      </c>
      <c r="M1270">
        <v>11.58</v>
      </c>
      <c r="N1270" s="154" t="e">
        <f t="shared" si="188"/>
        <v>#VALUE!</v>
      </c>
      <c r="O1270">
        <v>11.58</v>
      </c>
      <c r="P1270" s="154" t="e">
        <f t="shared" si="189"/>
        <v>#VALUE!</v>
      </c>
      <c r="Q1270">
        <v>11.58</v>
      </c>
      <c r="R1270" s="154" t="e">
        <f t="shared" si="190"/>
        <v>#VALUE!</v>
      </c>
      <c r="S1270">
        <v>11.58</v>
      </c>
      <c r="T1270" s="154" t="e">
        <f t="shared" si="191"/>
        <v>#VALUE!</v>
      </c>
      <c r="U1270">
        <v>11.58</v>
      </c>
      <c r="V1270" s="154" t="e">
        <f t="shared" si="192"/>
        <v>#VALUE!</v>
      </c>
      <c r="W1270">
        <v>11.58</v>
      </c>
      <c r="X1270" s="157" t="e">
        <f t="shared" si="193"/>
        <v>#VALUE!</v>
      </c>
      <c r="Y1270">
        <v>11.58</v>
      </c>
      <c r="Z1270" s="154" t="e">
        <f t="shared" si="194"/>
        <v>#VALUE!</v>
      </c>
      <c r="AA1270">
        <v>11.58</v>
      </c>
      <c r="AB1270" s="154" t="e">
        <f t="shared" si="195"/>
        <v>#VALUE!</v>
      </c>
      <c r="AC1270">
        <v>11.58</v>
      </c>
      <c r="AD1270" s="154" t="e">
        <f t="shared" si="196"/>
        <v>#VALUE!</v>
      </c>
      <c r="AE1270">
        <v>11.58</v>
      </c>
    </row>
    <row r="1271" spans="12:31" ht="15" x14ac:dyDescent="0.2">
      <c r="L1271" s="154" t="e">
        <f t="shared" si="187"/>
        <v>#VALUE!</v>
      </c>
      <c r="M1271">
        <v>11.59</v>
      </c>
      <c r="N1271" s="154" t="e">
        <f t="shared" si="188"/>
        <v>#VALUE!</v>
      </c>
      <c r="O1271">
        <v>11.59</v>
      </c>
      <c r="P1271" s="154" t="e">
        <f t="shared" si="189"/>
        <v>#VALUE!</v>
      </c>
      <c r="Q1271">
        <v>11.59</v>
      </c>
      <c r="R1271" s="154" t="e">
        <f t="shared" si="190"/>
        <v>#VALUE!</v>
      </c>
      <c r="S1271">
        <v>11.59</v>
      </c>
      <c r="T1271" s="154" t="e">
        <f t="shared" si="191"/>
        <v>#VALUE!</v>
      </c>
      <c r="U1271">
        <v>11.59</v>
      </c>
      <c r="V1271" s="154" t="e">
        <f t="shared" si="192"/>
        <v>#VALUE!</v>
      </c>
      <c r="W1271">
        <v>11.59</v>
      </c>
      <c r="X1271" s="157" t="e">
        <f t="shared" si="193"/>
        <v>#VALUE!</v>
      </c>
      <c r="Y1271">
        <v>11.59</v>
      </c>
      <c r="Z1271" s="154" t="e">
        <f t="shared" si="194"/>
        <v>#VALUE!</v>
      </c>
      <c r="AA1271">
        <v>11.59</v>
      </c>
      <c r="AB1271" s="154" t="e">
        <f t="shared" si="195"/>
        <v>#VALUE!</v>
      </c>
      <c r="AC1271">
        <v>11.59</v>
      </c>
      <c r="AD1271" s="154" t="e">
        <f t="shared" si="196"/>
        <v>#VALUE!</v>
      </c>
      <c r="AE1271">
        <v>11.59</v>
      </c>
    </row>
    <row r="1272" spans="12:31" ht="15" x14ac:dyDescent="0.2">
      <c r="L1272" s="154" t="e">
        <f t="shared" si="187"/>
        <v>#VALUE!</v>
      </c>
      <c r="M1272">
        <v>11.6</v>
      </c>
      <c r="N1272" s="154" t="e">
        <f t="shared" si="188"/>
        <v>#VALUE!</v>
      </c>
      <c r="O1272">
        <v>11.6</v>
      </c>
      <c r="P1272" s="154" t="e">
        <f t="shared" si="189"/>
        <v>#VALUE!</v>
      </c>
      <c r="Q1272">
        <v>11.6</v>
      </c>
      <c r="R1272" s="154" t="e">
        <f t="shared" si="190"/>
        <v>#VALUE!</v>
      </c>
      <c r="S1272">
        <v>11.6</v>
      </c>
      <c r="T1272" s="154" t="e">
        <f t="shared" si="191"/>
        <v>#VALUE!</v>
      </c>
      <c r="U1272">
        <v>11.6</v>
      </c>
      <c r="V1272" s="154" t="e">
        <f t="shared" si="192"/>
        <v>#VALUE!</v>
      </c>
      <c r="W1272">
        <v>11.6</v>
      </c>
      <c r="X1272" s="157" t="e">
        <f t="shared" si="193"/>
        <v>#VALUE!</v>
      </c>
      <c r="Y1272">
        <v>11.6</v>
      </c>
      <c r="Z1272" s="154" t="e">
        <f t="shared" si="194"/>
        <v>#VALUE!</v>
      </c>
      <c r="AA1272">
        <v>11.6</v>
      </c>
      <c r="AB1272" s="154" t="e">
        <f t="shared" si="195"/>
        <v>#VALUE!</v>
      </c>
      <c r="AC1272">
        <v>11.6</v>
      </c>
      <c r="AD1272" s="154" t="e">
        <f t="shared" si="196"/>
        <v>#VALUE!</v>
      </c>
      <c r="AE1272">
        <v>11.6</v>
      </c>
    </row>
    <row r="1273" spans="12:31" ht="15" x14ac:dyDescent="0.2">
      <c r="L1273" s="154" t="e">
        <f t="shared" si="187"/>
        <v>#VALUE!</v>
      </c>
      <c r="M1273">
        <v>11.61</v>
      </c>
      <c r="N1273" s="154" t="e">
        <f t="shared" si="188"/>
        <v>#VALUE!</v>
      </c>
      <c r="O1273">
        <v>11.61</v>
      </c>
      <c r="P1273" s="154" t="e">
        <f t="shared" si="189"/>
        <v>#VALUE!</v>
      </c>
      <c r="Q1273">
        <v>11.61</v>
      </c>
      <c r="R1273" s="154" t="e">
        <f t="shared" si="190"/>
        <v>#VALUE!</v>
      </c>
      <c r="S1273">
        <v>11.61</v>
      </c>
      <c r="T1273" s="154" t="e">
        <f t="shared" si="191"/>
        <v>#VALUE!</v>
      </c>
      <c r="U1273">
        <v>11.61</v>
      </c>
      <c r="V1273" s="154" t="e">
        <f t="shared" si="192"/>
        <v>#VALUE!</v>
      </c>
      <c r="W1273">
        <v>11.61</v>
      </c>
      <c r="X1273" s="157" t="e">
        <f t="shared" si="193"/>
        <v>#VALUE!</v>
      </c>
      <c r="Y1273">
        <v>11.61</v>
      </c>
      <c r="Z1273" s="154" t="e">
        <f t="shared" si="194"/>
        <v>#VALUE!</v>
      </c>
      <c r="AA1273">
        <v>11.61</v>
      </c>
      <c r="AB1273" s="154" t="e">
        <f t="shared" si="195"/>
        <v>#VALUE!</v>
      </c>
      <c r="AC1273">
        <v>11.61</v>
      </c>
      <c r="AD1273" s="154" t="e">
        <f t="shared" si="196"/>
        <v>#VALUE!</v>
      </c>
      <c r="AE1273">
        <v>11.61</v>
      </c>
    </row>
    <row r="1274" spans="12:31" ht="15" x14ac:dyDescent="0.2">
      <c r="L1274" s="154" t="e">
        <f t="shared" si="187"/>
        <v>#VALUE!</v>
      </c>
      <c r="M1274">
        <v>11.62</v>
      </c>
      <c r="N1274" s="154" t="e">
        <f t="shared" si="188"/>
        <v>#VALUE!</v>
      </c>
      <c r="O1274">
        <v>11.62</v>
      </c>
      <c r="P1274" s="154" t="e">
        <f t="shared" si="189"/>
        <v>#VALUE!</v>
      </c>
      <c r="Q1274">
        <v>11.62</v>
      </c>
      <c r="R1274" s="154" t="e">
        <f t="shared" si="190"/>
        <v>#VALUE!</v>
      </c>
      <c r="S1274">
        <v>11.62</v>
      </c>
      <c r="T1274" s="154" t="e">
        <f t="shared" si="191"/>
        <v>#VALUE!</v>
      </c>
      <c r="U1274">
        <v>11.62</v>
      </c>
      <c r="V1274" s="154" t="e">
        <f t="shared" si="192"/>
        <v>#VALUE!</v>
      </c>
      <c r="W1274">
        <v>11.62</v>
      </c>
      <c r="X1274" s="157" t="e">
        <f t="shared" si="193"/>
        <v>#VALUE!</v>
      </c>
      <c r="Y1274">
        <v>11.62</v>
      </c>
      <c r="Z1274" s="154" t="e">
        <f t="shared" si="194"/>
        <v>#VALUE!</v>
      </c>
      <c r="AA1274">
        <v>11.62</v>
      </c>
      <c r="AB1274" s="154" t="e">
        <f t="shared" si="195"/>
        <v>#VALUE!</v>
      </c>
      <c r="AC1274">
        <v>11.62</v>
      </c>
      <c r="AD1274" s="154" t="e">
        <f t="shared" si="196"/>
        <v>#VALUE!</v>
      </c>
      <c r="AE1274">
        <v>11.62</v>
      </c>
    </row>
    <row r="1275" spans="12:31" ht="15" x14ac:dyDescent="0.2">
      <c r="L1275" s="154" t="e">
        <f t="shared" si="187"/>
        <v>#VALUE!</v>
      </c>
      <c r="M1275">
        <v>11.63</v>
      </c>
      <c r="N1275" s="154" t="e">
        <f t="shared" si="188"/>
        <v>#VALUE!</v>
      </c>
      <c r="O1275">
        <v>11.63</v>
      </c>
      <c r="P1275" s="154" t="e">
        <f t="shared" si="189"/>
        <v>#VALUE!</v>
      </c>
      <c r="Q1275">
        <v>11.63</v>
      </c>
      <c r="R1275" s="154" t="e">
        <f t="shared" si="190"/>
        <v>#VALUE!</v>
      </c>
      <c r="S1275">
        <v>11.63</v>
      </c>
      <c r="T1275" s="154" t="e">
        <f t="shared" si="191"/>
        <v>#VALUE!</v>
      </c>
      <c r="U1275">
        <v>11.63</v>
      </c>
      <c r="V1275" s="154" t="e">
        <f t="shared" si="192"/>
        <v>#VALUE!</v>
      </c>
      <c r="W1275">
        <v>11.63</v>
      </c>
      <c r="X1275" s="157" t="e">
        <f t="shared" si="193"/>
        <v>#VALUE!</v>
      </c>
      <c r="Y1275">
        <v>11.63</v>
      </c>
      <c r="Z1275" s="154" t="e">
        <f t="shared" si="194"/>
        <v>#VALUE!</v>
      </c>
      <c r="AA1275">
        <v>11.63</v>
      </c>
      <c r="AB1275" s="154" t="e">
        <f t="shared" si="195"/>
        <v>#VALUE!</v>
      </c>
      <c r="AC1275">
        <v>11.63</v>
      </c>
      <c r="AD1275" s="154" t="e">
        <f t="shared" si="196"/>
        <v>#VALUE!</v>
      </c>
      <c r="AE1275">
        <v>11.63</v>
      </c>
    </row>
    <row r="1276" spans="12:31" ht="15" x14ac:dyDescent="0.2">
      <c r="L1276" s="154" t="e">
        <f t="shared" si="187"/>
        <v>#VALUE!</v>
      </c>
      <c r="M1276">
        <v>11.64</v>
      </c>
      <c r="N1276" s="154" t="e">
        <f t="shared" si="188"/>
        <v>#VALUE!</v>
      </c>
      <c r="O1276">
        <v>11.64</v>
      </c>
      <c r="P1276" s="154" t="e">
        <f t="shared" si="189"/>
        <v>#VALUE!</v>
      </c>
      <c r="Q1276">
        <v>11.64</v>
      </c>
      <c r="R1276" s="154" t="e">
        <f t="shared" si="190"/>
        <v>#VALUE!</v>
      </c>
      <c r="S1276">
        <v>11.64</v>
      </c>
      <c r="T1276" s="154" t="e">
        <f t="shared" si="191"/>
        <v>#VALUE!</v>
      </c>
      <c r="U1276">
        <v>11.64</v>
      </c>
      <c r="V1276" s="154" t="e">
        <f t="shared" si="192"/>
        <v>#VALUE!</v>
      </c>
      <c r="W1276">
        <v>11.64</v>
      </c>
      <c r="X1276" s="157" t="e">
        <f t="shared" si="193"/>
        <v>#VALUE!</v>
      </c>
      <c r="Y1276">
        <v>11.64</v>
      </c>
      <c r="Z1276" s="154" t="e">
        <f t="shared" si="194"/>
        <v>#VALUE!</v>
      </c>
      <c r="AA1276">
        <v>11.64</v>
      </c>
      <c r="AB1276" s="154" t="e">
        <f t="shared" si="195"/>
        <v>#VALUE!</v>
      </c>
      <c r="AC1276">
        <v>11.64</v>
      </c>
      <c r="AD1276" s="154" t="e">
        <f t="shared" si="196"/>
        <v>#VALUE!</v>
      </c>
      <c r="AE1276">
        <v>11.64</v>
      </c>
    </row>
    <row r="1277" spans="12:31" ht="15" x14ac:dyDescent="0.2">
      <c r="L1277" s="154" t="e">
        <f t="shared" si="187"/>
        <v>#VALUE!</v>
      </c>
      <c r="M1277">
        <v>11.65</v>
      </c>
      <c r="N1277" s="154" t="e">
        <f t="shared" si="188"/>
        <v>#VALUE!</v>
      </c>
      <c r="O1277">
        <v>11.65</v>
      </c>
      <c r="P1277" s="154" t="e">
        <f t="shared" si="189"/>
        <v>#VALUE!</v>
      </c>
      <c r="Q1277">
        <v>11.65</v>
      </c>
      <c r="R1277" s="154" t="e">
        <f t="shared" si="190"/>
        <v>#VALUE!</v>
      </c>
      <c r="S1277">
        <v>11.65</v>
      </c>
      <c r="T1277" s="154" t="e">
        <f t="shared" si="191"/>
        <v>#VALUE!</v>
      </c>
      <c r="U1277">
        <v>11.65</v>
      </c>
      <c r="V1277" s="154" t="e">
        <f t="shared" si="192"/>
        <v>#VALUE!</v>
      </c>
      <c r="W1277">
        <v>11.65</v>
      </c>
      <c r="X1277" s="157" t="e">
        <f t="shared" si="193"/>
        <v>#VALUE!</v>
      </c>
      <c r="Y1277">
        <v>11.65</v>
      </c>
      <c r="Z1277" s="154" t="e">
        <f t="shared" si="194"/>
        <v>#VALUE!</v>
      </c>
      <c r="AA1277">
        <v>11.65</v>
      </c>
      <c r="AB1277" s="154" t="e">
        <f t="shared" si="195"/>
        <v>#VALUE!</v>
      </c>
      <c r="AC1277">
        <v>11.65</v>
      </c>
      <c r="AD1277" s="154" t="e">
        <f t="shared" si="196"/>
        <v>#VALUE!</v>
      </c>
      <c r="AE1277">
        <v>11.65</v>
      </c>
    </row>
    <row r="1278" spans="12:31" ht="15" x14ac:dyDescent="0.2">
      <c r="L1278" s="154" t="e">
        <f t="shared" si="187"/>
        <v>#VALUE!</v>
      </c>
      <c r="M1278">
        <v>11.66</v>
      </c>
      <c r="N1278" s="154" t="e">
        <f t="shared" si="188"/>
        <v>#VALUE!</v>
      </c>
      <c r="O1278">
        <v>11.66</v>
      </c>
      <c r="P1278" s="154" t="e">
        <f t="shared" si="189"/>
        <v>#VALUE!</v>
      </c>
      <c r="Q1278">
        <v>11.66</v>
      </c>
      <c r="R1278" s="154" t="e">
        <f t="shared" si="190"/>
        <v>#VALUE!</v>
      </c>
      <c r="S1278">
        <v>11.66</v>
      </c>
      <c r="T1278" s="154" t="e">
        <f t="shared" si="191"/>
        <v>#VALUE!</v>
      </c>
      <c r="U1278">
        <v>11.66</v>
      </c>
      <c r="V1278" s="154" t="e">
        <f t="shared" si="192"/>
        <v>#VALUE!</v>
      </c>
      <c r="W1278">
        <v>11.66</v>
      </c>
      <c r="X1278" s="157" t="e">
        <f t="shared" si="193"/>
        <v>#VALUE!</v>
      </c>
      <c r="Y1278">
        <v>11.66</v>
      </c>
      <c r="Z1278" s="154" t="e">
        <f t="shared" si="194"/>
        <v>#VALUE!</v>
      </c>
      <c r="AA1278">
        <v>11.66</v>
      </c>
      <c r="AB1278" s="154" t="e">
        <f t="shared" si="195"/>
        <v>#VALUE!</v>
      </c>
      <c r="AC1278">
        <v>11.66</v>
      </c>
      <c r="AD1278" s="154" t="e">
        <f t="shared" si="196"/>
        <v>#VALUE!</v>
      </c>
      <c r="AE1278">
        <v>11.66</v>
      </c>
    </row>
    <row r="1279" spans="12:31" ht="15" x14ac:dyDescent="0.2">
      <c r="L1279" s="154" t="e">
        <f t="shared" si="187"/>
        <v>#VALUE!</v>
      </c>
      <c r="M1279">
        <v>11.67</v>
      </c>
      <c r="N1279" s="154" t="e">
        <f t="shared" si="188"/>
        <v>#VALUE!</v>
      </c>
      <c r="O1279">
        <v>11.67</v>
      </c>
      <c r="P1279" s="154" t="e">
        <f t="shared" si="189"/>
        <v>#VALUE!</v>
      </c>
      <c r="Q1279">
        <v>11.67</v>
      </c>
      <c r="R1279" s="154" t="e">
        <f t="shared" si="190"/>
        <v>#VALUE!</v>
      </c>
      <c r="S1279">
        <v>11.67</v>
      </c>
      <c r="T1279" s="154" t="e">
        <f t="shared" si="191"/>
        <v>#VALUE!</v>
      </c>
      <c r="U1279">
        <v>11.67</v>
      </c>
      <c r="V1279" s="154" t="e">
        <f t="shared" si="192"/>
        <v>#VALUE!</v>
      </c>
      <c r="W1279">
        <v>11.67</v>
      </c>
      <c r="X1279" s="157" t="e">
        <f t="shared" si="193"/>
        <v>#VALUE!</v>
      </c>
      <c r="Y1279">
        <v>11.67</v>
      </c>
      <c r="Z1279" s="154" t="e">
        <f t="shared" si="194"/>
        <v>#VALUE!</v>
      </c>
      <c r="AA1279">
        <v>11.67</v>
      </c>
      <c r="AB1279" s="154" t="e">
        <f t="shared" si="195"/>
        <v>#VALUE!</v>
      </c>
      <c r="AC1279">
        <v>11.67</v>
      </c>
      <c r="AD1279" s="154" t="e">
        <f t="shared" si="196"/>
        <v>#VALUE!</v>
      </c>
      <c r="AE1279">
        <v>11.67</v>
      </c>
    </row>
    <row r="1280" spans="12:31" ht="15" x14ac:dyDescent="0.2">
      <c r="L1280" s="154" t="e">
        <f t="shared" si="187"/>
        <v>#VALUE!</v>
      </c>
      <c r="M1280">
        <v>11.68</v>
      </c>
      <c r="N1280" s="154" t="e">
        <f t="shared" si="188"/>
        <v>#VALUE!</v>
      </c>
      <c r="O1280">
        <v>11.68</v>
      </c>
      <c r="P1280" s="154" t="e">
        <f t="shared" si="189"/>
        <v>#VALUE!</v>
      </c>
      <c r="Q1280">
        <v>11.68</v>
      </c>
      <c r="R1280" s="154" t="e">
        <f t="shared" si="190"/>
        <v>#VALUE!</v>
      </c>
      <c r="S1280">
        <v>11.68</v>
      </c>
      <c r="T1280" s="154" t="e">
        <f t="shared" si="191"/>
        <v>#VALUE!</v>
      </c>
      <c r="U1280">
        <v>11.68</v>
      </c>
      <c r="V1280" s="154" t="e">
        <f t="shared" si="192"/>
        <v>#VALUE!</v>
      </c>
      <c r="W1280">
        <v>11.68</v>
      </c>
      <c r="X1280" s="157" t="e">
        <f t="shared" si="193"/>
        <v>#VALUE!</v>
      </c>
      <c r="Y1280">
        <v>11.68</v>
      </c>
      <c r="Z1280" s="154" t="e">
        <f t="shared" si="194"/>
        <v>#VALUE!</v>
      </c>
      <c r="AA1280">
        <v>11.68</v>
      </c>
      <c r="AB1280" s="154" t="e">
        <f t="shared" si="195"/>
        <v>#VALUE!</v>
      </c>
      <c r="AC1280">
        <v>11.68</v>
      </c>
      <c r="AD1280" s="154" t="e">
        <f t="shared" si="196"/>
        <v>#VALUE!</v>
      </c>
      <c r="AE1280">
        <v>11.68</v>
      </c>
    </row>
    <row r="1281" spans="12:31" ht="15" x14ac:dyDescent="0.2">
      <c r="L1281" s="154" t="e">
        <f t="shared" si="187"/>
        <v>#VALUE!</v>
      </c>
      <c r="M1281">
        <v>11.69</v>
      </c>
      <c r="N1281" s="154" t="e">
        <f t="shared" si="188"/>
        <v>#VALUE!</v>
      </c>
      <c r="O1281">
        <v>11.69</v>
      </c>
      <c r="P1281" s="154" t="e">
        <f t="shared" si="189"/>
        <v>#VALUE!</v>
      </c>
      <c r="Q1281">
        <v>11.69</v>
      </c>
      <c r="R1281" s="154" t="e">
        <f t="shared" si="190"/>
        <v>#VALUE!</v>
      </c>
      <c r="S1281">
        <v>11.69</v>
      </c>
      <c r="T1281" s="154" t="e">
        <f t="shared" si="191"/>
        <v>#VALUE!</v>
      </c>
      <c r="U1281">
        <v>11.69</v>
      </c>
      <c r="V1281" s="154" t="e">
        <f t="shared" si="192"/>
        <v>#VALUE!</v>
      </c>
      <c r="W1281">
        <v>11.69</v>
      </c>
      <c r="X1281" s="157" t="e">
        <f t="shared" si="193"/>
        <v>#VALUE!</v>
      </c>
      <c r="Y1281">
        <v>11.69</v>
      </c>
      <c r="Z1281" s="154" t="e">
        <f t="shared" si="194"/>
        <v>#VALUE!</v>
      </c>
      <c r="AA1281">
        <v>11.69</v>
      </c>
      <c r="AB1281" s="154" t="e">
        <f t="shared" si="195"/>
        <v>#VALUE!</v>
      </c>
      <c r="AC1281">
        <v>11.69</v>
      </c>
      <c r="AD1281" s="154" t="e">
        <f t="shared" si="196"/>
        <v>#VALUE!</v>
      </c>
      <c r="AE1281">
        <v>11.69</v>
      </c>
    </row>
    <row r="1282" spans="12:31" ht="15" x14ac:dyDescent="0.2">
      <c r="L1282" s="154" t="e">
        <f t="shared" si="187"/>
        <v>#VALUE!</v>
      </c>
      <c r="M1282">
        <v>11.7</v>
      </c>
      <c r="N1282" s="154" t="e">
        <f t="shared" si="188"/>
        <v>#VALUE!</v>
      </c>
      <c r="O1282">
        <v>11.7</v>
      </c>
      <c r="P1282" s="154" t="e">
        <f t="shared" si="189"/>
        <v>#VALUE!</v>
      </c>
      <c r="Q1282">
        <v>11.7</v>
      </c>
      <c r="R1282" s="154" t="e">
        <f t="shared" si="190"/>
        <v>#VALUE!</v>
      </c>
      <c r="S1282">
        <v>11.7</v>
      </c>
      <c r="T1282" s="154" t="e">
        <f t="shared" si="191"/>
        <v>#VALUE!</v>
      </c>
      <c r="U1282">
        <v>11.7</v>
      </c>
      <c r="V1282" s="154" t="e">
        <f t="shared" si="192"/>
        <v>#VALUE!</v>
      </c>
      <c r="W1282">
        <v>11.7</v>
      </c>
      <c r="X1282" s="157" t="e">
        <f t="shared" si="193"/>
        <v>#VALUE!</v>
      </c>
      <c r="Y1282">
        <v>11.7</v>
      </c>
      <c r="Z1282" s="154" t="e">
        <f t="shared" si="194"/>
        <v>#VALUE!</v>
      </c>
      <c r="AA1282">
        <v>11.7</v>
      </c>
      <c r="AB1282" s="154" t="e">
        <f t="shared" si="195"/>
        <v>#VALUE!</v>
      </c>
      <c r="AC1282">
        <v>11.7</v>
      </c>
      <c r="AD1282" s="154" t="e">
        <f t="shared" si="196"/>
        <v>#VALUE!</v>
      </c>
      <c r="AE1282">
        <v>11.7</v>
      </c>
    </row>
    <row r="1283" spans="12:31" ht="15" x14ac:dyDescent="0.2">
      <c r="L1283" s="154" t="e">
        <f t="shared" si="187"/>
        <v>#VALUE!</v>
      </c>
      <c r="M1283">
        <v>11.71</v>
      </c>
      <c r="N1283" s="154" t="e">
        <f t="shared" si="188"/>
        <v>#VALUE!</v>
      </c>
      <c r="O1283">
        <v>11.71</v>
      </c>
      <c r="P1283" s="154" t="e">
        <f t="shared" si="189"/>
        <v>#VALUE!</v>
      </c>
      <c r="Q1283">
        <v>11.71</v>
      </c>
      <c r="R1283" s="154" t="e">
        <f t="shared" si="190"/>
        <v>#VALUE!</v>
      </c>
      <c r="S1283">
        <v>11.71</v>
      </c>
      <c r="T1283" s="154" t="e">
        <f t="shared" si="191"/>
        <v>#VALUE!</v>
      </c>
      <c r="U1283">
        <v>11.71</v>
      </c>
      <c r="V1283" s="154" t="e">
        <f t="shared" si="192"/>
        <v>#VALUE!</v>
      </c>
      <c r="W1283">
        <v>11.71</v>
      </c>
      <c r="X1283" s="157" t="e">
        <f t="shared" si="193"/>
        <v>#VALUE!</v>
      </c>
      <c r="Y1283">
        <v>11.71</v>
      </c>
      <c r="Z1283" s="154" t="e">
        <f t="shared" si="194"/>
        <v>#VALUE!</v>
      </c>
      <c r="AA1283">
        <v>11.71</v>
      </c>
      <c r="AB1283" s="154" t="e">
        <f t="shared" si="195"/>
        <v>#VALUE!</v>
      </c>
      <c r="AC1283">
        <v>11.71</v>
      </c>
      <c r="AD1283" s="154" t="e">
        <f t="shared" si="196"/>
        <v>#VALUE!</v>
      </c>
      <c r="AE1283">
        <v>11.71</v>
      </c>
    </row>
    <row r="1284" spans="12:31" ht="15" x14ac:dyDescent="0.2">
      <c r="L1284" s="154" t="e">
        <f t="shared" si="187"/>
        <v>#VALUE!</v>
      </c>
      <c r="M1284">
        <v>11.72</v>
      </c>
      <c r="N1284" s="154" t="e">
        <f t="shared" si="188"/>
        <v>#VALUE!</v>
      </c>
      <c r="O1284">
        <v>11.72</v>
      </c>
      <c r="P1284" s="154" t="e">
        <f t="shared" si="189"/>
        <v>#VALUE!</v>
      </c>
      <c r="Q1284">
        <v>11.72</v>
      </c>
      <c r="R1284" s="154" t="e">
        <f t="shared" si="190"/>
        <v>#VALUE!</v>
      </c>
      <c r="S1284">
        <v>11.72</v>
      </c>
      <c r="T1284" s="154" t="e">
        <f t="shared" si="191"/>
        <v>#VALUE!</v>
      </c>
      <c r="U1284">
        <v>11.72</v>
      </c>
      <c r="V1284" s="154" t="e">
        <f t="shared" si="192"/>
        <v>#VALUE!</v>
      </c>
      <c r="W1284">
        <v>11.72</v>
      </c>
      <c r="X1284" s="157" t="e">
        <f t="shared" si="193"/>
        <v>#VALUE!</v>
      </c>
      <c r="Y1284">
        <v>11.72</v>
      </c>
      <c r="Z1284" s="154" t="e">
        <f t="shared" si="194"/>
        <v>#VALUE!</v>
      </c>
      <c r="AA1284">
        <v>11.72</v>
      </c>
      <c r="AB1284" s="154" t="e">
        <f t="shared" si="195"/>
        <v>#VALUE!</v>
      </c>
      <c r="AC1284">
        <v>11.72</v>
      </c>
      <c r="AD1284" s="154" t="e">
        <f t="shared" si="196"/>
        <v>#VALUE!</v>
      </c>
      <c r="AE1284">
        <v>11.72</v>
      </c>
    </row>
    <row r="1285" spans="12:31" ht="15" x14ac:dyDescent="0.2">
      <c r="L1285" s="154" t="e">
        <f t="shared" si="187"/>
        <v>#VALUE!</v>
      </c>
      <c r="M1285">
        <v>11.73</v>
      </c>
      <c r="N1285" s="154" t="e">
        <f t="shared" si="188"/>
        <v>#VALUE!</v>
      </c>
      <c r="O1285">
        <v>11.73</v>
      </c>
      <c r="P1285" s="154" t="e">
        <f t="shared" si="189"/>
        <v>#VALUE!</v>
      </c>
      <c r="Q1285">
        <v>11.73</v>
      </c>
      <c r="R1285" s="154" t="e">
        <f t="shared" si="190"/>
        <v>#VALUE!</v>
      </c>
      <c r="S1285">
        <v>11.73</v>
      </c>
      <c r="T1285" s="154" t="e">
        <f t="shared" si="191"/>
        <v>#VALUE!</v>
      </c>
      <c r="U1285">
        <v>11.73</v>
      </c>
      <c r="V1285" s="154" t="e">
        <f t="shared" si="192"/>
        <v>#VALUE!</v>
      </c>
      <c r="W1285">
        <v>11.73</v>
      </c>
      <c r="X1285" s="157" t="e">
        <f t="shared" si="193"/>
        <v>#VALUE!</v>
      </c>
      <c r="Y1285">
        <v>11.73</v>
      </c>
      <c r="Z1285" s="154" t="e">
        <f t="shared" si="194"/>
        <v>#VALUE!</v>
      </c>
      <c r="AA1285">
        <v>11.73</v>
      </c>
      <c r="AB1285" s="154" t="e">
        <f t="shared" si="195"/>
        <v>#VALUE!</v>
      </c>
      <c r="AC1285">
        <v>11.73</v>
      </c>
      <c r="AD1285" s="154" t="e">
        <f t="shared" si="196"/>
        <v>#VALUE!</v>
      </c>
      <c r="AE1285">
        <v>11.73</v>
      </c>
    </row>
    <row r="1286" spans="12:31" ht="15" x14ac:dyDescent="0.2">
      <c r="L1286" s="154" t="e">
        <f t="shared" si="187"/>
        <v>#VALUE!</v>
      </c>
      <c r="M1286">
        <v>11.74</v>
      </c>
      <c r="N1286" s="154" t="e">
        <f t="shared" si="188"/>
        <v>#VALUE!</v>
      </c>
      <c r="O1286">
        <v>11.74</v>
      </c>
      <c r="P1286" s="154" t="e">
        <f t="shared" si="189"/>
        <v>#VALUE!</v>
      </c>
      <c r="Q1286">
        <v>11.74</v>
      </c>
      <c r="R1286" s="154" t="e">
        <f t="shared" si="190"/>
        <v>#VALUE!</v>
      </c>
      <c r="S1286">
        <v>11.74</v>
      </c>
      <c r="T1286" s="154" t="e">
        <f t="shared" si="191"/>
        <v>#VALUE!</v>
      </c>
      <c r="U1286">
        <v>11.74</v>
      </c>
      <c r="V1286" s="154" t="e">
        <f t="shared" si="192"/>
        <v>#VALUE!</v>
      </c>
      <c r="W1286">
        <v>11.74</v>
      </c>
      <c r="X1286" s="157" t="e">
        <f t="shared" si="193"/>
        <v>#VALUE!</v>
      </c>
      <c r="Y1286">
        <v>11.74</v>
      </c>
      <c r="Z1286" s="154" t="e">
        <f t="shared" si="194"/>
        <v>#VALUE!</v>
      </c>
      <c r="AA1286">
        <v>11.74</v>
      </c>
      <c r="AB1286" s="154" t="e">
        <f t="shared" si="195"/>
        <v>#VALUE!</v>
      </c>
      <c r="AC1286">
        <v>11.74</v>
      </c>
      <c r="AD1286" s="154" t="e">
        <f t="shared" si="196"/>
        <v>#VALUE!</v>
      </c>
      <c r="AE1286">
        <v>11.74</v>
      </c>
    </row>
    <row r="1287" spans="12:31" ht="15" x14ac:dyDescent="0.2">
      <c r="L1287" s="154" t="e">
        <f t="shared" si="187"/>
        <v>#VALUE!</v>
      </c>
      <c r="M1287">
        <v>11.75</v>
      </c>
      <c r="N1287" s="154" t="e">
        <f t="shared" si="188"/>
        <v>#VALUE!</v>
      </c>
      <c r="O1287">
        <v>11.75</v>
      </c>
      <c r="P1287" s="154" t="e">
        <f t="shared" si="189"/>
        <v>#VALUE!</v>
      </c>
      <c r="Q1287">
        <v>11.75</v>
      </c>
      <c r="R1287" s="154" t="e">
        <f t="shared" si="190"/>
        <v>#VALUE!</v>
      </c>
      <c r="S1287">
        <v>11.75</v>
      </c>
      <c r="T1287" s="154" t="e">
        <f t="shared" si="191"/>
        <v>#VALUE!</v>
      </c>
      <c r="U1287">
        <v>11.75</v>
      </c>
      <c r="V1287" s="154" t="e">
        <f t="shared" si="192"/>
        <v>#VALUE!</v>
      </c>
      <c r="W1287">
        <v>11.75</v>
      </c>
      <c r="X1287" s="157" t="e">
        <f t="shared" si="193"/>
        <v>#VALUE!</v>
      </c>
      <c r="Y1287">
        <v>11.75</v>
      </c>
      <c r="Z1287" s="154" t="e">
        <f t="shared" si="194"/>
        <v>#VALUE!</v>
      </c>
      <c r="AA1287">
        <v>11.75</v>
      </c>
      <c r="AB1287" s="154" t="e">
        <f t="shared" si="195"/>
        <v>#VALUE!</v>
      </c>
      <c r="AC1287">
        <v>11.75</v>
      </c>
      <c r="AD1287" s="154" t="e">
        <f t="shared" si="196"/>
        <v>#VALUE!</v>
      </c>
      <c r="AE1287">
        <v>11.75</v>
      </c>
    </row>
    <row r="1288" spans="12:31" ht="15" x14ac:dyDescent="0.2">
      <c r="L1288" s="154" t="e">
        <f t="shared" si="187"/>
        <v>#VALUE!</v>
      </c>
      <c r="M1288">
        <v>11.76</v>
      </c>
      <c r="N1288" s="154" t="e">
        <f t="shared" si="188"/>
        <v>#VALUE!</v>
      </c>
      <c r="O1288">
        <v>11.76</v>
      </c>
      <c r="P1288" s="154" t="e">
        <f t="shared" si="189"/>
        <v>#VALUE!</v>
      </c>
      <c r="Q1288">
        <v>11.76</v>
      </c>
      <c r="R1288" s="154" t="e">
        <f t="shared" si="190"/>
        <v>#VALUE!</v>
      </c>
      <c r="S1288">
        <v>11.76</v>
      </c>
      <c r="T1288" s="154" t="e">
        <f t="shared" si="191"/>
        <v>#VALUE!</v>
      </c>
      <c r="U1288">
        <v>11.76</v>
      </c>
      <c r="V1288" s="154" t="e">
        <f t="shared" si="192"/>
        <v>#VALUE!</v>
      </c>
      <c r="W1288">
        <v>11.76</v>
      </c>
      <c r="X1288" s="157" t="e">
        <f t="shared" si="193"/>
        <v>#VALUE!</v>
      </c>
      <c r="Y1288">
        <v>11.76</v>
      </c>
      <c r="Z1288" s="154" t="e">
        <f t="shared" si="194"/>
        <v>#VALUE!</v>
      </c>
      <c r="AA1288">
        <v>11.76</v>
      </c>
      <c r="AB1288" s="154" t="e">
        <f t="shared" si="195"/>
        <v>#VALUE!</v>
      </c>
      <c r="AC1288">
        <v>11.76</v>
      </c>
      <c r="AD1288" s="154" t="e">
        <f t="shared" si="196"/>
        <v>#VALUE!</v>
      </c>
      <c r="AE1288">
        <v>11.76</v>
      </c>
    </row>
    <row r="1289" spans="12:31" ht="15" x14ac:dyDescent="0.2">
      <c r="L1289" s="154" t="e">
        <f t="shared" si="187"/>
        <v>#VALUE!</v>
      </c>
      <c r="M1289">
        <v>11.77</v>
      </c>
      <c r="N1289" s="154" t="e">
        <f t="shared" si="188"/>
        <v>#VALUE!</v>
      </c>
      <c r="O1289">
        <v>11.77</v>
      </c>
      <c r="P1289" s="154" t="e">
        <f t="shared" si="189"/>
        <v>#VALUE!</v>
      </c>
      <c r="Q1289">
        <v>11.77</v>
      </c>
      <c r="R1289" s="154" t="e">
        <f t="shared" si="190"/>
        <v>#VALUE!</v>
      </c>
      <c r="S1289">
        <v>11.77</v>
      </c>
      <c r="T1289" s="154" t="e">
        <f t="shared" si="191"/>
        <v>#VALUE!</v>
      </c>
      <c r="U1289">
        <v>11.77</v>
      </c>
      <c r="V1289" s="154" t="e">
        <f t="shared" si="192"/>
        <v>#VALUE!</v>
      </c>
      <c r="W1289">
        <v>11.77</v>
      </c>
      <c r="X1289" s="157" t="e">
        <f t="shared" si="193"/>
        <v>#VALUE!</v>
      </c>
      <c r="Y1289">
        <v>11.77</v>
      </c>
      <c r="Z1289" s="154" t="e">
        <f t="shared" si="194"/>
        <v>#VALUE!</v>
      </c>
      <c r="AA1289">
        <v>11.77</v>
      </c>
      <c r="AB1289" s="154" t="e">
        <f t="shared" si="195"/>
        <v>#VALUE!</v>
      </c>
      <c r="AC1289">
        <v>11.77</v>
      </c>
      <c r="AD1289" s="154" t="e">
        <f t="shared" si="196"/>
        <v>#VALUE!</v>
      </c>
      <c r="AE1289">
        <v>11.77</v>
      </c>
    </row>
    <row r="1290" spans="12:31" ht="15" x14ac:dyDescent="0.2">
      <c r="L1290" s="154" t="e">
        <f t="shared" si="187"/>
        <v>#VALUE!</v>
      </c>
      <c r="M1290">
        <v>11.78</v>
      </c>
      <c r="N1290" s="154" t="e">
        <f t="shared" si="188"/>
        <v>#VALUE!</v>
      </c>
      <c r="O1290">
        <v>11.78</v>
      </c>
      <c r="P1290" s="154" t="e">
        <f t="shared" si="189"/>
        <v>#VALUE!</v>
      </c>
      <c r="Q1290">
        <v>11.78</v>
      </c>
      <c r="R1290" s="154" t="e">
        <f t="shared" si="190"/>
        <v>#VALUE!</v>
      </c>
      <c r="S1290">
        <v>11.78</v>
      </c>
      <c r="T1290" s="154" t="e">
        <f t="shared" si="191"/>
        <v>#VALUE!</v>
      </c>
      <c r="U1290">
        <v>11.78</v>
      </c>
      <c r="V1290" s="154" t="e">
        <f t="shared" si="192"/>
        <v>#VALUE!</v>
      </c>
      <c r="W1290">
        <v>11.78</v>
      </c>
      <c r="X1290" s="157" t="e">
        <f t="shared" si="193"/>
        <v>#VALUE!</v>
      </c>
      <c r="Y1290">
        <v>11.78</v>
      </c>
      <c r="Z1290" s="154" t="e">
        <f t="shared" si="194"/>
        <v>#VALUE!</v>
      </c>
      <c r="AA1290">
        <v>11.78</v>
      </c>
      <c r="AB1290" s="154" t="e">
        <f t="shared" si="195"/>
        <v>#VALUE!</v>
      </c>
      <c r="AC1290">
        <v>11.78</v>
      </c>
      <c r="AD1290" s="154" t="e">
        <f t="shared" si="196"/>
        <v>#VALUE!</v>
      </c>
      <c r="AE1290">
        <v>11.78</v>
      </c>
    </row>
    <row r="1291" spans="12:31" ht="15" x14ac:dyDescent="0.2">
      <c r="L1291" s="154" t="e">
        <f t="shared" si="187"/>
        <v>#VALUE!</v>
      </c>
      <c r="M1291">
        <v>11.79</v>
      </c>
      <c r="N1291" s="154" t="e">
        <f t="shared" si="188"/>
        <v>#VALUE!</v>
      </c>
      <c r="O1291">
        <v>11.79</v>
      </c>
      <c r="P1291" s="154" t="e">
        <f t="shared" si="189"/>
        <v>#VALUE!</v>
      </c>
      <c r="Q1291">
        <v>11.79</v>
      </c>
      <c r="R1291" s="154" t="e">
        <f t="shared" si="190"/>
        <v>#VALUE!</v>
      </c>
      <c r="S1291">
        <v>11.79</v>
      </c>
      <c r="T1291" s="154" t="e">
        <f t="shared" si="191"/>
        <v>#VALUE!</v>
      </c>
      <c r="U1291">
        <v>11.79</v>
      </c>
      <c r="V1291" s="154" t="e">
        <f t="shared" si="192"/>
        <v>#VALUE!</v>
      </c>
      <c r="W1291">
        <v>11.79</v>
      </c>
      <c r="X1291" s="157" t="e">
        <f t="shared" si="193"/>
        <v>#VALUE!</v>
      </c>
      <c r="Y1291">
        <v>11.79</v>
      </c>
      <c r="Z1291" s="154" t="e">
        <f t="shared" si="194"/>
        <v>#VALUE!</v>
      </c>
      <c r="AA1291">
        <v>11.79</v>
      </c>
      <c r="AB1291" s="154" t="e">
        <f t="shared" si="195"/>
        <v>#VALUE!</v>
      </c>
      <c r="AC1291">
        <v>11.79</v>
      </c>
      <c r="AD1291" s="154" t="e">
        <f t="shared" si="196"/>
        <v>#VALUE!</v>
      </c>
      <c r="AE1291">
        <v>11.79</v>
      </c>
    </row>
    <row r="1292" spans="12:31" ht="15" x14ac:dyDescent="0.2">
      <c r="L1292" s="154" t="e">
        <f t="shared" si="187"/>
        <v>#VALUE!</v>
      </c>
      <c r="M1292">
        <v>11.8</v>
      </c>
      <c r="N1292" s="154" t="e">
        <f t="shared" si="188"/>
        <v>#VALUE!</v>
      </c>
      <c r="O1292">
        <v>11.8</v>
      </c>
      <c r="P1292" s="154" t="e">
        <f t="shared" si="189"/>
        <v>#VALUE!</v>
      </c>
      <c r="Q1292">
        <v>11.8</v>
      </c>
      <c r="R1292" s="154" t="e">
        <f t="shared" si="190"/>
        <v>#VALUE!</v>
      </c>
      <c r="S1292">
        <v>11.8</v>
      </c>
      <c r="T1292" s="154" t="e">
        <f t="shared" si="191"/>
        <v>#VALUE!</v>
      </c>
      <c r="U1292">
        <v>11.8</v>
      </c>
      <c r="V1292" s="154" t="e">
        <f t="shared" si="192"/>
        <v>#VALUE!</v>
      </c>
      <c r="W1292">
        <v>11.8</v>
      </c>
      <c r="X1292" s="157" t="e">
        <f t="shared" si="193"/>
        <v>#VALUE!</v>
      </c>
      <c r="Y1292">
        <v>11.8</v>
      </c>
      <c r="Z1292" s="154" t="e">
        <f t="shared" si="194"/>
        <v>#VALUE!</v>
      </c>
      <c r="AA1292">
        <v>11.8</v>
      </c>
      <c r="AB1292" s="154" t="e">
        <f t="shared" si="195"/>
        <v>#VALUE!</v>
      </c>
      <c r="AC1292">
        <v>11.8</v>
      </c>
      <c r="AD1292" s="154" t="e">
        <f t="shared" si="196"/>
        <v>#VALUE!</v>
      </c>
      <c r="AE1292">
        <v>11.8</v>
      </c>
    </row>
    <row r="1293" spans="12:31" ht="15" x14ac:dyDescent="0.2">
      <c r="L1293" s="154" t="e">
        <f t="shared" si="187"/>
        <v>#VALUE!</v>
      </c>
      <c r="M1293">
        <v>11.81</v>
      </c>
      <c r="N1293" s="154" t="e">
        <f t="shared" si="188"/>
        <v>#VALUE!</v>
      </c>
      <c r="O1293">
        <v>11.81</v>
      </c>
      <c r="P1293" s="154" t="e">
        <f t="shared" si="189"/>
        <v>#VALUE!</v>
      </c>
      <c r="Q1293">
        <v>11.81</v>
      </c>
      <c r="R1293" s="154" t="e">
        <f t="shared" si="190"/>
        <v>#VALUE!</v>
      </c>
      <c r="S1293">
        <v>11.81</v>
      </c>
      <c r="T1293" s="154" t="e">
        <f t="shared" si="191"/>
        <v>#VALUE!</v>
      </c>
      <c r="U1293">
        <v>11.81</v>
      </c>
      <c r="V1293" s="154" t="e">
        <f t="shared" si="192"/>
        <v>#VALUE!</v>
      </c>
      <c r="W1293">
        <v>11.81</v>
      </c>
      <c r="X1293" s="157" t="e">
        <f t="shared" si="193"/>
        <v>#VALUE!</v>
      </c>
      <c r="Y1293">
        <v>11.81</v>
      </c>
      <c r="Z1293" s="154" t="e">
        <f t="shared" si="194"/>
        <v>#VALUE!</v>
      </c>
      <c r="AA1293">
        <v>11.81</v>
      </c>
      <c r="AB1293" s="154" t="e">
        <f t="shared" si="195"/>
        <v>#VALUE!</v>
      </c>
      <c r="AC1293">
        <v>11.81</v>
      </c>
      <c r="AD1293" s="154" t="e">
        <f t="shared" si="196"/>
        <v>#VALUE!</v>
      </c>
      <c r="AE1293">
        <v>11.81</v>
      </c>
    </row>
    <row r="1294" spans="12:31" ht="15" x14ac:dyDescent="0.2">
      <c r="L1294" s="154" t="e">
        <f t="shared" si="187"/>
        <v>#VALUE!</v>
      </c>
      <c r="M1294">
        <v>11.82</v>
      </c>
      <c r="N1294" s="154" t="e">
        <f t="shared" si="188"/>
        <v>#VALUE!</v>
      </c>
      <c r="O1294">
        <v>11.82</v>
      </c>
      <c r="P1294" s="154" t="e">
        <f t="shared" si="189"/>
        <v>#VALUE!</v>
      </c>
      <c r="Q1294">
        <v>11.82</v>
      </c>
      <c r="R1294" s="154" t="e">
        <f t="shared" si="190"/>
        <v>#VALUE!</v>
      </c>
      <c r="S1294">
        <v>11.82</v>
      </c>
      <c r="T1294" s="154" t="e">
        <f t="shared" si="191"/>
        <v>#VALUE!</v>
      </c>
      <c r="U1294">
        <v>11.82</v>
      </c>
      <c r="V1294" s="154" t="e">
        <f t="shared" si="192"/>
        <v>#VALUE!</v>
      </c>
      <c r="W1294">
        <v>11.82</v>
      </c>
      <c r="X1294" s="157" t="e">
        <f t="shared" si="193"/>
        <v>#VALUE!</v>
      </c>
      <c r="Y1294">
        <v>11.82</v>
      </c>
      <c r="Z1294" s="154" t="e">
        <f t="shared" si="194"/>
        <v>#VALUE!</v>
      </c>
      <c r="AA1294">
        <v>11.82</v>
      </c>
      <c r="AB1294" s="154" t="e">
        <f t="shared" si="195"/>
        <v>#VALUE!</v>
      </c>
      <c r="AC1294">
        <v>11.82</v>
      </c>
      <c r="AD1294" s="154" t="e">
        <f t="shared" si="196"/>
        <v>#VALUE!</v>
      </c>
      <c r="AE1294">
        <v>11.82</v>
      </c>
    </row>
    <row r="1295" spans="12:31" ht="15" x14ac:dyDescent="0.2">
      <c r="L1295" s="154" t="e">
        <f t="shared" si="187"/>
        <v>#VALUE!</v>
      </c>
      <c r="M1295">
        <v>11.83</v>
      </c>
      <c r="N1295" s="154" t="e">
        <f t="shared" si="188"/>
        <v>#VALUE!</v>
      </c>
      <c r="O1295">
        <v>11.83</v>
      </c>
      <c r="P1295" s="154" t="e">
        <f t="shared" si="189"/>
        <v>#VALUE!</v>
      </c>
      <c r="Q1295">
        <v>11.83</v>
      </c>
      <c r="R1295" s="154" t="e">
        <f t="shared" si="190"/>
        <v>#VALUE!</v>
      </c>
      <c r="S1295">
        <v>11.83</v>
      </c>
      <c r="T1295" s="154" t="e">
        <f t="shared" si="191"/>
        <v>#VALUE!</v>
      </c>
      <c r="U1295">
        <v>11.83</v>
      </c>
      <c r="V1295" s="154" t="e">
        <f t="shared" si="192"/>
        <v>#VALUE!</v>
      </c>
      <c r="W1295">
        <v>11.83</v>
      </c>
      <c r="X1295" s="157" t="e">
        <f t="shared" si="193"/>
        <v>#VALUE!</v>
      </c>
      <c r="Y1295">
        <v>11.83</v>
      </c>
      <c r="Z1295" s="154" t="e">
        <f t="shared" si="194"/>
        <v>#VALUE!</v>
      </c>
      <c r="AA1295">
        <v>11.83</v>
      </c>
      <c r="AB1295" s="154" t="e">
        <f t="shared" si="195"/>
        <v>#VALUE!</v>
      </c>
      <c r="AC1295">
        <v>11.83</v>
      </c>
      <c r="AD1295" s="154" t="e">
        <f t="shared" si="196"/>
        <v>#VALUE!</v>
      </c>
      <c r="AE1295">
        <v>11.83</v>
      </c>
    </row>
    <row r="1296" spans="12:31" ht="15" x14ac:dyDescent="0.2">
      <c r="L1296" s="154" t="e">
        <f t="shared" si="187"/>
        <v>#VALUE!</v>
      </c>
      <c r="M1296">
        <v>11.84</v>
      </c>
      <c r="N1296" s="154" t="e">
        <f t="shared" si="188"/>
        <v>#VALUE!</v>
      </c>
      <c r="O1296">
        <v>11.84</v>
      </c>
      <c r="P1296" s="154" t="e">
        <f t="shared" si="189"/>
        <v>#VALUE!</v>
      </c>
      <c r="Q1296">
        <v>11.84</v>
      </c>
      <c r="R1296" s="154" t="e">
        <f t="shared" si="190"/>
        <v>#VALUE!</v>
      </c>
      <c r="S1296">
        <v>11.84</v>
      </c>
      <c r="T1296" s="154" t="e">
        <f t="shared" si="191"/>
        <v>#VALUE!</v>
      </c>
      <c r="U1296">
        <v>11.84</v>
      </c>
      <c r="V1296" s="154" t="e">
        <f t="shared" si="192"/>
        <v>#VALUE!</v>
      </c>
      <c r="W1296">
        <v>11.84</v>
      </c>
      <c r="X1296" s="157" t="e">
        <f t="shared" si="193"/>
        <v>#VALUE!</v>
      </c>
      <c r="Y1296">
        <v>11.84</v>
      </c>
      <c r="Z1296" s="154" t="e">
        <f t="shared" si="194"/>
        <v>#VALUE!</v>
      </c>
      <c r="AA1296">
        <v>11.84</v>
      </c>
      <c r="AB1296" s="154" t="e">
        <f t="shared" si="195"/>
        <v>#VALUE!</v>
      </c>
      <c r="AC1296">
        <v>11.84</v>
      </c>
      <c r="AD1296" s="154" t="e">
        <f t="shared" si="196"/>
        <v>#VALUE!</v>
      </c>
      <c r="AE1296">
        <v>11.84</v>
      </c>
    </row>
    <row r="1297" spans="12:31" ht="15" x14ac:dyDescent="0.2">
      <c r="L1297" s="154" t="e">
        <f t="shared" si="187"/>
        <v>#VALUE!</v>
      </c>
      <c r="M1297">
        <v>11.85</v>
      </c>
      <c r="N1297" s="154" t="e">
        <f t="shared" si="188"/>
        <v>#VALUE!</v>
      </c>
      <c r="O1297">
        <v>11.85</v>
      </c>
      <c r="P1297" s="154" t="e">
        <f t="shared" si="189"/>
        <v>#VALUE!</v>
      </c>
      <c r="Q1297">
        <v>11.85</v>
      </c>
      <c r="R1297" s="154" t="e">
        <f t="shared" si="190"/>
        <v>#VALUE!</v>
      </c>
      <c r="S1297">
        <v>11.85</v>
      </c>
      <c r="T1297" s="154" t="e">
        <f t="shared" si="191"/>
        <v>#VALUE!</v>
      </c>
      <c r="U1297">
        <v>11.85</v>
      </c>
      <c r="V1297" s="154" t="e">
        <f t="shared" si="192"/>
        <v>#VALUE!</v>
      </c>
      <c r="W1297">
        <v>11.85</v>
      </c>
      <c r="X1297" s="157" t="e">
        <f t="shared" si="193"/>
        <v>#VALUE!</v>
      </c>
      <c r="Y1297">
        <v>11.85</v>
      </c>
      <c r="Z1297" s="154" t="e">
        <f t="shared" si="194"/>
        <v>#VALUE!</v>
      </c>
      <c r="AA1297">
        <v>11.85</v>
      </c>
      <c r="AB1297" s="154" t="e">
        <f t="shared" si="195"/>
        <v>#VALUE!</v>
      </c>
      <c r="AC1297">
        <v>11.85</v>
      </c>
      <c r="AD1297" s="154" t="e">
        <f t="shared" si="196"/>
        <v>#VALUE!</v>
      </c>
      <c r="AE1297">
        <v>11.85</v>
      </c>
    </row>
    <row r="1298" spans="12:31" ht="15" x14ac:dyDescent="0.2">
      <c r="L1298" s="154" t="e">
        <f t="shared" si="187"/>
        <v>#VALUE!</v>
      </c>
      <c r="M1298">
        <v>11.86</v>
      </c>
      <c r="N1298" s="154" t="e">
        <f t="shared" si="188"/>
        <v>#VALUE!</v>
      </c>
      <c r="O1298">
        <v>11.86</v>
      </c>
      <c r="P1298" s="154" t="e">
        <f t="shared" si="189"/>
        <v>#VALUE!</v>
      </c>
      <c r="Q1298">
        <v>11.86</v>
      </c>
      <c r="R1298" s="154" t="e">
        <f t="shared" si="190"/>
        <v>#VALUE!</v>
      </c>
      <c r="S1298">
        <v>11.86</v>
      </c>
      <c r="T1298" s="154" t="e">
        <f t="shared" si="191"/>
        <v>#VALUE!</v>
      </c>
      <c r="U1298">
        <v>11.86</v>
      </c>
      <c r="V1298" s="154" t="e">
        <f t="shared" si="192"/>
        <v>#VALUE!</v>
      </c>
      <c r="W1298">
        <v>11.86</v>
      </c>
      <c r="X1298" s="157" t="e">
        <f t="shared" si="193"/>
        <v>#VALUE!</v>
      </c>
      <c r="Y1298">
        <v>11.86</v>
      </c>
      <c r="Z1298" s="154" t="e">
        <f t="shared" si="194"/>
        <v>#VALUE!</v>
      </c>
      <c r="AA1298">
        <v>11.86</v>
      </c>
      <c r="AB1298" s="154" t="e">
        <f t="shared" si="195"/>
        <v>#VALUE!</v>
      </c>
      <c r="AC1298">
        <v>11.86</v>
      </c>
      <c r="AD1298" s="154" t="e">
        <f t="shared" si="196"/>
        <v>#VALUE!</v>
      </c>
      <c r="AE1298">
        <v>11.86</v>
      </c>
    </row>
    <row r="1299" spans="12:31" ht="15" x14ac:dyDescent="0.2">
      <c r="L1299" s="154" t="e">
        <f t="shared" si="187"/>
        <v>#VALUE!</v>
      </c>
      <c r="M1299">
        <v>11.87</v>
      </c>
      <c r="N1299" s="154" t="e">
        <f t="shared" si="188"/>
        <v>#VALUE!</v>
      </c>
      <c r="O1299">
        <v>11.87</v>
      </c>
      <c r="P1299" s="154" t="e">
        <f t="shared" si="189"/>
        <v>#VALUE!</v>
      </c>
      <c r="Q1299">
        <v>11.87</v>
      </c>
      <c r="R1299" s="154" t="e">
        <f t="shared" si="190"/>
        <v>#VALUE!</v>
      </c>
      <c r="S1299">
        <v>11.87</v>
      </c>
      <c r="T1299" s="154" t="e">
        <f t="shared" si="191"/>
        <v>#VALUE!</v>
      </c>
      <c r="U1299">
        <v>11.87</v>
      </c>
      <c r="V1299" s="154" t="e">
        <f t="shared" si="192"/>
        <v>#VALUE!</v>
      </c>
      <c r="W1299">
        <v>11.87</v>
      </c>
      <c r="X1299" s="157" t="e">
        <f t="shared" si="193"/>
        <v>#VALUE!</v>
      </c>
      <c r="Y1299">
        <v>11.87</v>
      </c>
      <c r="Z1299" s="154" t="e">
        <f t="shared" si="194"/>
        <v>#VALUE!</v>
      </c>
      <c r="AA1299">
        <v>11.87</v>
      </c>
      <c r="AB1299" s="154" t="e">
        <f t="shared" si="195"/>
        <v>#VALUE!</v>
      </c>
      <c r="AC1299">
        <v>11.87</v>
      </c>
      <c r="AD1299" s="154" t="e">
        <f t="shared" si="196"/>
        <v>#VALUE!</v>
      </c>
      <c r="AE1299">
        <v>11.87</v>
      </c>
    </row>
    <row r="1300" spans="12:31" ht="15" x14ac:dyDescent="0.2">
      <c r="L1300" s="154" t="e">
        <f t="shared" si="187"/>
        <v>#VALUE!</v>
      </c>
      <c r="M1300">
        <v>11.88</v>
      </c>
      <c r="N1300" s="154" t="e">
        <f t="shared" si="188"/>
        <v>#VALUE!</v>
      </c>
      <c r="O1300">
        <v>11.88</v>
      </c>
      <c r="P1300" s="154" t="e">
        <f t="shared" si="189"/>
        <v>#VALUE!</v>
      </c>
      <c r="Q1300">
        <v>11.88</v>
      </c>
      <c r="R1300" s="154" t="e">
        <f t="shared" si="190"/>
        <v>#VALUE!</v>
      </c>
      <c r="S1300">
        <v>11.88</v>
      </c>
      <c r="T1300" s="154" t="e">
        <f t="shared" si="191"/>
        <v>#VALUE!</v>
      </c>
      <c r="U1300">
        <v>11.88</v>
      </c>
      <c r="V1300" s="154" t="e">
        <f t="shared" si="192"/>
        <v>#VALUE!</v>
      </c>
      <c r="W1300">
        <v>11.88</v>
      </c>
      <c r="X1300" s="157" t="e">
        <f t="shared" si="193"/>
        <v>#VALUE!</v>
      </c>
      <c r="Y1300">
        <v>11.88</v>
      </c>
      <c r="Z1300" s="154" t="e">
        <f t="shared" si="194"/>
        <v>#VALUE!</v>
      </c>
      <c r="AA1300">
        <v>11.88</v>
      </c>
      <c r="AB1300" s="154" t="e">
        <f t="shared" si="195"/>
        <v>#VALUE!</v>
      </c>
      <c r="AC1300">
        <v>11.88</v>
      </c>
      <c r="AD1300" s="154" t="e">
        <f t="shared" si="196"/>
        <v>#VALUE!</v>
      </c>
      <c r="AE1300">
        <v>11.88</v>
      </c>
    </row>
    <row r="1301" spans="12:31" ht="15" x14ac:dyDescent="0.2">
      <c r="L1301" s="154" t="e">
        <f t="shared" si="187"/>
        <v>#VALUE!</v>
      </c>
      <c r="M1301">
        <v>11.89</v>
      </c>
      <c r="N1301" s="154" t="e">
        <f t="shared" si="188"/>
        <v>#VALUE!</v>
      </c>
      <c r="O1301">
        <v>11.89</v>
      </c>
      <c r="P1301" s="154" t="e">
        <f t="shared" si="189"/>
        <v>#VALUE!</v>
      </c>
      <c r="Q1301">
        <v>11.89</v>
      </c>
      <c r="R1301" s="154" t="e">
        <f t="shared" si="190"/>
        <v>#VALUE!</v>
      </c>
      <c r="S1301">
        <v>11.89</v>
      </c>
      <c r="T1301" s="154" t="e">
        <f t="shared" si="191"/>
        <v>#VALUE!</v>
      </c>
      <c r="U1301">
        <v>11.89</v>
      </c>
      <c r="V1301" s="154" t="e">
        <f t="shared" si="192"/>
        <v>#VALUE!</v>
      </c>
      <c r="W1301">
        <v>11.89</v>
      </c>
      <c r="X1301" s="157" t="e">
        <f t="shared" si="193"/>
        <v>#VALUE!</v>
      </c>
      <c r="Y1301">
        <v>11.89</v>
      </c>
      <c r="Z1301" s="154" t="e">
        <f t="shared" si="194"/>
        <v>#VALUE!</v>
      </c>
      <c r="AA1301">
        <v>11.89</v>
      </c>
      <c r="AB1301" s="154" t="e">
        <f t="shared" si="195"/>
        <v>#VALUE!</v>
      </c>
      <c r="AC1301">
        <v>11.89</v>
      </c>
      <c r="AD1301" s="154" t="e">
        <f t="shared" si="196"/>
        <v>#VALUE!</v>
      </c>
      <c r="AE1301">
        <v>11.89</v>
      </c>
    </row>
    <row r="1302" spans="12:31" ht="15" x14ac:dyDescent="0.2">
      <c r="L1302" s="154" t="e">
        <f t="shared" si="187"/>
        <v>#VALUE!</v>
      </c>
      <c r="M1302">
        <v>11.9</v>
      </c>
      <c r="N1302" s="154" t="e">
        <f t="shared" si="188"/>
        <v>#VALUE!</v>
      </c>
      <c r="O1302">
        <v>11.9</v>
      </c>
      <c r="P1302" s="154" t="e">
        <f t="shared" si="189"/>
        <v>#VALUE!</v>
      </c>
      <c r="Q1302">
        <v>11.9</v>
      </c>
      <c r="R1302" s="154" t="e">
        <f t="shared" si="190"/>
        <v>#VALUE!</v>
      </c>
      <c r="S1302">
        <v>11.9</v>
      </c>
      <c r="T1302" s="154" t="e">
        <f t="shared" si="191"/>
        <v>#VALUE!</v>
      </c>
      <c r="U1302">
        <v>11.9</v>
      </c>
      <c r="V1302" s="154" t="e">
        <f t="shared" si="192"/>
        <v>#VALUE!</v>
      </c>
      <c r="W1302">
        <v>11.9</v>
      </c>
      <c r="X1302" s="157" t="e">
        <f t="shared" si="193"/>
        <v>#VALUE!</v>
      </c>
      <c r="Y1302">
        <v>11.9</v>
      </c>
      <c r="Z1302" s="154" t="e">
        <f t="shared" si="194"/>
        <v>#VALUE!</v>
      </c>
      <c r="AA1302">
        <v>11.9</v>
      </c>
      <c r="AB1302" s="154" t="e">
        <f t="shared" si="195"/>
        <v>#VALUE!</v>
      </c>
      <c r="AC1302">
        <v>11.9</v>
      </c>
      <c r="AD1302" s="154" t="e">
        <f t="shared" si="196"/>
        <v>#VALUE!</v>
      </c>
      <c r="AE1302">
        <v>11.9</v>
      </c>
    </row>
    <row r="1303" spans="12:31" ht="15" x14ac:dyDescent="0.2">
      <c r="L1303" s="154" t="e">
        <f t="shared" si="187"/>
        <v>#VALUE!</v>
      </c>
      <c r="M1303">
        <v>11.91</v>
      </c>
      <c r="N1303" s="154" t="e">
        <f t="shared" si="188"/>
        <v>#VALUE!</v>
      </c>
      <c r="O1303">
        <v>11.91</v>
      </c>
      <c r="P1303" s="154" t="e">
        <f t="shared" si="189"/>
        <v>#VALUE!</v>
      </c>
      <c r="Q1303">
        <v>11.91</v>
      </c>
      <c r="R1303" s="154" t="e">
        <f t="shared" si="190"/>
        <v>#VALUE!</v>
      </c>
      <c r="S1303">
        <v>11.91</v>
      </c>
      <c r="T1303" s="154" t="e">
        <f t="shared" si="191"/>
        <v>#VALUE!</v>
      </c>
      <c r="U1303">
        <v>11.91</v>
      </c>
      <c r="V1303" s="154" t="e">
        <f t="shared" si="192"/>
        <v>#VALUE!</v>
      </c>
      <c r="W1303">
        <v>11.91</v>
      </c>
      <c r="X1303" s="157" t="e">
        <f t="shared" si="193"/>
        <v>#VALUE!</v>
      </c>
      <c r="Y1303">
        <v>11.91</v>
      </c>
      <c r="Z1303" s="154" t="e">
        <f t="shared" si="194"/>
        <v>#VALUE!</v>
      </c>
      <c r="AA1303">
        <v>11.91</v>
      </c>
      <c r="AB1303" s="154" t="e">
        <f t="shared" si="195"/>
        <v>#VALUE!</v>
      </c>
      <c r="AC1303">
        <v>11.91</v>
      </c>
      <c r="AD1303" s="154" t="e">
        <f t="shared" si="196"/>
        <v>#VALUE!</v>
      </c>
      <c r="AE1303">
        <v>11.91</v>
      </c>
    </row>
    <row r="1304" spans="12:31" ht="15" x14ac:dyDescent="0.2">
      <c r="L1304" s="154" t="e">
        <f t="shared" si="187"/>
        <v>#VALUE!</v>
      </c>
      <c r="M1304">
        <v>11.92</v>
      </c>
      <c r="N1304" s="154" t="e">
        <f t="shared" si="188"/>
        <v>#VALUE!</v>
      </c>
      <c r="O1304">
        <v>11.92</v>
      </c>
      <c r="P1304" s="154" t="e">
        <f t="shared" si="189"/>
        <v>#VALUE!</v>
      </c>
      <c r="Q1304">
        <v>11.92</v>
      </c>
      <c r="R1304" s="154" t="e">
        <f t="shared" si="190"/>
        <v>#VALUE!</v>
      </c>
      <c r="S1304">
        <v>11.92</v>
      </c>
      <c r="T1304" s="154" t="e">
        <f t="shared" si="191"/>
        <v>#VALUE!</v>
      </c>
      <c r="U1304">
        <v>11.92</v>
      </c>
      <c r="V1304" s="154" t="e">
        <f t="shared" si="192"/>
        <v>#VALUE!</v>
      </c>
      <c r="W1304">
        <v>11.92</v>
      </c>
      <c r="X1304" s="157" t="e">
        <f t="shared" si="193"/>
        <v>#VALUE!</v>
      </c>
      <c r="Y1304">
        <v>11.92</v>
      </c>
      <c r="Z1304" s="154" t="e">
        <f t="shared" si="194"/>
        <v>#VALUE!</v>
      </c>
      <c r="AA1304">
        <v>11.92</v>
      </c>
      <c r="AB1304" s="154" t="e">
        <f t="shared" si="195"/>
        <v>#VALUE!</v>
      </c>
      <c r="AC1304">
        <v>11.92</v>
      </c>
      <c r="AD1304" s="154" t="e">
        <f t="shared" si="196"/>
        <v>#VALUE!</v>
      </c>
      <c r="AE1304">
        <v>11.92</v>
      </c>
    </row>
    <row r="1305" spans="12:31" ht="15" x14ac:dyDescent="0.2">
      <c r="L1305" s="154" t="e">
        <f t="shared" si="187"/>
        <v>#VALUE!</v>
      </c>
      <c r="M1305">
        <v>11.93</v>
      </c>
      <c r="N1305" s="154" t="e">
        <f t="shared" si="188"/>
        <v>#VALUE!</v>
      </c>
      <c r="O1305">
        <v>11.93</v>
      </c>
      <c r="P1305" s="154" t="e">
        <f t="shared" si="189"/>
        <v>#VALUE!</v>
      </c>
      <c r="Q1305">
        <v>11.93</v>
      </c>
      <c r="R1305" s="154" t="e">
        <f t="shared" si="190"/>
        <v>#VALUE!</v>
      </c>
      <c r="S1305">
        <v>11.93</v>
      </c>
      <c r="T1305" s="154" t="e">
        <f t="shared" si="191"/>
        <v>#VALUE!</v>
      </c>
      <c r="U1305">
        <v>11.93</v>
      </c>
      <c r="V1305" s="154" t="e">
        <f t="shared" si="192"/>
        <v>#VALUE!</v>
      </c>
      <c r="W1305">
        <v>11.93</v>
      </c>
      <c r="X1305" s="157" t="e">
        <f t="shared" si="193"/>
        <v>#VALUE!</v>
      </c>
      <c r="Y1305">
        <v>11.93</v>
      </c>
      <c r="Z1305" s="154" t="e">
        <f t="shared" si="194"/>
        <v>#VALUE!</v>
      </c>
      <c r="AA1305">
        <v>11.93</v>
      </c>
      <c r="AB1305" s="154" t="e">
        <f t="shared" si="195"/>
        <v>#VALUE!</v>
      </c>
      <c r="AC1305">
        <v>11.93</v>
      </c>
      <c r="AD1305" s="154" t="e">
        <f t="shared" si="196"/>
        <v>#VALUE!</v>
      </c>
      <c r="AE1305">
        <v>11.93</v>
      </c>
    </row>
    <row r="1306" spans="12:31" ht="15" x14ac:dyDescent="0.2">
      <c r="L1306" s="154" t="e">
        <f t="shared" si="187"/>
        <v>#VALUE!</v>
      </c>
      <c r="M1306">
        <v>11.94</v>
      </c>
      <c r="N1306" s="154" t="e">
        <f t="shared" si="188"/>
        <v>#VALUE!</v>
      </c>
      <c r="O1306">
        <v>11.94</v>
      </c>
      <c r="P1306" s="154" t="e">
        <f t="shared" si="189"/>
        <v>#VALUE!</v>
      </c>
      <c r="Q1306">
        <v>11.94</v>
      </c>
      <c r="R1306" s="154" t="e">
        <f t="shared" si="190"/>
        <v>#VALUE!</v>
      </c>
      <c r="S1306">
        <v>11.94</v>
      </c>
      <c r="T1306" s="154" t="e">
        <f t="shared" si="191"/>
        <v>#VALUE!</v>
      </c>
      <c r="U1306">
        <v>11.94</v>
      </c>
      <c r="V1306" s="154" t="e">
        <f t="shared" si="192"/>
        <v>#VALUE!</v>
      </c>
      <c r="W1306">
        <v>11.94</v>
      </c>
      <c r="X1306" s="157" t="e">
        <f t="shared" si="193"/>
        <v>#VALUE!</v>
      </c>
      <c r="Y1306">
        <v>11.94</v>
      </c>
      <c r="Z1306" s="154" t="e">
        <f t="shared" si="194"/>
        <v>#VALUE!</v>
      </c>
      <c r="AA1306">
        <v>11.94</v>
      </c>
      <c r="AB1306" s="154" t="e">
        <f t="shared" si="195"/>
        <v>#VALUE!</v>
      </c>
      <c r="AC1306">
        <v>11.94</v>
      </c>
      <c r="AD1306" s="154" t="e">
        <f t="shared" si="196"/>
        <v>#VALUE!</v>
      </c>
      <c r="AE1306">
        <v>11.94</v>
      </c>
    </row>
    <row r="1307" spans="12:31" ht="15" x14ac:dyDescent="0.2">
      <c r="L1307" s="154" t="e">
        <f t="shared" si="187"/>
        <v>#VALUE!</v>
      </c>
      <c r="M1307">
        <v>11.95</v>
      </c>
      <c r="N1307" s="154" t="e">
        <f t="shared" si="188"/>
        <v>#VALUE!</v>
      </c>
      <c r="O1307">
        <v>11.95</v>
      </c>
      <c r="P1307" s="154" t="e">
        <f t="shared" si="189"/>
        <v>#VALUE!</v>
      </c>
      <c r="Q1307">
        <v>11.95</v>
      </c>
      <c r="R1307" s="154" t="e">
        <f t="shared" si="190"/>
        <v>#VALUE!</v>
      </c>
      <c r="S1307">
        <v>11.95</v>
      </c>
      <c r="T1307" s="154" t="e">
        <f t="shared" si="191"/>
        <v>#VALUE!</v>
      </c>
      <c r="U1307">
        <v>11.95</v>
      </c>
      <c r="V1307" s="154" t="e">
        <f t="shared" si="192"/>
        <v>#VALUE!</v>
      </c>
      <c r="W1307">
        <v>11.95</v>
      </c>
      <c r="X1307" s="157" t="e">
        <f t="shared" si="193"/>
        <v>#VALUE!</v>
      </c>
      <c r="Y1307">
        <v>11.95</v>
      </c>
      <c r="Z1307" s="154" t="e">
        <f t="shared" si="194"/>
        <v>#VALUE!</v>
      </c>
      <c r="AA1307">
        <v>11.95</v>
      </c>
      <c r="AB1307" s="154" t="e">
        <f t="shared" si="195"/>
        <v>#VALUE!</v>
      </c>
      <c r="AC1307">
        <v>11.95</v>
      </c>
      <c r="AD1307" s="154" t="e">
        <f t="shared" si="196"/>
        <v>#VALUE!</v>
      </c>
      <c r="AE1307">
        <v>11.95</v>
      </c>
    </row>
    <row r="1308" spans="12:31" ht="15" x14ac:dyDescent="0.2">
      <c r="L1308" s="154" t="e">
        <f t="shared" si="187"/>
        <v>#VALUE!</v>
      </c>
      <c r="M1308">
        <v>11.96</v>
      </c>
      <c r="N1308" s="154" t="e">
        <f t="shared" si="188"/>
        <v>#VALUE!</v>
      </c>
      <c r="O1308">
        <v>11.96</v>
      </c>
      <c r="P1308" s="154" t="e">
        <f t="shared" si="189"/>
        <v>#VALUE!</v>
      </c>
      <c r="Q1308">
        <v>11.96</v>
      </c>
      <c r="R1308" s="154" t="e">
        <f t="shared" si="190"/>
        <v>#VALUE!</v>
      </c>
      <c r="S1308">
        <v>11.96</v>
      </c>
      <c r="T1308" s="154" t="e">
        <f t="shared" si="191"/>
        <v>#VALUE!</v>
      </c>
      <c r="U1308">
        <v>11.96</v>
      </c>
      <c r="V1308" s="154" t="e">
        <f t="shared" si="192"/>
        <v>#VALUE!</v>
      </c>
      <c r="W1308">
        <v>11.96</v>
      </c>
      <c r="X1308" s="157" t="e">
        <f t="shared" si="193"/>
        <v>#VALUE!</v>
      </c>
      <c r="Y1308">
        <v>11.96</v>
      </c>
      <c r="Z1308" s="154" t="e">
        <f t="shared" si="194"/>
        <v>#VALUE!</v>
      </c>
      <c r="AA1308">
        <v>11.96</v>
      </c>
      <c r="AB1308" s="154" t="e">
        <f t="shared" si="195"/>
        <v>#VALUE!</v>
      </c>
      <c r="AC1308">
        <v>11.96</v>
      </c>
      <c r="AD1308" s="154" t="e">
        <f t="shared" si="196"/>
        <v>#VALUE!</v>
      </c>
      <c r="AE1308">
        <v>11.96</v>
      </c>
    </row>
    <row r="1309" spans="12:31" ht="15" x14ac:dyDescent="0.2">
      <c r="L1309" s="154" t="e">
        <f t="shared" si="187"/>
        <v>#VALUE!</v>
      </c>
      <c r="M1309">
        <v>11.97</v>
      </c>
      <c r="N1309" s="154" t="e">
        <f t="shared" si="188"/>
        <v>#VALUE!</v>
      </c>
      <c r="O1309">
        <v>11.97</v>
      </c>
      <c r="P1309" s="154" t="e">
        <f t="shared" si="189"/>
        <v>#VALUE!</v>
      </c>
      <c r="Q1309">
        <v>11.97</v>
      </c>
      <c r="R1309" s="154" t="e">
        <f t="shared" si="190"/>
        <v>#VALUE!</v>
      </c>
      <c r="S1309">
        <v>11.97</v>
      </c>
      <c r="T1309" s="154" t="e">
        <f t="shared" si="191"/>
        <v>#VALUE!</v>
      </c>
      <c r="U1309">
        <v>11.97</v>
      </c>
      <c r="V1309" s="154" t="e">
        <f t="shared" si="192"/>
        <v>#VALUE!</v>
      </c>
      <c r="W1309">
        <v>11.97</v>
      </c>
      <c r="X1309" s="157" t="e">
        <f t="shared" si="193"/>
        <v>#VALUE!</v>
      </c>
      <c r="Y1309">
        <v>11.97</v>
      </c>
      <c r="Z1309" s="154" t="e">
        <f t="shared" si="194"/>
        <v>#VALUE!</v>
      </c>
      <c r="AA1309">
        <v>11.97</v>
      </c>
      <c r="AB1309" s="154" t="e">
        <f t="shared" si="195"/>
        <v>#VALUE!</v>
      </c>
      <c r="AC1309">
        <v>11.97</v>
      </c>
      <c r="AD1309" s="154" t="e">
        <f t="shared" si="196"/>
        <v>#VALUE!</v>
      </c>
      <c r="AE1309">
        <v>11.97</v>
      </c>
    </row>
    <row r="1310" spans="12:31" ht="15" x14ac:dyDescent="0.2">
      <c r="L1310" s="154" t="e">
        <f t="shared" si="187"/>
        <v>#VALUE!</v>
      </c>
      <c r="M1310">
        <v>11.98</v>
      </c>
      <c r="N1310" s="154" t="e">
        <f t="shared" si="188"/>
        <v>#VALUE!</v>
      </c>
      <c r="O1310">
        <v>11.98</v>
      </c>
      <c r="P1310" s="154" t="e">
        <f t="shared" si="189"/>
        <v>#VALUE!</v>
      </c>
      <c r="Q1310">
        <v>11.98</v>
      </c>
      <c r="R1310" s="154" t="e">
        <f t="shared" si="190"/>
        <v>#VALUE!</v>
      </c>
      <c r="S1310">
        <v>11.98</v>
      </c>
      <c r="T1310" s="154" t="e">
        <f t="shared" si="191"/>
        <v>#VALUE!</v>
      </c>
      <c r="U1310">
        <v>11.98</v>
      </c>
      <c r="V1310" s="154" t="e">
        <f t="shared" si="192"/>
        <v>#VALUE!</v>
      </c>
      <c r="W1310">
        <v>11.98</v>
      </c>
      <c r="X1310" s="157" t="e">
        <f t="shared" si="193"/>
        <v>#VALUE!</v>
      </c>
      <c r="Y1310">
        <v>11.98</v>
      </c>
      <c r="Z1310" s="154" t="e">
        <f t="shared" si="194"/>
        <v>#VALUE!</v>
      </c>
      <c r="AA1310">
        <v>11.98</v>
      </c>
      <c r="AB1310" s="154" t="e">
        <f t="shared" si="195"/>
        <v>#VALUE!</v>
      </c>
      <c r="AC1310">
        <v>11.98</v>
      </c>
      <c r="AD1310" s="154" t="e">
        <f t="shared" si="196"/>
        <v>#VALUE!</v>
      </c>
      <c r="AE1310">
        <v>11.98</v>
      </c>
    </row>
    <row r="1311" spans="12:31" ht="15" x14ac:dyDescent="0.2">
      <c r="L1311" s="154" t="e">
        <f t="shared" si="187"/>
        <v>#VALUE!</v>
      </c>
      <c r="M1311">
        <v>11.99</v>
      </c>
      <c r="N1311" s="154" t="e">
        <f t="shared" si="188"/>
        <v>#VALUE!</v>
      </c>
      <c r="O1311">
        <v>11.99</v>
      </c>
      <c r="P1311" s="154" t="e">
        <f t="shared" si="189"/>
        <v>#VALUE!</v>
      </c>
      <c r="Q1311">
        <v>11.99</v>
      </c>
      <c r="R1311" s="154" t="e">
        <f t="shared" si="190"/>
        <v>#VALUE!</v>
      </c>
      <c r="S1311">
        <v>11.99</v>
      </c>
      <c r="T1311" s="154" t="e">
        <f t="shared" si="191"/>
        <v>#VALUE!</v>
      </c>
      <c r="U1311">
        <v>11.99</v>
      </c>
      <c r="V1311" s="154" t="e">
        <f t="shared" si="192"/>
        <v>#VALUE!</v>
      </c>
      <c r="W1311">
        <v>11.99</v>
      </c>
      <c r="X1311" s="157" t="e">
        <f t="shared" si="193"/>
        <v>#VALUE!</v>
      </c>
      <c r="Y1311">
        <v>11.99</v>
      </c>
      <c r="Z1311" s="154" t="e">
        <f t="shared" si="194"/>
        <v>#VALUE!</v>
      </c>
      <c r="AA1311">
        <v>11.99</v>
      </c>
      <c r="AB1311" s="154" t="e">
        <f t="shared" si="195"/>
        <v>#VALUE!</v>
      </c>
      <c r="AC1311">
        <v>11.99</v>
      </c>
      <c r="AD1311" s="154" t="e">
        <f t="shared" si="196"/>
        <v>#VALUE!</v>
      </c>
      <c r="AE1311">
        <v>11.99</v>
      </c>
    </row>
    <row r="1312" spans="12:31" ht="15" x14ac:dyDescent="0.2">
      <c r="L1312" s="154" t="e">
        <f t="shared" si="187"/>
        <v>#VALUE!</v>
      </c>
      <c r="M1312">
        <v>12</v>
      </c>
      <c r="N1312" s="154" t="e">
        <f t="shared" si="188"/>
        <v>#VALUE!</v>
      </c>
      <c r="O1312">
        <v>12</v>
      </c>
      <c r="P1312" s="154" t="e">
        <f t="shared" si="189"/>
        <v>#VALUE!</v>
      </c>
      <c r="Q1312">
        <v>12</v>
      </c>
      <c r="R1312" s="154" t="e">
        <f t="shared" si="190"/>
        <v>#VALUE!</v>
      </c>
      <c r="S1312">
        <v>12</v>
      </c>
      <c r="T1312" s="154" t="e">
        <f t="shared" si="191"/>
        <v>#VALUE!</v>
      </c>
      <c r="U1312">
        <v>12</v>
      </c>
      <c r="V1312" s="154" t="e">
        <f t="shared" si="192"/>
        <v>#VALUE!</v>
      </c>
      <c r="W1312">
        <v>12</v>
      </c>
      <c r="X1312" s="157" t="e">
        <f t="shared" si="193"/>
        <v>#VALUE!</v>
      </c>
      <c r="Y1312">
        <v>12</v>
      </c>
      <c r="Z1312" s="154" t="e">
        <f t="shared" si="194"/>
        <v>#VALUE!</v>
      </c>
      <c r="AA1312">
        <v>12</v>
      </c>
      <c r="AB1312" s="154" t="e">
        <f t="shared" si="195"/>
        <v>#VALUE!</v>
      </c>
      <c r="AC1312">
        <v>12</v>
      </c>
      <c r="AD1312" s="154" t="e">
        <f t="shared" si="196"/>
        <v>#VALUE!</v>
      </c>
      <c r="AE1312">
        <v>12</v>
      </c>
    </row>
    <row r="1313" spans="12:31" ht="15" x14ac:dyDescent="0.2">
      <c r="L1313" s="154" t="e">
        <f t="shared" si="187"/>
        <v>#VALUE!</v>
      </c>
      <c r="M1313">
        <v>12.01</v>
      </c>
      <c r="N1313" s="154" t="e">
        <f t="shared" si="188"/>
        <v>#VALUE!</v>
      </c>
      <c r="O1313">
        <v>12.01</v>
      </c>
      <c r="P1313" s="154" t="e">
        <f t="shared" si="189"/>
        <v>#VALUE!</v>
      </c>
      <c r="Q1313">
        <v>12.01</v>
      </c>
      <c r="R1313" s="154" t="e">
        <f t="shared" si="190"/>
        <v>#VALUE!</v>
      </c>
      <c r="S1313">
        <v>12.01</v>
      </c>
      <c r="T1313" s="154" t="e">
        <f t="shared" si="191"/>
        <v>#VALUE!</v>
      </c>
      <c r="U1313">
        <v>12.01</v>
      </c>
      <c r="V1313" s="154" t="e">
        <f t="shared" si="192"/>
        <v>#VALUE!</v>
      </c>
      <c r="W1313">
        <v>12.01</v>
      </c>
      <c r="X1313" s="157" t="e">
        <f t="shared" si="193"/>
        <v>#VALUE!</v>
      </c>
      <c r="Y1313">
        <v>12.01</v>
      </c>
      <c r="Z1313" s="154" t="e">
        <f t="shared" si="194"/>
        <v>#VALUE!</v>
      </c>
      <c r="AA1313">
        <v>12.01</v>
      </c>
      <c r="AB1313" s="154" t="e">
        <f t="shared" si="195"/>
        <v>#VALUE!</v>
      </c>
      <c r="AC1313">
        <v>12.01</v>
      </c>
      <c r="AD1313" s="154" t="e">
        <f t="shared" si="196"/>
        <v>#VALUE!</v>
      </c>
      <c r="AE1313">
        <v>12.01</v>
      </c>
    </row>
    <row r="1314" spans="12:31" ht="15" x14ac:dyDescent="0.2">
      <c r="L1314" s="154" t="e">
        <f t="shared" si="187"/>
        <v>#VALUE!</v>
      </c>
      <c r="M1314">
        <v>12.02</v>
      </c>
      <c r="N1314" s="154" t="e">
        <f t="shared" si="188"/>
        <v>#VALUE!</v>
      </c>
      <c r="O1314">
        <v>12.02</v>
      </c>
      <c r="P1314" s="154" t="e">
        <f t="shared" si="189"/>
        <v>#VALUE!</v>
      </c>
      <c r="Q1314">
        <v>12.02</v>
      </c>
      <c r="R1314" s="154" t="e">
        <f t="shared" si="190"/>
        <v>#VALUE!</v>
      </c>
      <c r="S1314">
        <v>12.02</v>
      </c>
      <c r="T1314" s="154" t="e">
        <f t="shared" si="191"/>
        <v>#VALUE!</v>
      </c>
      <c r="U1314">
        <v>12.02</v>
      </c>
      <c r="V1314" s="154" t="e">
        <f t="shared" si="192"/>
        <v>#VALUE!</v>
      </c>
      <c r="W1314">
        <v>12.02</v>
      </c>
      <c r="X1314" s="157" t="e">
        <f t="shared" si="193"/>
        <v>#VALUE!</v>
      </c>
      <c r="Y1314">
        <v>12.02</v>
      </c>
      <c r="Z1314" s="154" t="e">
        <f t="shared" si="194"/>
        <v>#VALUE!</v>
      </c>
      <c r="AA1314">
        <v>12.02</v>
      </c>
      <c r="AB1314" s="154" t="e">
        <f t="shared" si="195"/>
        <v>#VALUE!</v>
      </c>
      <c r="AC1314">
        <v>12.02</v>
      </c>
      <c r="AD1314" s="154" t="e">
        <f t="shared" si="196"/>
        <v>#VALUE!</v>
      </c>
      <c r="AE1314">
        <v>12.02</v>
      </c>
    </row>
    <row r="1315" spans="12:31" ht="15" x14ac:dyDescent="0.2">
      <c r="L1315" s="154" t="e">
        <f t="shared" si="187"/>
        <v>#VALUE!</v>
      </c>
      <c r="M1315">
        <v>12.03</v>
      </c>
      <c r="N1315" s="154" t="e">
        <f t="shared" si="188"/>
        <v>#VALUE!</v>
      </c>
      <c r="O1315">
        <v>12.03</v>
      </c>
      <c r="P1315" s="154" t="e">
        <f t="shared" si="189"/>
        <v>#VALUE!</v>
      </c>
      <c r="Q1315">
        <v>12.03</v>
      </c>
      <c r="R1315" s="154" t="e">
        <f t="shared" si="190"/>
        <v>#VALUE!</v>
      </c>
      <c r="S1315">
        <v>12.03</v>
      </c>
      <c r="T1315" s="154" t="e">
        <f t="shared" si="191"/>
        <v>#VALUE!</v>
      </c>
      <c r="U1315">
        <v>12.03</v>
      </c>
      <c r="V1315" s="154" t="e">
        <f t="shared" si="192"/>
        <v>#VALUE!</v>
      </c>
      <c r="W1315">
        <v>12.03</v>
      </c>
      <c r="X1315" s="157" t="e">
        <f t="shared" si="193"/>
        <v>#VALUE!</v>
      </c>
      <c r="Y1315">
        <v>12.03</v>
      </c>
      <c r="Z1315" s="154" t="e">
        <f t="shared" si="194"/>
        <v>#VALUE!</v>
      </c>
      <c r="AA1315">
        <v>12.03</v>
      </c>
      <c r="AB1315" s="154" t="e">
        <f t="shared" si="195"/>
        <v>#VALUE!</v>
      </c>
      <c r="AC1315">
        <v>12.03</v>
      </c>
      <c r="AD1315" s="154" t="e">
        <f t="shared" si="196"/>
        <v>#VALUE!</v>
      </c>
      <c r="AE1315">
        <v>12.03</v>
      </c>
    </row>
    <row r="1316" spans="12:31" ht="15" x14ac:dyDescent="0.2">
      <c r="L1316" s="154" t="e">
        <f t="shared" si="187"/>
        <v>#VALUE!</v>
      </c>
      <c r="M1316">
        <v>12.04</v>
      </c>
      <c r="N1316" s="154" t="e">
        <f t="shared" si="188"/>
        <v>#VALUE!</v>
      </c>
      <c r="O1316">
        <v>12.04</v>
      </c>
      <c r="P1316" s="154" t="e">
        <f t="shared" si="189"/>
        <v>#VALUE!</v>
      </c>
      <c r="Q1316">
        <v>12.04</v>
      </c>
      <c r="R1316" s="154" t="e">
        <f t="shared" si="190"/>
        <v>#VALUE!</v>
      </c>
      <c r="S1316">
        <v>12.04</v>
      </c>
      <c r="T1316" s="154" t="e">
        <f t="shared" si="191"/>
        <v>#VALUE!</v>
      </c>
      <c r="U1316">
        <v>12.04</v>
      </c>
      <c r="V1316" s="154" t="e">
        <f t="shared" si="192"/>
        <v>#VALUE!</v>
      </c>
      <c r="W1316">
        <v>12.04</v>
      </c>
      <c r="X1316" s="157" t="e">
        <f t="shared" si="193"/>
        <v>#VALUE!</v>
      </c>
      <c r="Y1316">
        <v>12.04</v>
      </c>
      <c r="Z1316" s="154" t="e">
        <f t="shared" si="194"/>
        <v>#VALUE!</v>
      </c>
      <c r="AA1316">
        <v>12.04</v>
      </c>
      <c r="AB1316" s="154" t="e">
        <f t="shared" si="195"/>
        <v>#VALUE!</v>
      </c>
      <c r="AC1316">
        <v>12.04</v>
      </c>
      <c r="AD1316" s="154" t="e">
        <f t="shared" si="196"/>
        <v>#VALUE!</v>
      </c>
      <c r="AE1316">
        <v>12.04</v>
      </c>
    </row>
    <row r="1317" spans="12:31" ht="15" x14ac:dyDescent="0.2">
      <c r="L1317" s="154" t="e">
        <f t="shared" si="187"/>
        <v>#VALUE!</v>
      </c>
      <c r="M1317">
        <v>12.05</v>
      </c>
      <c r="N1317" s="154" t="e">
        <f t="shared" si="188"/>
        <v>#VALUE!</v>
      </c>
      <c r="O1317">
        <v>12.05</v>
      </c>
      <c r="P1317" s="154" t="e">
        <f t="shared" si="189"/>
        <v>#VALUE!</v>
      </c>
      <c r="Q1317">
        <v>12.05</v>
      </c>
      <c r="R1317" s="154" t="e">
        <f t="shared" si="190"/>
        <v>#VALUE!</v>
      </c>
      <c r="S1317">
        <v>12.05</v>
      </c>
      <c r="T1317" s="154" t="e">
        <f t="shared" si="191"/>
        <v>#VALUE!</v>
      </c>
      <c r="U1317">
        <v>12.05</v>
      </c>
      <c r="V1317" s="154" t="e">
        <f t="shared" si="192"/>
        <v>#VALUE!</v>
      </c>
      <c r="W1317">
        <v>12.05</v>
      </c>
      <c r="X1317" s="157" t="e">
        <f t="shared" si="193"/>
        <v>#VALUE!</v>
      </c>
      <c r="Y1317">
        <v>12.05</v>
      </c>
      <c r="Z1317" s="154" t="e">
        <f t="shared" si="194"/>
        <v>#VALUE!</v>
      </c>
      <c r="AA1317">
        <v>12.05</v>
      </c>
      <c r="AB1317" s="154" t="e">
        <f t="shared" si="195"/>
        <v>#VALUE!</v>
      </c>
      <c r="AC1317">
        <v>12.05</v>
      </c>
      <c r="AD1317" s="154" t="e">
        <f t="shared" si="196"/>
        <v>#VALUE!</v>
      </c>
      <c r="AE1317">
        <v>12.05</v>
      </c>
    </row>
    <row r="1318" spans="12:31" ht="15" x14ac:dyDescent="0.2">
      <c r="L1318" s="154" t="e">
        <f t="shared" si="187"/>
        <v>#VALUE!</v>
      </c>
      <c r="M1318">
        <v>12.06</v>
      </c>
      <c r="N1318" s="154" t="e">
        <f t="shared" si="188"/>
        <v>#VALUE!</v>
      </c>
      <c r="O1318">
        <v>12.06</v>
      </c>
      <c r="P1318" s="154" t="e">
        <f t="shared" si="189"/>
        <v>#VALUE!</v>
      </c>
      <c r="Q1318">
        <v>12.06</v>
      </c>
      <c r="R1318" s="154" t="e">
        <f t="shared" si="190"/>
        <v>#VALUE!</v>
      </c>
      <c r="S1318">
        <v>12.06</v>
      </c>
      <c r="T1318" s="154" t="e">
        <f t="shared" si="191"/>
        <v>#VALUE!</v>
      </c>
      <c r="U1318">
        <v>12.06</v>
      </c>
      <c r="V1318" s="154" t="e">
        <f t="shared" si="192"/>
        <v>#VALUE!</v>
      </c>
      <c r="W1318">
        <v>12.06</v>
      </c>
      <c r="X1318" s="157" t="e">
        <f t="shared" si="193"/>
        <v>#VALUE!</v>
      </c>
      <c r="Y1318">
        <v>12.06</v>
      </c>
      <c r="Z1318" s="154" t="e">
        <f t="shared" si="194"/>
        <v>#VALUE!</v>
      </c>
      <c r="AA1318">
        <v>12.06</v>
      </c>
      <c r="AB1318" s="154" t="e">
        <f t="shared" si="195"/>
        <v>#VALUE!</v>
      </c>
      <c r="AC1318">
        <v>12.06</v>
      </c>
      <c r="AD1318" s="154" t="e">
        <f t="shared" si="196"/>
        <v>#VALUE!</v>
      </c>
      <c r="AE1318">
        <v>12.06</v>
      </c>
    </row>
    <row r="1319" spans="12:31" ht="15" x14ac:dyDescent="0.2">
      <c r="L1319" s="154" t="e">
        <f t="shared" si="187"/>
        <v>#VALUE!</v>
      </c>
      <c r="M1319">
        <v>12.07</v>
      </c>
      <c r="N1319" s="154" t="e">
        <f t="shared" si="188"/>
        <v>#VALUE!</v>
      </c>
      <c r="O1319">
        <v>12.07</v>
      </c>
      <c r="P1319" s="154" t="e">
        <f t="shared" si="189"/>
        <v>#VALUE!</v>
      </c>
      <c r="Q1319">
        <v>12.07</v>
      </c>
      <c r="R1319" s="154" t="e">
        <f t="shared" si="190"/>
        <v>#VALUE!</v>
      </c>
      <c r="S1319">
        <v>12.07</v>
      </c>
      <c r="T1319" s="154" t="e">
        <f t="shared" si="191"/>
        <v>#VALUE!</v>
      </c>
      <c r="U1319">
        <v>12.07</v>
      </c>
      <c r="V1319" s="154" t="e">
        <f t="shared" si="192"/>
        <v>#VALUE!</v>
      </c>
      <c r="W1319">
        <v>12.07</v>
      </c>
      <c r="X1319" s="157" t="e">
        <f t="shared" si="193"/>
        <v>#VALUE!</v>
      </c>
      <c r="Y1319">
        <v>12.07</v>
      </c>
      <c r="Z1319" s="154" t="e">
        <f t="shared" si="194"/>
        <v>#VALUE!</v>
      </c>
      <c r="AA1319">
        <v>12.07</v>
      </c>
      <c r="AB1319" s="154" t="e">
        <f t="shared" si="195"/>
        <v>#VALUE!</v>
      </c>
      <c r="AC1319">
        <v>12.07</v>
      </c>
      <c r="AD1319" s="154" t="e">
        <f t="shared" si="196"/>
        <v>#VALUE!</v>
      </c>
      <c r="AE1319">
        <v>12.07</v>
      </c>
    </row>
    <row r="1320" spans="12:31" ht="15" x14ac:dyDescent="0.2">
      <c r="L1320" s="154" t="e">
        <f t="shared" si="187"/>
        <v>#VALUE!</v>
      </c>
      <c r="M1320">
        <v>12.08</v>
      </c>
      <c r="N1320" s="154" t="e">
        <f t="shared" si="188"/>
        <v>#VALUE!</v>
      </c>
      <c r="O1320">
        <v>12.08</v>
      </c>
      <c r="P1320" s="154" t="e">
        <f t="shared" si="189"/>
        <v>#VALUE!</v>
      </c>
      <c r="Q1320">
        <v>12.08</v>
      </c>
      <c r="R1320" s="154" t="e">
        <f t="shared" si="190"/>
        <v>#VALUE!</v>
      </c>
      <c r="S1320">
        <v>12.08</v>
      </c>
      <c r="T1320" s="154" t="e">
        <f t="shared" si="191"/>
        <v>#VALUE!</v>
      </c>
      <c r="U1320">
        <v>12.08</v>
      </c>
      <c r="V1320" s="154" t="e">
        <f t="shared" si="192"/>
        <v>#VALUE!</v>
      </c>
      <c r="W1320">
        <v>12.08</v>
      </c>
      <c r="X1320" s="157" t="e">
        <f t="shared" si="193"/>
        <v>#VALUE!</v>
      </c>
      <c r="Y1320">
        <v>12.08</v>
      </c>
      <c r="Z1320" s="154" t="e">
        <f t="shared" si="194"/>
        <v>#VALUE!</v>
      </c>
      <c r="AA1320">
        <v>12.08</v>
      </c>
      <c r="AB1320" s="154" t="e">
        <f t="shared" si="195"/>
        <v>#VALUE!</v>
      </c>
      <c r="AC1320">
        <v>12.08</v>
      </c>
      <c r="AD1320" s="154" t="e">
        <f t="shared" si="196"/>
        <v>#VALUE!</v>
      </c>
      <c r="AE1320">
        <v>12.08</v>
      </c>
    </row>
    <row r="1321" spans="12:31" ht="15" x14ac:dyDescent="0.2">
      <c r="L1321" s="154" t="e">
        <f t="shared" si="187"/>
        <v>#VALUE!</v>
      </c>
      <c r="M1321">
        <v>12.09</v>
      </c>
      <c r="N1321" s="154" t="e">
        <f t="shared" si="188"/>
        <v>#VALUE!</v>
      </c>
      <c r="O1321">
        <v>12.09</v>
      </c>
      <c r="P1321" s="154" t="e">
        <f t="shared" si="189"/>
        <v>#VALUE!</v>
      </c>
      <c r="Q1321">
        <v>12.09</v>
      </c>
      <c r="R1321" s="154" t="e">
        <f t="shared" si="190"/>
        <v>#VALUE!</v>
      </c>
      <c r="S1321">
        <v>12.09</v>
      </c>
      <c r="T1321" s="154" t="e">
        <f t="shared" si="191"/>
        <v>#VALUE!</v>
      </c>
      <c r="U1321">
        <v>12.09</v>
      </c>
      <c r="V1321" s="154" t="e">
        <f t="shared" si="192"/>
        <v>#VALUE!</v>
      </c>
      <c r="W1321">
        <v>12.09</v>
      </c>
      <c r="X1321" s="157" t="e">
        <f t="shared" si="193"/>
        <v>#VALUE!</v>
      </c>
      <c r="Y1321">
        <v>12.09</v>
      </c>
      <c r="Z1321" s="154" t="e">
        <f t="shared" si="194"/>
        <v>#VALUE!</v>
      </c>
      <c r="AA1321">
        <v>12.09</v>
      </c>
      <c r="AB1321" s="154" t="e">
        <f t="shared" si="195"/>
        <v>#VALUE!</v>
      </c>
      <c r="AC1321">
        <v>12.09</v>
      </c>
      <c r="AD1321" s="154" t="e">
        <f t="shared" si="196"/>
        <v>#VALUE!</v>
      </c>
      <c r="AE1321">
        <v>12.09</v>
      </c>
    </row>
    <row r="1322" spans="12:31" ht="15" x14ac:dyDescent="0.2">
      <c r="L1322" s="154" t="e">
        <f t="shared" si="187"/>
        <v>#VALUE!</v>
      </c>
      <c r="M1322">
        <v>12.1</v>
      </c>
      <c r="N1322" s="154" t="e">
        <f t="shared" si="188"/>
        <v>#VALUE!</v>
      </c>
      <c r="O1322">
        <v>12.1</v>
      </c>
      <c r="P1322" s="154" t="e">
        <f t="shared" si="189"/>
        <v>#VALUE!</v>
      </c>
      <c r="Q1322">
        <v>12.1</v>
      </c>
      <c r="R1322" s="154" t="e">
        <f t="shared" si="190"/>
        <v>#VALUE!</v>
      </c>
      <c r="S1322">
        <v>12.1</v>
      </c>
      <c r="T1322" s="154" t="e">
        <f t="shared" si="191"/>
        <v>#VALUE!</v>
      </c>
      <c r="U1322">
        <v>12.1</v>
      </c>
      <c r="V1322" s="154" t="e">
        <f t="shared" si="192"/>
        <v>#VALUE!</v>
      </c>
      <c r="W1322">
        <v>12.1</v>
      </c>
      <c r="X1322" s="157" t="e">
        <f t="shared" si="193"/>
        <v>#VALUE!</v>
      </c>
      <c r="Y1322">
        <v>12.1</v>
      </c>
      <c r="Z1322" s="154" t="e">
        <f t="shared" si="194"/>
        <v>#VALUE!</v>
      </c>
      <c r="AA1322">
        <v>12.1</v>
      </c>
      <c r="AB1322" s="154" t="e">
        <f t="shared" si="195"/>
        <v>#VALUE!</v>
      </c>
      <c r="AC1322">
        <v>12.1</v>
      </c>
      <c r="AD1322" s="154" t="e">
        <f t="shared" si="196"/>
        <v>#VALUE!</v>
      </c>
      <c r="AE1322">
        <v>12.1</v>
      </c>
    </row>
    <row r="1323" spans="12:31" ht="15" x14ac:dyDescent="0.2">
      <c r="L1323" s="154" t="e">
        <f t="shared" si="187"/>
        <v>#VALUE!</v>
      </c>
      <c r="M1323">
        <v>12.11</v>
      </c>
      <c r="N1323" s="154" t="e">
        <f t="shared" si="188"/>
        <v>#VALUE!</v>
      </c>
      <c r="O1323">
        <v>12.11</v>
      </c>
      <c r="P1323" s="154" t="e">
        <f t="shared" si="189"/>
        <v>#VALUE!</v>
      </c>
      <c r="Q1323">
        <v>12.11</v>
      </c>
      <c r="R1323" s="154" t="e">
        <f t="shared" si="190"/>
        <v>#VALUE!</v>
      </c>
      <c r="S1323">
        <v>12.11</v>
      </c>
      <c r="T1323" s="154" t="e">
        <f t="shared" si="191"/>
        <v>#VALUE!</v>
      </c>
      <c r="U1323">
        <v>12.11</v>
      </c>
      <c r="V1323" s="154" t="e">
        <f t="shared" si="192"/>
        <v>#VALUE!</v>
      </c>
      <c r="W1323">
        <v>12.11</v>
      </c>
      <c r="X1323" s="157" t="e">
        <f t="shared" si="193"/>
        <v>#VALUE!</v>
      </c>
      <c r="Y1323">
        <v>12.11</v>
      </c>
      <c r="Z1323" s="154" t="e">
        <f t="shared" si="194"/>
        <v>#VALUE!</v>
      </c>
      <c r="AA1323">
        <v>12.11</v>
      </c>
      <c r="AB1323" s="154" t="e">
        <f t="shared" si="195"/>
        <v>#VALUE!</v>
      </c>
      <c r="AC1323">
        <v>12.11</v>
      </c>
      <c r="AD1323" s="154" t="e">
        <f t="shared" si="196"/>
        <v>#VALUE!</v>
      </c>
      <c r="AE1323">
        <v>12.11</v>
      </c>
    </row>
    <row r="1324" spans="12:31" ht="15" x14ac:dyDescent="0.2">
      <c r="L1324" s="154" t="e">
        <f t="shared" si="187"/>
        <v>#VALUE!</v>
      </c>
      <c r="M1324">
        <v>12.12</v>
      </c>
      <c r="N1324" s="154" t="e">
        <f t="shared" si="188"/>
        <v>#VALUE!</v>
      </c>
      <c r="O1324">
        <v>12.12</v>
      </c>
      <c r="P1324" s="154" t="e">
        <f t="shared" si="189"/>
        <v>#VALUE!</v>
      </c>
      <c r="Q1324">
        <v>12.12</v>
      </c>
      <c r="R1324" s="154" t="e">
        <f t="shared" si="190"/>
        <v>#VALUE!</v>
      </c>
      <c r="S1324">
        <v>12.12</v>
      </c>
      <c r="T1324" s="154" t="e">
        <f t="shared" si="191"/>
        <v>#VALUE!</v>
      </c>
      <c r="U1324">
        <v>12.12</v>
      </c>
      <c r="V1324" s="154" t="e">
        <f t="shared" si="192"/>
        <v>#VALUE!</v>
      </c>
      <c r="W1324">
        <v>12.12</v>
      </c>
      <c r="X1324" s="157" t="e">
        <f t="shared" si="193"/>
        <v>#VALUE!</v>
      </c>
      <c r="Y1324">
        <v>12.12</v>
      </c>
      <c r="Z1324" s="154" t="e">
        <f t="shared" si="194"/>
        <v>#VALUE!</v>
      </c>
      <c r="AA1324">
        <v>12.12</v>
      </c>
      <c r="AB1324" s="154" t="e">
        <f t="shared" si="195"/>
        <v>#VALUE!</v>
      </c>
      <c r="AC1324">
        <v>12.12</v>
      </c>
      <c r="AD1324" s="154" t="e">
        <f t="shared" si="196"/>
        <v>#VALUE!</v>
      </c>
      <c r="AE1324">
        <v>12.12</v>
      </c>
    </row>
    <row r="1325" spans="12:31" ht="15" x14ac:dyDescent="0.2">
      <c r="L1325" s="154" t="e">
        <f t="shared" si="187"/>
        <v>#VALUE!</v>
      </c>
      <c r="M1325">
        <v>12.13</v>
      </c>
      <c r="N1325" s="154" t="e">
        <f t="shared" si="188"/>
        <v>#VALUE!</v>
      </c>
      <c r="O1325">
        <v>12.13</v>
      </c>
      <c r="P1325" s="154" t="e">
        <f t="shared" si="189"/>
        <v>#VALUE!</v>
      </c>
      <c r="Q1325">
        <v>12.13</v>
      </c>
      <c r="R1325" s="154" t="e">
        <f t="shared" si="190"/>
        <v>#VALUE!</v>
      </c>
      <c r="S1325">
        <v>12.13</v>
      </c>
      <c r="T1325" s="154" t="e">
        <f t="shared" si="191"/>
        <v>#VALUE!</v>
      </c>
      <c r="U1325">
        <v>12.13</v>
      </c>
      <c r="V1325" s="154" t="e">
        <f t="shared" si="192"/>
        <v>#VALUE!</v>
      </c>
      <c r="W1325">
        <v>12.13</v>
      </c>
      <c r="X1325" s="157" t="e">
        <f t="shared" si="193"/>
        <v>#VALUE!</v>
      </c>
      <c r="Y1325">
        <v>12.13</v>
      </c>
      <c r="Z1325" s="154" t="e">
        <f t="shared" si="194"/>
        <v>#VALUE!</v>
      </c>
      <c r="AA1325">
        <v>12.13</v>
      </c>
      <c r="AB1325" s="154" t="e">
        <f t="shared" si="195"/>
        <v>#VALUE!</v>
      </c>
      <c r="AC1325">
        <v>12.13</v>
      </c>
      <c r="AD1325" s="154" t="e">
        <f t="shared" si="196"/>
        <v>#VALUE!</v>
      </c>
      <c r="AE1325">
        <v>12.13</v>
      </c>
    </row>
    <row r="1326" spans="12:31" ht="15" x14ac:dyDescent="0.2">
      <c r="L1326" s="154" t="e">
        <f t="shared" si="187"/>
        <v>#VALUE!</v>
      </c>
      <c r="M1326">
        <v>12.14</v>
      </c>
      <c r="N1326" s="154" t="e">
        <f t="shared" si="188"/>
        <v>#VALUE!</v>
      </c>
      <c r="O1326">
        <v>12.14</v>
      </c>
      <c r="P1326" s="154" t="e">
        <f t="shared" si="189"/>
        <v>#VALUE!</v>
      </c>
      <c r="Q1326">
        <v>12.14</v>
      </c>
      <c r="R1326" s="154" t="e">
        <f t="shared" si="190"/>
        <v>#VALUE!</v>
      </c>
      <c r="S1326">
        <v>12.14</v>
      </c>
      <c r="T1326" s="154" t="e">
        <f t="shared" si="191"/>
        <v>#VALUE!</v>
      </c>
      <c r="U1326">
        <v>12.14</v>
      </c>
      <c r="V1326" s="154" t="e">
        <f t="shared" si="192"/>
        <v>#VALUE!</v>
      </c>
      <c r="W1326">
        <v>12.14</v>
      </c>
      <c r="X1326" s="157" t="e">
        <f t="shared" si="193"/>
        <v>#VALUE!</v>
      </c>
      <c r="Y1326">
        <v>12.14</v>
      </c>
      <c r="Z1326" s="154" t="e">
        <f t="shared" si="194"/>
        <v>#VALUE!</v>
      </c>
      <c r="AA1326">
        <v>12.14</v>
      </c>
      <c r="AB1326" s="154" t="e">
        <f t="shared" si="195"/>
        <v>#VALUE!</v>
      </c>
      <c r="AC1326">
        <v>12.14</v>
      </c>
      <c r="AD1326" s="154" t="e">
        <f t="shared" si="196"/>
        <v>#VALUE!</v>
      </c>
      <c r="AE1326">
        <v>12.14</v>
      </c>
    </row>
    <row r="1327" spans="12:31" ht="15" x14ac:dyDescent="0.2">
      <c r="L1327" s="154" t="e">
        <f t="shared" si="187"/>
        <v>#VALUE!</v>
      </c>
      <c r="M1327">
        <v>12.15</v>
      </c>
      <c r="N1327" s="154" t="e">
        <f t="shared" si="188"/>
        <v>#VALUE!</v>
      </c>
      <c r="O1327">
        <v>12.15</v>
      </c>
      <c r="P1327" s="154" t="e">
        <f t="shared" si="189"/>
        <v>#VALUE!</v>
      </c>
      <c r="Q1327">
        <v>12.15</v>
      </c>
      <c r="R1327" s="154" t="e">
        <f t="shared" si="190"/>
        <v>#VALUE!</v>
      </c>
      <c r="S1327">
        <v>12.15</v>
      </c>
      <c r="T1327" s="154" t="e">
        <f t="shared" si="191"/>
        <v>#VALUE!</v>
      </c>
      <c r="U1327">
        <v>12.15</v>
      </c>
      <c r="V1327" s="154" t="e">
        <f t="shared" si="192"/>
        <v>#VALUE!</v>
      </c>
      <c r="W1327">
        <v>12.15</v>
      </c>
      <c r="X1327" s="157" t="e">
        <f t="shared" si="193"/>
        <v>#VALUE!</v>
      </c>
      <c r="Y1327">
        <v>12.15</v>
      </c>
      <c r="Z1327" s="154" t="e">
        <f t="shared" si="194"/>
        <v>#VALUE!</v>
      </c>
      <c r="AA1327">
        <v>12.15</v>
      </c>
      <c r="AB1327" s="154" t="e">
        <f t="shared" si="195"/>
        <v>#VALUE!</v>
      </c>
      <c r="AC1327">
        <v>12.15</v>
      </c>
      <c r="AD1327" s="154" t="e">
        <f t="shared" si="196"/>
        <v>#VALUE!</v>
      </c>
      <c r="AE1327">
        <v>12.15</v>
      </c>
    </row>
    <row r="1328" spans="12:31" ht="15" x14ac:dyDescent="0.2">
      <c r="L1328" s="154" t="e">
        <f t="shared" si="187"/>
        <v>#VALUE!</v>
      </c>
      <c r="M1328">
        <v>12.16</v>
      </c>
      <c r="N1328" s="154" t="e">
        <f t="shared" si="188"/>
        <v>#VALUE!</v>
      </c>
      <c r="O1328">
        <v>12.16</v>
      </c>
      <c r="P1328" s="154" t="e">
        <f t="shared" si="189"/>
        <v>#VALUE!</v>
      </c>
      <c r="Q1328">
        <v>12.16</v>
      </c>
      <c r="R1328" s="154" t="e">
        <f t="shared" si="190"/>
        <v>#VALUE!</v>
      </c>
      <c r="S1328">
        <v>12.16</v>
      </c>
      <c r="T1328" s="154" t="e">
        <f t="shared" si="191"/>
        <v>#VALUE!</v>
      </c>
      <c r="U1328">
        <v>12.16</v>
      </c>
      <c r="V1328" s="154" t="e">
        <f t="shared" si="192"/>
        <v>#VALUE!</v>
      </c>
      <c r="W1328">
        <v>12.16</v>
      </c>
      <c r="X1328" s="157" t="e">
        <f t="shared" si="193"/>
        <v>#VALUE!</v>
      </c>
      <c r="Y1328">
        <v>12.16</v>
      </c>
      <c r="Z1328" s="154" t="e">
        <f t="shared" si="194"/>
        <v>#VALUE!</v>
      </c>
      <c r="AA1328">
        <v>12.16</v>
      </c>
      <c r="AB1328" s="154" t="e">
        <f t="shared" si="195"/>
        <v>#VALUE!</v>
      </c>
      <c r="AC1328">
        <v>12.16</v>
      </c>
      <c r="AD1328" s="154" t="e">
        <f t="shared" si="196"/>
        <v>#VALUE!</v>
      </c>
      <c r="AE1328">
        <v>12.16</v>
      </c>
    </row>
    <row r="1329" spans="12:31" ht="15" x14ac:dyDescent="0.2">
      <c r="L1329" s="154" t="e">
        <f t="shared" ref="L1329:L1392" si="197">((1.486/$D$33)*((((PI()*($D$46/12)^2)/4)-((($D$46/12)/2)^2*((2*ACOS(((($D$46/12)/2)-(($D$46/12)-(M1329/12)))/(($D$46/12)/2)))-SIN(2*ACOS(((($D$46/12)/2)-(($D$46/12)-(M1329/12)))/(($D$46/12)/2))))/2))/((PI()*($D$46/12))-((2*ACOS(((($D$46/12)/2)-(($D$46/12)-(M1329/12)))/(($D$46/12)/2)))*(($D$46/12)/2))))^(2/3)*$H$17^0.5)*(((PI()*($D$46/12)^2)/4)-((($D$46/12)/2)^2*((2*ACOS(((($D$46/12)/2)-(($D$46/12)-(M1329/12)))/(($D$46/12)/2)))-SIN(2*ACOS(((($D$46/12)/2)-(($D$46/12)-(M1329/12)))/(($D$46/12)/2))))/2))</f>
        <v>#VALUE!</v>
      </c>
      <c r="M1329">
        <v>12.17</v>
      </c>
      <c r="N1329" s="154" t="e">
        <f t="shared" ref="N1329:N1392" si="198">((1.486/$D$34)*((((PI()*($D$47/12)^2)/4)-((($D$47/12)/2)^2*((2*ACOS(((($D$47/12)/2)-(($D$47/12)-(O1329/12)))/(($D$47/12)/2)))-SIN(2*ACOS(((($D$47/12)/2)-(($D$47/12)-(O1329/12)))/(($D$47/12)/2))))/2))/((PI()*($D$47/12))-((2*ACOS(((($D$47/12)/2)-(($D$47/12)-(O1329/12)))/(($D$47/12)/2)))*(($D$47/12)/2))))^(2/3)*$H$18^0.5)*(((PI()*($D$47/12)^2)/4)-((($D$47/12)/2)^2*((2*ACOS(((($D$47/12)/2)-(($D$47/12)-(O1329/12)))/(($D$47/12)/2)))-SIN(2*ACOS(((($D$47/12)/2)-(($D$47/12)-(O1329/12)))/(($D$47/12)/2))))/2))</f>
        <v>#VALUE!</v>
      </c>
      <c r="O1329">
        <v>12.17</v>
      </c>
      <c r="P1329" s="154" t="e">
        <f t="shared" ref="P1329:P1392" si="199">((1.486/$D$35)*((((PI()*($D$48/12)^2)/4)-((($D$48/12)/2)^2*((2*ACOS(((($D$48/12)/2)-(($D$48/12)-(Q1329/12)))/(($D$48/12)/2)))-SIN(2*ACOS(((($D$48/12)/2)-(($D$48/12)-(Q1329/12)))/(($D$48/12)/2))))/2))/((PI()*($D$48/12))-((2*ACOS(((($D$48/12)/2)-(($D$48/12)-(Q1329/12)))/(($D$48/12)/2)))*(($D$48/12)/2))))^(2/3)*$H$19^0.5)*(((PI()*($D$48/12)^2)/4)-((($D$48/12)/2)^2*((2*ACOS(((($D$48/12)/2)-(($D$48/12)-(Q1329/12)))/(($D$48/12)/2)))-SIN(2*ACOS(((($D$48/12)/2)-(($D$48/12)-(Q1329/12)))/(($D$48/12)/2))))/2))</f>
        <v>#VALUE!</v>
      </c>
      <c r="Q1329">
        <v>12.17</v>
      </c>
      <c r="R1329" s="154" t="e">
        <f t="shared" ref="R1329:R1392" si="200">((1.486/$D$36)*((((PI()*($D$49/12)^2)/4)-((($D$49/12)/2)^2*((2*ACOS(((($D$49/12)/2)-(($D$49/12)-(S1329/12)))/(($D$49/12)/2)))-SIN(2*ACOS(((($D$49/12)/2)-(($D$49/12)-(S1329/12)))/(($D$49/12)/2))))/2))/((PI()*($D$49/12))-((2*ACOS(((($D$49/12)/2)-(($D$49/12)-(S1329/12)))/(($D$49/12)/2)))*(($D$49/12)/2))))^(2/3)*$H$20^0.5)*(((PI()*($D$49/12)^2)/4)-((($D$49/12)/2)^2*((2*ACOS(((($D$49/12)/2)-(($D$49/12)-(S1329/12)))/(($D$49/12)/2)))-SIN(2*ACOS(((($D$49/12)/2)-(($D$49/12)-(S1329/12)))/(($D$49/12)/2))))/2))</f>
        <v>#VALUE!</v>
      </c>
      <c r="S1329">
        <v>12.17</v>
      </c>
      <c r="T1329" s="154" t="e">
        <f t="shared" ref="T1329:T1392" si="201">((1.486/$D$37)*((((PI()*($D$50/12)^2)/4)-((($D$50/12)/2)^2*((2*ACOS(((($D$50/12)/2)-(($D$50/12)-(U1329/12)))/(($D$50/12)/2)))-SIN(2*ACOS(((($D$50/12)/2)-(($D$50/12)-(U1329/12)))/(($D$50/12)/2))))/2))/((PI()*($D$50/12))-((2*ACOS(((($D$50/12)/2)-(($D$50/12)-(U1329/12)))/(($D$50/12)/2)))*(($D$50/12)/2))))^(2/3)*$H$21^0.5)*(((PI()*($D$50/12)^2)/4)-((($D$50/12)/2)^2*((2*ACOS(((($D$50/12)/2)-(($D$50/12)-(U1329/12)))/(($D$50/12)/2)))-SIN(2*ACOS(((($D$50/12)/2)-(($D$50/12)-(U1329/12)))/(($D$50/12)/2))))/2))</f>
        <v>#VALUE!</v>
      </c>
      <c r="U1329">
        <v>12.17</v>
      </c>
      <c r="V1329" s="154" t="e">
        <f t="shared" ref="V1329:V1392" si="202">((1.486/$D$38)*((((PI()*($D$51/12)^2)/4)-((($D$51/12)/2)^2*((2*ACOS(((($D$51/12)/2)-(($D$51/12)-(W1329/12)))/(($D$51/12)/2)))-SIN(2*ACOS(((($D$51/12)/2)-(($D$51/12)-(W1329/12)))/(($D$51/12)/2))))/2))/((PI()*($D$51/12))-((2*ACOS(((($D$51/12)/2)-(($D$51/12)-(W1329/12)))/(($D$51/12)/2)))*(($D$51/12)/2))))^(2/3)*$H$22^0.5)*(((PI()*($D$51/12)^2)/4)-((($D$51/12)/2)^2*((2*ACOS(((($D$51/12)/2)-(($D$51/12)-(W1329/12)))/(($D$51/12)/2)))-SIN(2*ACOS(((($D$51/12)/2)-(($D$51/12)-(W1329/12)))/(($D$51/12)/2))))/2))</f>
        <v>#VALUE!</v>
      </c>
      <c r="W1329">
        <v>12.17</v>
      </c>
      <c r="X1329" s="157" t="e">
        <f t="shared" ref="X1329:X1392" si="203">((1.486/$D$39)*((((PI()*($D$52/12)^2)/4)-((($D$52/12)/2)^2*((2*ACOS(((($D$52/12)/2)-(($D$52/12)-(Y1329/12)))/(($D$52/12)/2)))-SIN(2*ACOS(((($D$52/12)/2)-(($D$52/12)-(Y1329/12)))/(($D$52/12)/2))))/2))/((PI()*($D$52/12))-((2*ACOS(((($D$52/12)/2)-(($D$52/12)-(Y1329/12)))/(($D$52/12)/2)))*(($D$52/12)/2))))^(2/3)*$H$23^0.5)*(((PI()*($D$52/12)^2)/4)-((($D$52/12)/2)^2*((2*ACOS(((($D$52/12)/2)-(($D$52/12)-(Y1329/12)))/(($D$52/12)/2)))-SIN(2*ACOS(((($D$52/12)/2)-(($D$52/12)-(Y1329/12)))/(($D$52/12)/2))))/2))</f>
        <v>#VALUE!</v>
      </c>
      <c r="Y1329">
        <v>12.17</v>
      </c>
      <c r="Z1329" s="154" t="e">
        <f t="shared" ref="Z1329:Z1392" si="204">((1.486/$D$40)*((((PI()*($D$53/12)^2)/4)-((($D$53/12)/2)^2*((2*ACOS(((($D$53/12)/2)-(($D$53/12)-(AA1329/12)))/(($D$53/12)/2)))-SIN(2*ACOS(((($D$53/12)/2)-(($D$53/12)-(AA1329/12)))/(($D$53/12)/2))))/2))/((PI()*($D$53/12))-((2*ACOS(((($D$53/12)/2)-(($D$53/12)-(AA1329/12)))/(($D$53/12)/2)))*(($D$53/12)/2))))^(2/3)*$H$24^0.5)*(((PI()*($D$53/12)^2)/4)-((($D$53/12)/2)^2*((2*ACOS(((($D$53/12)/2)-(($D$53/12)-(AA1329/12)))/(($D$53/12)/2)))-SIN(2*ACOS(((($D$53/12)/2)-(($D$53/12)-(AA1329/12)))/(($D$53/12)/2))))/2))</f>
        <v>#VALUE!</v>
      </c>
      <c r="AA1329">
        <v>12.17</v>
      </c>
      <c r="AB1329" s="154" t="e">
        <f t="shared" ref="AB1329:AB1392" si="205">((1.486/$D$41)*((((PI()*($D$54/12)^2)/4)-((($D$54/12)/2)^2*((2*ACOS(((($D$54/12)/2)-(($D$54/12)-(AC1329/12)))/(($D$54/12)/2)))-SIN(2*ACOS(((($D$54/12)/2)-(($D$54/12)-(AC1329/12)))/(($D$54/12)/2))))/2))/((PI()*($D$54/12))-((2*ACOS(((($D$54/12)/2)-(($D$54/12)-(AC1329/12)))/(($D$54/12)/2)))*(($D$54/12)/2))))^(2/3)*$H$25^0.5)*(((PI()*($D$54/12)^2)/4)-((($D$54/12)/2)^2*((2*ACOS(((($D$54/12)/2)-(($D$54/12)-(AC1329/12)))/(($D$54/12)/2)))-SIN(2*ACOS(((($D$54/12)/2)-(($D$54/12)-(AC1329/12)))/(($D$54/12)/2))))/2))</f>
        <v>#VALUE!</v>
      </c>
      <c r="AC1329">
        <v>12.17</v>
      </c>
      <c r="AD1329" s="154" t="e">
        <f t="shared" ref="AD1329:AD1392" si="206">((1.486/$D$42)*((((PI()*($D$55/12)^2)/4)-((($D$55/12)/2)^2*((2*ACOS(((($D$55/12)/2)-(($D$55/12)-(AE1329/12)))/(($D$55/12)/2)))-SIN(2*ACOS(((($D$55/12)/2)-(($D$55/12)-(AE1329/12)))/(($D$55/12)/2))))/2))/((PI()*($D$55/12))-((2*ACOS(((($D$55/12)/2)-(($D$55/12)-(AE1329/12)))/(($D$55/12)/2)))*(($D$55/12)/2))))^(2/3)*$H$26^0.5)*(((PI()*($D$55/12)^2)/4)-((($D$55/12)/2)^2*((2*ACOS(((($D$55/12)/2)-(($D$55/12)-(AE1329/12)))/(($D$55/12)/2)))-SIN(2*ACOS(((($D$55/12)/2)-(($D$55/12)-(AE1329/12)))/(($D$55/12)/2))))/2))</f>
        <v>#VALUE!</v>
      </c>
      <c r="AE1329">
        <v>12.17</v>
      </c>
    </row>
    <row r="1330" spans="12:31" ht="15" x14ac:dyDescent="0.2">
      <c r="L1330" s="154" t="e">
        <f t="shared" si="197"/>
        <v>#VALUE!</v>
      </c>
      <c r="M1330">
        <v>12.18</v>
      </c>
      <c r="N1330" s="154" t="e">
        <f t="shared" si="198"/>
        <v>#VALUE!</v>
      </c>
      <c r="O1330">
        <v>12.18</v>
      </c>
      <c r="P1330" s="154" t="e">
        <f t="shared" si="199"/>
        <v>#VALUE!</v>
      </c>
      <c r="Q1330">
        <v>12.18</v>
      </c>
      <c r="R1330" s="154" t="e">
        <f t="shared" si="200"/>
        <v>#VALUE!</v>
      </c>
      <c r="S1330">
        <v>12.18</v>
      </c>
      <c r="T1330" s="154" t="e">
        <f t="shared" si="201"/>
        <v>#VALUE!</v>
      </c>
      <c r="U1330">
        <v>12.18</v>
      </c>
      <c r="V1330" s="154" t="e">
        <f t="shared" si="202"/>
        <v>#VALUE!</v>
      </c>
      <c r="W1330">
        <v>12.18</v>
      </c>
      <c r="X1330" s="157" t="e">
        <f t="shared" si="203"/>
        <v>#VALUE!</v>
      </c>
      <c r="Y1330">
        <v>12.18</v>
      </c>
      <c r="Z1330" s="154" t="e">
        <f t="shared" si="204"/>
        <v>#VALUE!</v>
      </c>
      <c r="AA1330">
        <v>12.18</v>
      </c>
      <c r="AB1330" s="154" t="e">
        <f t="shared" si="205"/>
        <v>#VALUE!</v>
      </c>
      <c r="AC1330">
        <v>12.18</v>
      </c>
      <c r="AD1330" s="154" t="e">
        <f t="shared" si="206"/>
        <v>#VALUE!</v>
      </c>
      <c r="AE1330">
        <v>12.18</v>
      </c>
    </row>
    <row r="1331" spans="12:31" ht="15" x14ac:dyDescent="0.2">
      <c r="L1331" s="154" t="e">
        <f t="shared" si="197"/>
        <v>#VALUE!</v>
      </c>
      <c r="M1331">
        <v>12.19</v>
      </c>
      <c r="N1331" s="154" t="e">
        <f t="shared" si="198"/>
        <v>#VALUE!</v>
      </c>
      <c r="O1331">
        <v>12.19</v>
      </c>
      <c r="P1331" s="154" t="e">
        <f t="shared" si="199"/>
        <v>#VALUE!</v>
      </c>
      <c r="Q1331">
        <v>12.19</v>
      </c>
      <c r="R1331" s="154" t="e">
        <f t="shared" si="200"/>
        <v>#VALUE!</v>
      </c>
      <c r="S1331">
        <v>12.19</v>
      </c>
      <c r="T1331" s="154" t="e">
        <f t="shared" si="201"/>
        <v>#VALUE!</v>
      </c>
      <c r="U1331">
        <v>12.19</v>
      </c>
      <c r="V1331" s="154" t="e">
        <f t="shared" si="202"/>
        <v>#VALUE!</v>
      </c>
      <c r="W1331">
        <v>12.19</v>
      </c>
      <c r="X1331" s="157" t="e">
        <f t="shared" si="203"/>
        <v>#VALUE!</v>
      </c>
      <c r="Y1331">
        <v>12.19</v>
      </c>
      <c r="Z1331" s="154" t="e">
        <f t="shared" si="204"/>
        <v>#VALUE!</v>
      </c>
      <c r="AA1331">
        <v>12.19</v>
      </c>
      <c r="AB1331" s="154" t="e">
        <f t="shared" si="205"/>
        <v>#VALUE!</v>
      </c>
      <c r="AC1331">
        <v>12.19</v>
      </c>
      <c r="AD1331" s="154" t="e">
        <f t="shared" si="206"/>
        <v>#VALUE!</v>
      </c>
      <c r="AE1331">
        <v>12.19</v>
      </c>
    </row>
    <row r="1332" spans="12:31" ht="15" x14ac:dyDescent="0.2">
      <c r="L1332" s="154" t="e">
        <f t="shared" si="197"/>
        <v>#VALUE!</v>
      </c>
      <c r="M1332">
        <v>12.2</v>
      </c>
      <c r="N1332" s="154" t="e">
        <f t="shared" si="198"/>
        <v>#VALUE!</v>
      </c>
      <c r="O1332">
        <v>12.2</v>
      </c>
      <c r="P1332" s="154" t="e">
        <f t="shared" si="199"/>
        <v>#VALUE!</v>
      </c>
      <c r="Q1332">
        <v>12.2</v>
      </c>
      <c r="R1332" s="154" t="e">
        <f t="shared" si="200"/>
        <v>#VALUE!</v>
      </c>
      <c r="S1332">
        <v>12.2</v>
      </c>
      <c r="T1332" s="154" t="e">
        <f t="shared" si="201"/>
        <v>#VALUE!</v>
      </c>
      <c r="U1332">
        <v>12.2</v>
      </c>
      <c r="V1332" s="154" t="e">
        <f t="shared" si="202"/>
        <v>#VALUE!</v>
      </c>
      <c r="W1332">
        <v>12.2</v>
      </c>
      <c r="X1332" s="157" t="e">
        <f t="shared" si="203"/>
        <v>#VALUE!</v>
      </c>
      <c r="Y1332">
        <v>12.2</v>
      </c>
      <c r="Z1332" s="154" t="e">
        <f t="shared" si="204"/>
        <v>#VALUE!</v>
      </c>
      <c r="AA1332">
        <v>12.2</v>
      </c>
      <c r="AB1332" s="154" t="e">
        <f t="shared" si="205"/>
        <v>#VALUE!</v>
      </c>
      <c r="AC1332">
        <v>12.2</v>
      </c>
      <c r="AD1332" s="154" t="e">
        <f t="shared" si="206"/>
        <v>#VALUE!</v>
      </c>
      <c r="AE1332">
        <v>12.2</v>
      </c>
    </row>
    <row r="1333" spans="12:31" ht="15" x14ac:dyDescent="0.2">
      <c r="L1333" s="154" t="e">
        <f t="shared" si="197"/>
        <v>#VALUE!</v>
      </c>
      <c r="M1333">
        <v>12.21</v>
      </c>
      <c r="N1333" s="154" t="e">
        <f t="shared" si="198"/>
        <v>#VALUE!</v>
      </c>
      <c r="O1333">
        <v>12.21</v>
      </c>
      <c r="P1333" s="154" t="e">
        <f t="shared" si="199"/>
        <v>#VALUE!</v>
      </c>
      <c r="Q1333">
        <v>12.21</v>
      </c>
      <c r="R1333" s="154" t="e">
        <f t="shared" si="200"/>
        <v>#VALUE!</v>
      </c>
      <c r="S1333">
        <v>12.21</v>
      </c>
      <c r="T1333" s="154" t="e">
        <f t="shared" si="201"/>
        <v>#VALUE!</v>
      </c>
      <c r="U1333">
        <v>12.21</v>
      </c>
      <c r="V1333" s="154" t="e">
        <f t="shared" si="202"/>
        <v>#VALUE!</v>
      </c>
      <c r="W1333">
        <v>12.21</v>
      </c>
      <c r="X1333" s="157" t="e">
        <f t="shared" si="203"/>
        <v>#VALUE!</v>
      </c>
      <c r="Y1333">
        <v>12.21</v>
      </c>
      <c r="Z1333" s="154" t="e">
        <f t="shared" si="204"/>
        <v>#VALUE!</v>
      </c>
      <c r="AA1333">
        <v>12.21</v>
      </c>
      <c r="AB1333" s="154" t="e">
        <f t="shared" si="205"/>
        <v>#VALUE!</v>
      </c>
      <c r="AC1333">
        <v>12.21</v>
      </c>
      <c r="AD1333" s="154" t="e">
        <f t="shared" si="206"/>
        <v>#VALUE!</v>
      </c>
      <c r="AE1333">
        <v>12.21</v>
      </c>
    </row>
    <row r="1334" spans="12:31" ht="15" x14ac:dyDescent="0.2">
      <c r="L1334" s="154" t="e">
        <f t="shared" si="197"/>
        <v>#VALUE!</v>
      </c>
      <c r="M1334">
        <v>12.22</v>
      </c>
      <c r="N1334" s="154" t="e">
        <f t="shared" si="198"/>
        <v>#VALUE!</v>
      </c>
      <c r="O1334">
        <v>12.22</v>
      </c>
      <c r="P1334" s="154" t="e">
        <f t="shared" si="199"/>
        <v>#VALUE!</v>
      </c>
      <c r="Q1334">
        <v>12.22</v>
      </c>
      <c r="R1334" s="154" t="e">
        <f t="shared" si="200"/>
        <v>#VALUE!</v>
      </c>
      <c r="S1334">
        <v>12.22</v>
      </c>
      <c r="T1334" s="154" t="e">
        <f t="shared" si="201"/>
        <v>#VALUE!</v>
      </c>
      <c r="U1334">
        <v>12.22</v>
      </c>
      <c r="V1334" s="154" t="e">
        <f t="shared" si="202"/>
        <v>#VALUE!</v>
      </c>
      <c r="W1334">
        <v>12.22</v>
      </c>
      <c r="X1334" s="157" t="e">
        <f t="shared" si="203"/>
        <v>#VALUE!</v>
      </c>
      <c r="Y1334">
        <v>12.22</v>
      </c>
      <c r="Z1334" s="154" t="e">
        <f t="shared" si="204"/>
        <v>#VALUE!</v>
      </c>
      <c r="AA1334">
        <v>12.22</v>
      </c>
      <c r="AB1334" s="154" t="e">
        <f t="shared" si="205"/>
        <v>#VALUE!</v>
      </c>
      <c r="AC1334">
        <v>12.22</v>
      </c>
      <c r="AD1334" s="154" t="e">
        <f t="shared" si="206"/>
        <v>#VALUE!</v>
      </c>
      <c r="AE1334">
        <v>12.22</v>
      </c>
    </row>
    <row r="1335" spans="12:31" ht="15" x14ac:dyDescent="0.2">
      <c r="L1335" s="154" t="e">
        <f t="shared" si="197"/>
        <v>#VALUE!</v>
      </c>
      <c r="M1335">
        <v>12.23</v>
      </c>
      <c r="N1335" s="154" t="e">
        <f t="shared" si="198"/>
        <v>#VALUE!</v>
      </c>
      <c r="O1335">
        <v>12.23</v>
      </c>
      <c r="P1335" s="154" t="e">
        <f t="shared" si="199"/>
        <v>#VALUE!</v>
      </c>
      <c r="Q1335">
        <v>12.23</v>
      </c>
      <c r="R1335" s="154" t="e">
        <f t="shared" si="200"/>
        <v>#VALUE!</v>
      </c>
      <c r="S1335">
        <v>12.23</v>
      </c>
      <c r="T1335" s="154" t="e">
        <f t="shared" si="201"/>
        <v>#VALUE!</v>
      </c>
      <c r="U1335">
        <v>12.23</v>
      </c>
      <c r="V1335" s="154" t="e">
        <f t="shared" si="202"/>
        <v>#VALUE!</v>
      </c>
      <c r="W1335">
        <v>12.23</v>
      </c>
      <c r="X1335" s="157" t="e">
        <f t="shared" si="203"/>
        <v>#VALUE!</v>
      </c>
      <c r="Y1335">
        <v>12.23</v>
      </c>
      <c r="Z1335" s="154" t="e">
        <f t="shared" si="204"/>
        <v>#VALUE!</v>
      </c>
      <c r="AA1335">
        <v>12.23</v>
      </c>
      <c r="AB1335" s="154" t="e">
        <f t="shared" si="205"/>
        <v>#VALUE!</v>
      </c>
      <c r="AC1335">
        <v>12.23</v>
      </c>
      <c r="AD1335" s="154" t="e">
        <f t="shared" si="206"/>
        <v>#VALUE!</v>
      </c>
      <c r="AE1335">
        <v>12.23</v>
      </c>
    </row>
    <row r="1336" spans="12:31" ht="15" x14ac:dyDescent="0.2">
      <c r="L1336" s="154" t="e">
        <f t="shared" si="197"/>
        <v>#VALUE!</v>
      </c>
      <c r="M1336">
        <v>12.24</v>
      </c>
      <c r="N1336" s="154" t="e">
        <f t="shared" si="198"/>
        <v>#VALUE!</v>
      </c>
      <c r="O1336">
        <v>12.24</v>
      </c>
      <c r="P1336" s="154" t="e">
        <f t="shared" si="199"/>
        <v>#VALUE!</v>
      </c>
      <c r="Q1336">
        <v>12.24</v>
      </c>
      <c r="R1336" s="154" t="e">
        <f t="shared" si="200"/>
        <v>#VALUE!</v>
      </c>
      <c r="S1336">
        <v>12.24</v>
      </c>
      <c r="T1336" s="154" t="e">
        <f t="shared" si="201"/>
        <v>#VALUE!</v>
      </c>
      <c r="U1336">
        <v>12.24</v>
      </c>
      <c r="V1336" s="154" t="e">
        <f t="shared" si="202"/>
        <v>#VALUE!</v>
      </c>
      <c r="W1336">
        <v>12.24</v>
      </c>
      <c r="X1336" s="157" t="e">
        <f t="shared" si="203"/>
        <v>#VALUE!</v>
      </c>
      <c r="Y1336">
        <v>12.24</v>
      </c>
      <c r="Z1336" s="154" t="e">
        <f t="shared" si="204"/>
        <v>#VALUE!</v>
      </c>
      <c r="AA1336">
        <v>12.24</v>
      </c>
      <c r="AB1336" s="154" t="e">
        <f t="shared" si="205"/>
        <v>#VALUE!</v>
      </c>
      <c r="AC1336">
        <v>12.24</v>
      </c>
      <c r="AD1336" s="154" t="e">
        <f t="shared" si="206"/>
        <v>#VALUE!</v>
      </c>
      <c r="AE1336">
        <v>12.24</v>
      </c>
    </row>
    <row r="1337" spans="12:31" ht="15" x14ac:dyDescent="0.2">
      <c r="L1337" s="154" t="e">
        <f t="shared" si="197"/>
        <v>#VALUE!</v>
      </c>
      <c r="M1337">
        <v>12.25</v>
      </c>
      <c r="N1337" s="154" t="e">
        <f t="shared" si="198"/>
        <v>#VALUE!</v>
      </c>
      <c r="O1337">
        <v>12.25</v>
      </c>
      <c r="P1337" s="154" t="e">
        <f t="shared" si="199"/>
        <v>#VALUE!</v>
      </c>
      <c r="Q1337">
        <v>12.25</v>
      </c>
      <c r="R1337" s="154" t="e">
        <f t="shared" si="200"/>
        <v>#VALUE!</v>
      </c>
      <c r="S1337">
        <v>12.25</v>
      </c>
      <c r="T1337" s="154" t="e">
        <f t="shared" si="201"/>
        <v>#VALUE!</v>
      </c>
      <c r="U1337">
        <v>12.25</v>
      </c>
      <c r="V1337" s="154" t="e">
        <f t="shared" si="202"/>
        <v>#VALUE!</v>
      </c>
      <c r="W1337">
        <v>12.25</v>
      </c>
      <c r="X1337" s="157" t="e">
        <f t="shared" si="203"/>
        <v>#VALUE!</v>
      </c>
      <c r="Y1337">
        <v>12.25</v>
      </c>
      <c r="Z1337" s="154" t="e">
        <f t="shared" si="204"/>
        <v>#VALUE!</v>
      </c>
      <c r="AA1337">
        <v>12.25</v>
      </c>
      <c r="AB1337" s="154" t="e">
        <f t="shared" si="205"/>
        <v>#VALUE!</v>
      </c>
      <c r="AC1337">
        <v>12.25</v>
      </c>
      <c r="AD1337" s="154" t="e">
        <f t="shared" si="206"/>
        <v>#VALUE!</v>
      </c>
      <c r="AE1337">
        <v>12.25</v>
      </c>
    </row>
    <row r="1338" spans="12:31" ht="15" x14ac:dyDescent="0.2">
      <c r="L1338" s="154" t="e">
        <f t="shared" si="197"/>
        <v>#VALUE!</v>
      </c>
      <c r="M1338">
        <v>12.26</v>
      </c>
      <c r="N1338" s="154" t="e">
        <f t="shared" si="198"/>
        <v>#VALUE!</v>
      </c>
      <c r="O1338">
        <v>12.26</v>
      </c>
      <c r="P1338" s="154" t="e">
        <f t="shared" si="199"/>
        <v>#VALUE!</v>
      </c>
      <c r="Q1338">
        <v>12.26</v>
      </c>
      <c r="R1338" s="154" t="e">
        <f t="shared" si="200"/>
        <v>#VALUE!</v>
      </c>
      <c r="S1338">
        <v>12.26</v>
      </c>
      <c r="T1338" s="154" t="e">
        <f t="shared" si="201"/>
        <v>#VALUE!</v>
      </c>
      <c r="U1338">
        <v>12.26</v>
      </c>
      <c r="V1338" s="154" t="e">
        <f t="shared" si="202"/>
        <v>#VALUE!</v>
      </c>
      <c r="W1338">
        <v>12.26</v>
      </c>
      <c r="X1338" s="157" t="e">
        <f t="shared" si="203"/>
        <v>#VALUE!</v>
      </c>
      <c r="Y1338">
        <v>12.26</v>
      </c>
      <c r="Z1338" s="154" t="e">
        <f t="shared" si="204"/>
        <v>#VALUE!</v>
      </c>
      <c r="AA1338">
        <v>12.26</v>
      </c>
      <c r="AB1338" s="154" t="e">
        <f t="shared" si="205"/>
        <v>#VALUE!</v>
      </c>
      <c r="AC1338">
        <v>12.26</v>
      </c>
      <c r="AD1338" s="154" t="e">
        <f t="shared" si="206"/>
        <v>#VALUE!</v>
      </c>
      <c r="AE1338">
        <v>12.26</v>
      </c>
    </row>
    <row r="1339" spans="12:31" ht="15" x14ac:dyDescent="0.2">
      <c r="L1339" s="154" t="e">
        <f t="shared" si="197"/>
        <v>#VALUE!</v>
      </c>
      <c r="M1339">
        <v>12.27</v>
      </c>
      <c r="N1339" s="154" t="e">
        <f t="shared" si="198"/>
        <v>#VALUE!</v>
      </c>
      <c r="O1339">
        <v>12.27</v>
      </c>
      <c r="P1339" s="154" t="e">
        <f t="shared" si="199"/>
        <v>#VALUE!</v>
      </c>
      <c r="Q1339">
        <v>12.27</v>
      </c>
      <c r="R1339" s="154" t="e">
        <f t="shared" si="200"/>
        <v>#VALUE!</v>
      </c>
      <c r="S1339">
        <v>12.27</v>
      </c>
      <c r="T1339" s="154" t="e">
        <f t="shared" si="201"/>
        <v>#VALUE!</v>
      </c>
      <c r="U1339">
        <v>12.27</v>
      </c>
      <c r="V1339" s="154" t="e">
        <f t="shared" si="202"/>
        <v>#VALUE!</v>
      </c>
      <c r="W1339">
        <v>12.27</v>
      </c>
      <c r="X1339" s="157" t="e">
        <f t="shared" si="203"/>
        <v>#VALUE!</v>
      </c>
      <c r="Y1339">
        <v>12.27</v>
      </c>
      <c r="Z1339" s="154" t="e">
        <f t="shared" si="204"/>
        <v>#VALUE!</v>
      </c>
      <c r="AA1339">
        <v>12.27</v>
      </c>
      <c r="AB1339" s="154" t="e">
        <f t="shared" si="205"/>
        <v>#VALUE!</v>
      </c>
      <c r="AC1339">
        <v>12.27</v>
      </c>
      <c r="AD1339" s="154" t="e">
        <f t="shared" si="206"/>
        <v>#VALUE!</v>
      </c>
      <c r="AE1339">
        <v>12.27</v>
      </c>
    </row>
    <row r="1340" spans="12:31" ht="15" x14ac:dyDescent="0.2">
      <c r="L1340" s="154" t="e">
        <f t="shared" si="197"/>
        <v>#VALUE!</v>
      </c>
      <c r="M1340">
        <v>12.28</v>
      </c>
      <c r="N1340" s="154" t="e">
        <f t="shared" si="198"/>
        <v>#VALUE!</v>
      </c>
      <c r="O1340">
        <v>12.28</v>
      </c>
      <c r="P1340" s="154" t="e">
        <f t="shared" si="199"/>
        <v>#VALUE!</v>
      </c>
      <c r="Q1340">
        <v>12.28</v>
      </c>
      <c r="R1340" s="154" t="e">
        <f t="shared" si="200"/>
        <v>#VALUE!</v>
      </c>
      <c r="S1340">
        <v>12.28</v>
      </c>
      <c r="T1340" s="154" t="e">
        <f t="shared" si="201"/>
        <v>#VALUE!</v>
      </c>
      <c r="U1340">
        <v>12.28</v>
      </c>
      <c r="V1340" s="154" t="e">
        <f t="shared" si="202"/>
        <v>#VALUE!</v>
      </c>
      <c r="W1340">
        <v>12.28</v>
      </c>
      <c r="X1340" s="157" t="e">
        <f t="shared" si="203"/>
        <v>#VALUE!</v>
      </c>
      <c r="Y1340">
        <v>12.28</v>
      </c>
      <c r="Z1340" s="154" t="e">
        <f t="shared" si="204"/>
        <v>#VALUE!</v>
      </c>
      <c r="AA1340">
        <v>12.28</v>
      </c>
      <c r="AB1340" s="154" t="e">
        <f t="shared" si="205"/>
        <v>#VALUE!</v>
      </c>
      <c r="AC1340">
        <v>12.28</v>
      </c>
      <c r="AD1340" s="154" t="e">
        <f t="shared" si="206"/>
        <v>#VALUE!</v>
      </c>
      <c r="AE1340">
        <v>12.28</v>
      </c>
    </row>
    <row r="1341" spans="12:31" ht="15" x14ac:dyDescent="0.2">
      <c r="L1341" s="154" t="e">
        <f t="shared" si="197"/>
        <v>#VALUE!</v>
      </c>
      <c r="M1341">
        <v>12.29</v>
      </c>
      <c r="N1341" s="154" t="e">
        <f t="shared" si="198"/>
        <v>#VALUE!</v>
      </c>
      <c r="O1341">
        <v>12.29</v>
      </c>
      <c r="P1341" s="154" t="e">
        <f t="shared" si="199"/>
        <v>#VALUE!</v>
      </c>
      <c r="Q1341">
        <v>12.29</v>
      </c>
      <c r="R1341" s="154" t="e">
        <f t="shared" si="200"/>
        <v>#VALUE!</v>
      </c>
      <c r="S1341">
        <v>12.29</v>
      </c>
      <c r="T1341" s="154" t="e">
        <f t="shared" si="201"/>
        <v>#VALUE!</v>
      </c>
      <c r="U1341">
        <v>12.29</v>
      </c>
      <c r="V1341" s="154" t="e">
        <f t="shared" si="202"/>
        <v>#VALUE!</v>
      </c>
      <c r="W1341">
        <v>12.29</v>
      </c>
      <c r="X1341" s="157" t="e">
        <f t="shared" si="203"/>
        <v>#VALUE!</v>
      </c>
      <c r="Y1341">
        <v>12.29</v>
      </c>
      <c r="Z1341" s="154" t="e">
        <f t="shared" si="204"/>
        <v>#VALUE!</v>
      </c>
      <c r="AA1341">
        <v>12.29</v>
      </c>
      <c r="AB1341" s="154" t="e">
        <f t="shared" si="205"/>
        <v>#VALUE!</v>
      </c>
      <c r="AC1341">
        <v>12.29</v>
      </c>
      <c r="AD1341" s="154" t="e">
        <f t="shared" si="206"/>
        <v>#VALUE!</v>
      </c>
      <c r="AE1341">
        <v>12.29</v>
      </c>
    </row>
    <row r="1342" spans="12:31" ht="15" x14ac:dyDescent="0.2">
      <c r="L1342" s="154" t="e">
        <f t="shared" si="197"/>
        <v>#VALUE!</v>
      </c>
      <c r="M1342">
        <v>12.3</v>
      </c>
      <c r="N1342" s="154" t="e">
        <f t="shared" si="198"/>
        <v>#VALUE!</v>
      </c>
      <c r="O1342">
        <v>12.3</v>
      </c>
      <c r="P1342" s="154" t="e">
        <f t="shared" si="199"/>
        <v>#VALUE!</v>
      </c>
      <c r="Q1342">
        <v>12.3</v>
      </c>
      <c r="R1342" s="154" t="e">
        <f t="shared" si="200"/>
        <v>#VALUE!</v>
      </c>
      <c r="S1342">
        <v>12.3</v>
      </c>
      <c r="T1342" s="154" t="e">
        <f t="shared" si="201"/>
        <v>#VALUE!</v>
      </c>
      <c r="U1342">
        <v>12.3</v>
      </c>
      <c r="V1342" s="154" t="e">
        <f t="shared" si="202"/>
        <v>#VALUE!</v>
      </c>
      <c r="W1342">
        <v>12.3</v>
      </c>
      <c r="X1342" s="157" t="e">
        <f t="shared" si="203"/>
        <v>#VALUE!</v>
      </c>
      <c r="Y1342">
        <v>12.3</v>
      </c>
      <c r="Z1342" s="154" t="e">
        <f t="shared" si="204"/>
        <v>#VALUE!</v>
      </c>
      <c r="AA1342">
        <v>12.3</v>
      </c>
      <c r="AB1342" s="154" t="e">
        <f t="shared" si="205"/>
        <v>#VALUE!</v>
      </c>
      <c r="AC1342">
        <v>12.3</v>
      </c>
      <c r="AD1342" s="154" t="e">
        <f t="shared" si="206"/>
        <v>#VALUE!</v>
      </c>
      <c r="AE1342">
        <v>12.3</v>
      </c>
    </row>
    <row r="1343" spans="12:31" ht="15" x14ac:dyDescent="0.2">
      <c r="L1343" s="154" t="e">
        <f t="shared" si="197"/>
        <v>#VALUE!</v>
      </c>
      <c r="M1343">
        <v>12.31</v>
      </c>
      <c r="N1343" s="154" t="e">
        <f t="shared" si="198"/>
        <v>#VALUE!</v>
      </c>
      <c r="O1343">
        <v>12.31</v>
      </c>
      <c r="P1343" s="154" t="e">
        <f t="shared" si="199"/>
        <v>#VALUE!</v>
      </c>
      <c r="Q1343">
        <v>12.31</v>
      </c>
      <c r="R1343" s="154" t="e">
        <f t="shared" si="200"/>
        <v>#VALUE!</v>
      </c>
      <c r="S1343">
        <v>12.31</v>
      </c>
      <c r="T1343" s="154" t="e">
        <f t="shared" si="201"/>
        <v>#VALUE!</v>
      </c>
      <c r="U1343">
        <v>12.31</v>
      </c>
      <c r="V1343" s="154" t="e">
        <f t="shared" si="202"/>
        <v>#VALUE!</v>
      </c>
      <c r="W1343">
        <v>12.31</v>
      </c>
      <c r="X1343" s="157" t="e">
        <f t="shared" si="203"/>
        <v>#VALUE!</v>
      </c>
      <c r="Y1343">
        <v>12.31</v>
      </c>
      <c r="Z1343" s="154" t="e">
        <f t="shared" si="204"/>
        <v>#VALUE!</v>
      </c>
      <c r="AA1343">
        <v>12.31</v>
      </c>
      <c r="AB1343" s="154" t="e">
        <f t="shared" si="205"/>
        <v>#VALUE!</v>
      </c>
      <c r="AC1343">
        <v>12.31</v>
      </c>
      <c r="AD1343" s="154" t="e">
        <f t="shared" si="206"/>
        <v>#VALUE!</v>
      </c>
      <c r="AE1343">
        <v>12.31</v>
      </c>
    </row>
    <row r="1344" spans="12:31" ht="15" x14ac:dyDescent="0.2">
      <c r="L1344" s="154" t="e">
        <f t="shared" si="197"/>
        <v>#VALUE!</v>
      </c>
      <c r="M1344">
        <v>12.32</v>
      </c>
      <c r="N1344" s="154" t="e">
        <f t="shared" si="198"/>
        <v>#VALUE!</v>
      </c>
      <c r="O1344">
        <v>12.32</v>
      </c>
      <c r="P1344" s="154" t="e">
        <f t="shared" si="199"/>
        <v>#VALUE!</v>
      </c>
      <c r="Q1344">
        <v>12.32</v>
      </c>
      <c r="R1344" s="154" t="e">
        <f t="shared" si="200"/>
        <v>#VALUE!</v>
      </c>
      <c r="S1344">
        <v>12.32</v>
      </c>
      <c r="T1344" s="154" t="e">
        <f t="shared" si="201"/>
        <v>#VALUE!</v>
      </c>
      <c r="U1344">
        <v>12.32</v>
      </c>
      <c r="V1344" s="154" t="e">
        <f t="shared" si="202"/>
        <v>#VALUE!</v>
      </c>
      <c r="W1344">
        <v>12.32</v>
      </c>
      <c r="X1344" s="157" t="e">
        <f t="shared" si="203"/>
        <v>#VALUE!</v>
      </c>
      <c r="Y1344">
        <v>12.32</v>
      </c>
      <c r="Z1344" s="154" t="e">
        <f t="shared" si="204"/>
        <v>#VALUE!</v>
      </c>
      <c r="AA1344">
        <v>12.32</v>
      </c>
      <c r="AB1344" s="154" t="e">
        <f t="shared" si="205"/>
        <v>#VALUE!</v>
      </c>
      <c r="AC1344">
        <v>12.32</v>
      </c>
      <c r="AD1344" s="154" t="e">
        <f t="shared" si="206"/>
        <v>#VALUE!</v>
      </c>
      <c r="AE1344">
        <v>12.32</v>
      </c>
    </row>
    <row r="1345" spans="12:31" ht="15" x14ac:dyDescent="0.2">
      <c r="L1345" s="154" t="e">
        <f t="shared" si="197"/>
        <v>#VALUE!</v>
      </c>
      <c r="M1345">
        <v>12.33</v>
      </c>
      <c r="N1345" s="154" t="e">
        <f t="shared" si="198"/>
        <v>#VALUE!</v>
      </c>
      <c r="O1345">
        <v>12.33</v>
      </c>
      <c r="P1345" s="154" t="e">
        <f t="shared" si="199"/>
        <v>#VALUE!</v>
      </c>
      <c r="Q1345">
        <v>12.33</v>
      </c>
      <c r="R1345" s="154" t="e">
        <f t="shared" si="200"/>
        <v>#VALUE!</v>
      </c>
      <c r="S1345">
        <v>12.33</v>
      </c>
      <c r="T1345" s="154" t="e">
        <f t="shared" si="201"/>
        <v>#VALUE!</v>
      </c>
      <c r="U1345">
        <v>12.33</v>
      </c>
      <c r="V1345" s="154" t="e">
        <f t="shared" si="202"/>
        <v>#VALUE!</v>
      </c>
      <c r="W1345">
        <v>12.33</v>
      </c>
      <c r="X1345" s="157" t="e">
        <f t="shared" si="203"/>
        <v>#VALUE!</v>
      </c>
      <c r="Y1345">
        <v>12.33</v>
      </c>
      <c r="Z1345" s="154" t="e">
        <f t="shared" si="204"/>
        <v>#VALUE!</v>
      </c>
      <c r="AA1345">
        <v>12.33</v>
      </c>
      <c r="AB1345" s="154" t="e">
        <f t="shared" si="205"/>
        <v>#VALUE!</v>
      </c>
      <c r="AC1345">
        <v>12.33</v>
      </c>
      <c r="AD1345" s="154" t="e">
        <f t="shared" si="206"/>
        <v>#VALUE!</v>
      </c>
      <c r="AE1345">
        <v>12.33</v>
      </c>
    </row>
    <row r="1346" spans="12:31" ht="15" x14ac:dyDescent="0.2">
      <c r="L1346" s="154" t="e">
        <f t="shared" si="197"/>
        <v>#VALUE!</v>
      </c>
      <c r="M1346">
        <v>12.34</v>
      </c>
      <c r="N1346" s="154" t="e">
        <f t="shared" si="198"/>
        <v>#VALUE!</v>
      </c>
      <c r="O1346">
        <v>12.34</v>
      </c>
      <c r="P1346" s="154" t="e">
        <f t="shared" si="199"/>
        <v>#VALUE!</v>
      </c>
      <c r="Q1346">
        <v>12.34</v>
      </c>
      <c r="R1346" s="154" t="e">
        <f t="shared" si="200"/>
        <v>#VALUE!</v>
      </c>
      <c r="S1346">
        <v>12.34</v>
      </c>
      <c r="T1346" s="154" t="e">
        <f t="shared" si="201"/>
        <v>#VALUE!</v>
      </c>
      <c r="U1346">
        <v>12.34</v>
      </c>
      <c r="V1346" s="154" t="e">
        <f t="shared" si="202"/>
        <v>#VALUE!</v>
      </c>
      <c r="W1346">
        <v>12.34</v>
      </c>
      <c r="X1346" s="157" t="e">
        <f t="shared" si="203"/>
        <v>#VALUE!</v>
      </c>
      <c r="Y1346">
        <v>12.34</v>
      </c>
      <c r="Z1346" s="154" t="e">
        <f t="shared" si="204"/>
        <v>#VALUE!</v>
      </c>
      <c r="AA1346">
        <v>12.34</v>
      </c>
      <c r="AB1346" s="154" t="e">
        <f t="shared" si="205"/>
        <v>#VALUE!</v>
      </c>
      <c r="AC1346">
        <v>12.34</v>
      </c>
      <c r="AD1346" s="154" t="e">
        <f t="shared" si="206"/>
        <v>#VALUE!</v>
      </c>
      <c r="AE1346">
        <v>12.34</v>
      </c>
    </row>
    <row r="1347" spans="12:31" ht="15" x14ac:dyDescent="0.2">
      <c r="L1347" s="154" t="e">
        <f t="shared" si="197"/>
        <v>#VALUE!</v>
      </c>
      <c r="M1347">
        <v>12.35</v>
      </c>
      <c r="N1347" s="154" t="e">
        <f t="shared" si="198"/>
        <v>#VALUE!</v>
      </c>
      <c r="O1347">
        <v>12.35</v>
      </c>
      <c r="P1347" s="154" t="e">
        <f t="shared" si="199"/>
        <v>#VALUE!</v>
      </c>
      <c r="Q1347">
        <v>12.35</v>
      </c>
      <c r="R1347" s="154" t="e">
        <f t="shared" si="200"/>
        <v>#VALUE!</v>
      </c>
      <c r="S1347">
        <v>12.35</v>
      </c>
      <c r="T1347" s="154" t="e">
        <f t="shared" si="201"/>
        <v>#VALUE!</v>
      </c>
      <c r="U1347">
        <v>12.35</v>
      </c>
      <c r="V1347" s="154" t="e">
        <f t="shared" si="202"/>
        <v>#VALUE!</v>
      </c>
      <c r="W1347">
        <v>12.35</v>
      </c>
      <c r="X1347" s="157" t="e">
        <f t="shared" si="203"/>
        <v>#VALUE!</v>
      </c>
      <c r="Y1347">
        <v>12.35</v>
      </c>
      <c r="Z1347" s="154" t="e">
        <f t="shared" si="204"/>
        <v>#VALUE!</v>
      </c>
      <c r="AA1347">
        <v>12.35</v>
      </c>
      <c r="AB1347" s="154" t="e">
        <f t="shared" si="205"/>
        <v>#VALUE!</v>
      </c>
      <c r="AC1347">
        <v>12.35</v>
      </c>
      <c r="AD1347" s="154" t="e">
        <f t="shared" si="206"/>
        <v>#VALUE!</v>
      </c>
      <c r="AE1347">
        <v>12.35</v>
      </c>
    </row>
    <row r="1348" spans="12:31" ht="15" x14ac:dyDescent="0.2">
      <c r="L1348" s="154" t="e">
        <f t="shared" si="197"/>
        <v>#VALUE!</v>
      </c>
      <c r="M1348">
        <v>12.36</v>
      </c>
      <c r="N1348" s="154" t="e">
        <f t="shared" si="198"/>
        <v>#VALUE!</v>
      </c>
      <c r="O1348">
        <v>12.36</v>
      </c>
      <c r="P1348" s="154" t="e">
        <f t="shared" si="199"/>
        <v>#VALUE!</v>
      </c>
      <c r="Q1348">
        <v>12.36</v>
      </c>
      <c r="R1348" s="154" t="e">
        <f t="shared" si="200"/>
        <v>#VALUE!</v>
      </c>
      <c r="S1348">
        <v>12.36</v>
      </c>
      <c r="T1348" s="154" t="e">
        <f t="shared" si="201"/>
        <v>#VALUE!</v>
      </c>
      <c r="U1348">
        <v>12.36</v>
      </c>
      <c r="V1348" s="154" t="e">
        <f t="shared" si="202"/>
        <v>#VALUE!</v>
      </c>
      <c r="W1348">
        <v>12.36</v>
      </c>
      <c r="X1348" s="157" t="e">
        <f t="shared" si="203"/>
        <v>#VALUE!</v>
      </c>
      <c r="Y1348">
        <v>12.36</v>
      </c>
      <c r="Z1348" s="154" t="e">
        <f t="shared" si="204"/>
        <v>#VALUE!</v>
      </c>
      <c r="AA1348">
        <v>12.36</v>
      </c>
      <c r="AB1348" s="154" t="e">
        <f t="shared" si="205"/>
        <v>#VALUE!</v>
      </c>
      <c r="AC1348">
        <v>12.36</v>
      </c>
      <c r="AD1348" s="154" t="e">
        <f t="shared" si="206"/>
        <v>#VALUE!</v>
      </c>
      <c r="AE1348">
        <v>12.36</v>
      </c>
    </row>
    <row r="1349" spans="12:31" ht="15" x14ac:dyDescent="0.2">
      <c r="L1349" s="154" t="e">
        <f t="shared" si="197"/>
        <v>#VALUE!</v>
      </c>
      <c r="M1349">
        <v>12.37</v>
      </c>
      <c r="N1349" s="154" t="e">
        <f t="shared" si="198"/>
        <v>#VALUE!</v>
      </c>
      <c r="O1349">
        <v>12.37</v>
      </c>
      <c r="P1349" s="154" t="e">
        <f t="shared" si="199"/>
        <v>#VALUE!</v>
      </c>
      <c r="Q1349">
        <v>12.37</v>
      </c>
      <c r="R1349" s="154" t="e">
        <f t="shared" si="200"/>
        <v>#VALUE!</v>
      </c>
      <c r="S1349">
        <v>12.37</v>
      </c>
      <c r="T1349" s="154" t="e">
        <f t="shared" si="201"/>
        <v>#VALUE!</v>
      </c>
      <c r="U1349">
        <v>12.37</v>
      </c>
      <c r="V1349" s="154" t="e">
        <f t="shared" si="202"/>
        <v>#VALUE!</v>
      </c>
      <c r="W1349">
        <v>12.37</v>
      </c>
      <c r="X1349" s="157" t="e">
        <f t="shared" si="203"/>
        <v>#VALUE!</v>
      </c>
      <c r="Y1349">
        <v>12.37</v>
      </c>
      <c r="Z1349" s="154" t="e">
        <f t="shared" si="204"/>
        <v>#VALUE!</v>
      </c>
      <c r="AA1349">
        <v>12.37</v>
      </c>
      <c r="AB1349" s="154" t="e">
        <f t="shared" si="205"/>
        <v>#VALUE!</v>
      </c>
      <c r="AC1349">
        <v>12.37</v>
      </c>
      <c r="AD1349" s="154" t="e">
        <f t="shared" si="206"/>
        <v>#VALUE!</v>
      </c>
      <c r="AE1349">
        <v>12.37</v>
      </c>
    </row>
    <row r="1350" spans="12:31" ht="15" x14ac:dyDescent="0.2">
      <c r="L1350" s="154" t="e">
        <f t="shared" si="197"/>
        <v>#VALUE!</v>
      </c>
      <c r="M1350">
        <v>12.38</v>
      </c>
      <c r="N1350" s="154" t="e">
        <f t="shared" si="198"/>
        <v>#VALUE!</v>
      </c>
      <c r="O1350">
        <v>12.38</v>
      </c>
      <c r="P1350" s="154" t="e">
        <f t="shared" si="199"/>
        <v>#VALUE!</v>
      </c>
      <c r="Q1350">
        <v>12.38</v>
      </c>
      <c r="R1350" s="154" t="e">
        <f t="shared" si="200"/>
        <v>#VALUE!</v>
      </c>
      <c r="S1350">
        <v>12.38</v>
      </c>
      <c r="T1350" s="154" t="e">
        <f t="shared" si="201"/>
        <v>#VALUE!</v>
      </c>
      <c r="U1350">
        <v>12.38</v>
      </c>
      <c r="V1350" s="154" t="e">
        <f t="shared" si="202"/>
        <v>#VALUE!</v>
      </c>
      <c r="W1350">
        <v>12.38</v>
      </c>
      <c r="X1350" s="157" t="e">
        <f t="shared" si="203"/>
        <v>#VALUE!</v>
      </c>
      <c r="Y1350">
        <v>12.38</v>
      </c>
      <c r="Z1350" s="154" t="e">
        <f t="shared" si="204"/>
        <v>#VALUE!</v>
      </c>
      <c r="AA1350">
        <v>12.38</v>
      </c>
      <c r="AB1350" s="154" t="e">
        <f t="shared" si="205"/>
        <v>#VALUE!</v>
      </c>
      <c r="AC1350">
        <v>12.38</v>
      </c>
      <c r="AD1350" s="154" t="e">
        <f t="shared" si="206"/>
        <v>#VALUE!</v>
      </c>
      <c r="AE1350">
        <v>12.38</v>
      </c>
    </row>
    <row r="1351" spans="12:31" ht="15" x14ac:dyDescent="0.2">
      <c r="L1351" s="154" t="e">
        <f t="shared" si="197"/>
        <v>#VALUE!</v>
      </c>
      <c r="M1351">
        <v>12.39</v>
      </c>
      <c r="N1351" s="154" t="e">
        <f t="shared" si="198"/>
        <v>#VALUE!</v>
      </c>
      <c r="O1351">
        <v>12.39</v>
      </c>
      <c r="P1351" s="154" t="e">
        <f t="shared" si="199"/>
        <v>#VALUE!</v>
      </c>
      <c r="Q1351">
        <v>12.39</v>
      </c>
      <c r="R1351" s="154" t="e">
        <f t="shared" si="200"/>
        <v>#VALUE!</v>
      </c>
      <c r="S1351">
        <v>12.39</v>
      </c>
      <c r="T1351" s="154" t="e">
        <f t="shared" si="201"/>
        <v>#VALUE!</v>
      </c>
      <c r="U1351">
        <v>12.39</v>
      </c>
      <c r="V1351" s="154" t="e">
        <f t="shared" si="202"/>
        <v>#VALUE!</v>
      </c>
      <c r="W1351">
        <v>12.39</v>
      </c>
      <c r="X1351" s="157" t="e">
        <f t="shared" si="203"/>
        <v>#VALUE!</v>
      </c>
      <c r="Y1351">
        <v>12.39</v>
      </c>
      <c r="Z1351" s="154" t="e">
        <f t="shared" si="204"/>
        <v>#VALUE!</v>
      </c>
      <c r="AA1351">
        <v>12.39</v>
      </c>
      <c r="AB1351" s="154" t="e">
        <f t="shared" si="205"/>
        <v>#VALUE!</v>
      </c>
      <c r="AC1351">
        <v>12.39</v>
      </c>
      <c r="AD1351" s="154" t="e">
        <f t="shared" si="206"/>
        <v>#VALUE!</v>
      </c>
      <c r="AE1351">
        <v>12.39</v>
      </c>
    </row>
    <row r="1352" spans="12:31" ht="15" x14ac:dyDescent="0.2">
      <c r="L1352" s="154" t="e">
        <f t="shared" si="197"/>
        <v>#VALUE!</v>
      </c>
      <c r="M1352">
        <v>12.4</v>
      </c>
      <c r="N1352" s="154" t="e">
        <f t="shared" si="198"/>
        <v>#VALUE!</v>
      </c>
      <c r="O1352">
        <v>12.4</v>
      </c>
      <c r="P1352" s="154" t="e">
        <f t="shared" si="199"/>
        <v>#VALUE!</v>
      </c>
      <c r="Q1352">
        <v>12.4</v>
      </c>
      <c r="R1352" s="154" t="e">
        <f t="shared" si="200"/>
        <v>#VALUE!</v>
      </c>
      <c r="S1352">
        <v>12.4</v>
      </c>
      <c r="T1352" s="154" t="e">
        <f t="shared" si="201"/>
        <v>#VALUE!</v>
      </c>
      <c r="U1352">
        <v>12.4</v>
      </c>
      <c r="V1352" s="154" t="e">
        <f t="shared" si="202"/>
        <v>#VALUE!</v>
      </c>
      <c r="W1352">
        <v>12.4</v>
      </c>
      <c r="X1352" s="157" t="e">
        <f t="shared" si="203"/>
        <v>#VALUE!</v>
      </c>
      <c r="Y1352">
        <v>12.4</v>
      </c>
      <c r="Z1352" s="154" t="e">
        <f t="shared" si="204"/>
        <v>#VALUE!</v>
      </c>
      <c r="AA1352">
        <v>12.4</v>
      </c>
      <c r="AB1352" s="154" t="e">
        <f t="shared" si="205"/>
        <v>#VALUE!</v>
      </c>
      <c r="AC1352">
        <v>12.4</v>
      </c>
      <c r="AD1352" s="154" t="e">
        <f t="shared" si="206"/>
        <v>#VALUE!</v>
      </c>
      <c r="AE1352">
        <v>12.4</v>
      </c>
    </row>
    <row r="1353" spans="12:31" ht="15" x14ac:dyDescent="0.2">
      <c r="L1353" s="154" t="e">
        <f t="shared" si="197"/>
        <v>#VALUE!</v>
      </c>
      <c r="M1353">
        <v>12.41</v>
      </c>
      <c r="N1353" s="154" t="e">
        <f t="shared" si="198"/>
        <v>#VALUE!</v>
      </c>
      <c r="O1353">
        <v>12.41</v>
      </c>
      <c r="P1353" s="154" t="e">
        <f t="shared" si="199"/>
        <v>#VALUE!</v>
      </c>
      <c r="Q1353">
        <v>12.41</v>
      </c>
      <c r="R1353" s="154" t="e">
        <f t="shared" si="200"/>
        <v>#VALUE!</v>
      </c>
      <c r="S1353">
        <v>12.41</v>
      </c>
      <c r="T1353" s="154" t="e">
        <f t="shared" si="201"/>
        <v>#VALUE!</v>
      </c>
      <c r="U1353">
        <v>12.41</v>
      </c>
      <c r="V1353" s="154" t="e">
        <f t="shared" si="202"/>
        <v>#VALUE!</v>
      </c>
      <c r="W1353">
        <v>12.41</v>
      </c>
      <c r="X1353" s="157" t="e">
        <f t="shared" si="203"/>
        <v>#VALUE!</v>
      </c>
      <c r="Y1353">
        <v>12.41</v>
      </c>
      <c r="Z1353" s="154" t="e">
        <f t="shared" si="204"/>
        <v>#VALUE!</v>
      </c>
      <c r="AA1353">
        <v>12.41</v>
      </c>
      <c r="AB1353" s="154" t="e">
        <f t="shared" si="205"/>
        <v>#VALUE!</v>
      </c>
      <c r="AC1353">
        <v>12.41</v>
      </c>
      <c r="AD1353" s="154" t="e">
        <f t="shared" si="206"/>
        <v>#VALUE!</v>
      </c>
      <c r="AE1353">
        <v>12.41</v>
      </c>
    </row>
    <row r="1354" spans="12:31" ht="15" x14ac:dyDescent="0.2">
      <c r="L1354" s="154" t="e">
        <f t="shared" si="197"/>
        <v>#VALUE!</v>
      </c>
      <c r="M1354">
        <v>12.42</v>
      </c>
      <c r="N1354" s="154" t="e">
        <f t="shared" si="198"/>
        <v>#VALUE!</v>
      </c>
      <c r="O1354">
        <v>12.42</v>
      </c>
      <c r="P1354" s="154" t="e">
        <f t="shared" si="199"/>
        <v>#VALUE!</v>
      </c>
      <c r="Q1354">
        <v>12.42</v>
      </c>
      <c r="R1354" s="154" t="e">
        <f t="shared" si="200"/>
        <v>#VALUE!</v>
      </c>
      <c r="S1354">
        <v>12.42</v>
      </c>
      <c r="T1354" s="154" t="e">
        <f t="shared" si="201"/>
        <v>#VALUE!</v>
      </c>
      <c r="U1354">
        <v>12.42</v>
      </c>
      <c r="V1354" s="154" t="e">
        <f t="shared" si="202"/>
        <v>#VALUE!</v>
      </c>
      <c r="W1354">
        <v>12.42</v>
      </c>
      <c r="X1354" s="157" t="e">
        <f t="shared" si="203"/>
        <v>#VALUE!</v>
      </c>
      <c r="Y1354">
        <v>12.42</v>
      </c>
      <c r="Z1354" s="154" t="e">
        <f t="shared" si="204"/>
        <v>#VALUE!</v>
      </c>
      <c r="AA1354">
        <v>12.42</v>
      </c>
      <c r="AB1354" s="154" t="e">
        <f t="shared" si="205"/>
        <v>#VALUE!</v>
      </c>
      <c r="AC1354">
        <v>12.42</v>
      </c>
      <c r="AD1354" s="154" t="e">
        <f t="shared" si="206"/>
        <v>#VALUE!</v>
      </c>
      <c r="AE1354">
        <v>12.42</v>
      </c>
    </row>
    <row r="1355" spans="12:31" ht="15" x14ac:dyDescent="0.2">
      <c r="L1355" s="154" t="e">
        <f t="shared" si="197"/>
        <v>#VALUE!</v>
      </c>
      <c r="M1355">
        <v>12.43</v>
      </c>
      <c r="N1355" s="154" t="e">
        <f t="shared" si="198"/>
        <v>#VALUE!</v>
      </c>
      <c r="O1355">
        <v>12.43</v>
      </c>
      <c r="P1355" s="154" t="e">
        <f t="shared" si="199"/>
        <v>#VALUE!</v>
      </c>
      <c r="Q1355">
        <v>12.43</v>
      </c>
      <c r="R1355" s="154" t="e">
        <f t="shared" si="200"/>
        <v>#VALUE!</v>
      </c>
      <c r="S1355">
        <v>12.43</v>
      </c>
      <c r="T1355" s="154" t="e">
        <f t="shared" si="201"/>
        <v>#VALUE!</v>
      </c>
      <c r="U1355">
        <v>12.43</v>
      </c>
      <c r="V1355" s="154" t="e">
        <f t="shared" si="202"/>
        <v>#VALUE!</v>
      </c>
      <c r="W1355">
        <v>12.43</v>
      </c>
      <c r="X1355" s="157" t="e">
        <f t="shared" si="203"/>
        <v>#VALUE!</v>
      </c>
      <c r="Y1355">
        <v>12.43</v>
      </c>
      <c r="Z1355" s="154" t="e">
        <f t="shared" si="204"/>
        <v>#VALUE!</v>
      </c>
      <c r="AA1355">
        <v>12.43</v>
      </c>
      <c r="AB1355" s="154" t="e">
        <f t="shared" si="205"/>
        <v>#VALUE!</v>
      </c>
      <c r="AC1355">
        <v>12.43</v>
      </c>
      <c r="AD1355" s="154" t="e">
        <f t="shared" si="206"/>
        <v>#VALUE!</v>
      </c>
      <c r="AE1355">
        <v>12.43</v>
      </c>
    </row>
    <row r="1356" spans="12:31" ht="15" x14ac:dyDescent="0.2">
      <c r="L1356" s="154" t="e">
        <f t="shared" si="197"/>
        <v>#VALUE!</v>
      </c>
      <c r="M1356">
        <v>12.44</v>
      </c>
      <c r="N1356" s="154" t="e">
        <f t="shared" si="198"/>
        <v>#VALUE!</v>
      </c>
      <c r="O1356">
        <v>12.44</v>
      </c>
      <c r="P1356" s="154" t="e">
        <f t="shared" si="199"/>
        <v>#VALUE!</v>
      </c>
      <c r="Q1356">
        <v>12.44</v>
      </c>
      <c r="R1356" s="154" t="e">
        <f t="shared" si="200"/>
        <v>#VALUE!</v>
      </c>
      <c r="S1356">
        <v>12.44</v>
      </c>
      <c r="T1356" s="154" t="e">
        <f t="shared" si="201"/>
        <v>#VALUE!</v>
      </c>
      <c r="U1356">
        <v>12.44</v>
      </c>
      <c r="V1356" s="154" t="e">
        <f t="shared" si="202"/>
        <v>#VALUE!</v>
      </c>
      <c r="W1356">
        <v>12.44</v>
      </c>
      <c r="X1356" s="157" t="e">
        <f t="shared" si="203"/>
        <v>#VALUE!</v>
      </c>
      <c r="Y1356">
        <v>12.44</v>
      </c>
      <c r="Z1356" s="154" t="e">
        <f t="shared" si="204"/>
        <v>#VALUE!</v>
      </c>
      <c r="AA1356">
        <v>12.44</v>
      </c>
      <c r="AB1356" s="154" t="e">
        <f t="shared" si="205"/>
        <v>#VALUE!</v>
      </c>
      <c r="AC1356">
        <v>12.44</v>
      </c>
      <c r="AD1356" s="154" t="e">
        <f t="shared" si="206"/>
        <v>#VALUE!</v>
      </c>
      <c r="AE1356">
        <v>12.44</v>
      </c>
    </row>
    <row r="1357" spans="12:31" ht="15" x14ac:dyDescent="0.2">
      <c r="L1357" s="154" t="e">
        <f t="shared" si="197"/>
        <v>#VALUE!</v>
      </c>
      <c r="M1357">
        <v>12.45</v>
      </c>
      <c r="N1357" s="154" t="e">
        <f t="shared" si="198"/>
        <v>#VALUE!</v>
      </c>
      <c r="O1357">
        <v>12.45</v>
      </c>
      <c r="P1357" s="154" t="e">
        <f t="shared" si="199"/>
        <v>#VALUE!</v>
      </c>
      <c r="Q1357">
        <v>12.45</v>
      </c>
      <c r="R1357" s="154" t="e">
        <f t="shared" si="200"/>
        <v>#VALUE!</v>
      </c>
      <c r="S1357">
        <v>12.45</v>
      </c>
      <c r="T1357" s="154" t="e">
        <f t="shared" si="201"/>
        <v>#VALUE!</v>
      </c>
      <c r="U1357">
        <v>12.45</v>
      </c>
      <c r="V1357" s="154" t="e">
        <f t="shared" si="202"/>
        <v>#VALUE!</v>
      </c>
      <c r="W1357">
        <v>12.45</v>
      </c>
      <c r="X1357" s="157" t="e">
        <f t="shared" si="203"/>
        <v>#VALUE!</v>
      </c>
      <c r="Y1357">
        <v>12.45</v>
      </c>
      <c r="Z1357" s="154" t="e">
        <f t="shared" si="204"/>
        <v>#VALUE!</v>
      </c>
      <c r="AA1357">
        <v>12.45</v>
      </c>
      <c r="AB1357" s="154" t="e">
        <f t="shared" si="205"/>
        <v>#VALUE!</v>
      </c>
      <c r="AC1357">
        <v>12.45</v>
      </c>
      <c r="AD1357" s="154" t="e">
        <f t="shared" si="206"/>
        <v>#VALUE!</v>
      </c>
      <c r="AE1357">
        <v>12.45</v>
      </c>
    </row>
    <row r="1358" spans="12:31" ht="15" x14ac:dyDescent="0.2">
      <c r="L1358" s="154" t="e">
        <f t="shared" si="197"/>
        <v>#VALUE!</v>
      </c>
      <c r="M1358">
        <v>12.46</v>
      </c>
      <c r="N1358" s="154" t="e">
        <f t="shared" si="198"/>
        <v>#VALUE!</v>
      </c>
      <c r="O1358">
        <v>12.46</v>
      </c>
      <c r="P1358" s="154" t="e">
        <f t="shared" si="199"/>
        <v>#VALUE!</v>
      </c>
      <c r="Q1358">
        <v>12.46</v>
      </c>
      <c r="R1358" s="154" t="e">
        <f t="shared" si="200"/>
        <v>#VALUE!</v>
      </c>
      <c r="S1358">
        <v>12.46</v>
      </c>
      <c r="T1358" s="154" t="e">
        <f t="shared" si="201"/>
        <v>#VALUE!</v>
      </c>
      <c r="U1358">
        <v>12.46</v>
      </c>
      <c r="V1358" s="154" t="e">
        <f t="shared" si="202"/>
        <v>#VALUE!</v>
      </c>
      <c r="W1358">
        <v>12.46</v>
      </c>
      <c r="X1358" s="157" t="e">
        <f t="shared" si="203"/>
        <v>#VALUE!</v>
      </c>
      <c r="Y1358">
        <v>12.46</v>
      </c>
      <c r="Z1358" s="154" t="e">
        <f t="shared" si="204"/>
        <v>#VALUE!</v>
      </c>
      <c r="AA1358">
        <v>12.46</v>
      </c>
      <c r="AB1358" s="154" t="e">
        <f t="shared" si="205"/>
        <v>#VALUE!</v>
      </c>
      <c r="AC1358">
        <v>12.46</v>
      </c>
      <c r="AD1358" s="154" t="e">
        <f t="shared" si="206"/>
        <v>#VALUE!</v>
      </c>
      <c r="AE1358">
        <v>12.46</v>
      </c>
    </row>
    <row r="1359" spans="12:31" ht="15" x14ac:dyDescent="0.2">
      <c r="L1359" s="154" t="e">
        <f t="shared" si="197"/>
        <v>#VALUE!</v>
      </c>
      <c r="M1359">
        <v>12.47</v>
      </c>
      <c r="N1359" s="154" t="e">
        <f t="shared" si="198"/>
        <v>#VALUE!</v>
      </c>
      <c r="O1359">
        <v>12.47</v>
      </c>
      <c r="P1359" s="154" t="e">
        <f t="shared" si="199"/>
        <v>#VALUE!</v>
      </c>
      <c r="Q1359">
        <v>12.47</v>
      </c>
      <c r="R1359" s="154" t="e">
        <f t="shared" si="200"/>
        <v>#VALUE!</v>
      </c>
      <c r="S1359">
        <v>12.47</v>
      </c>
      <c r="T1359" s="154" t="e">
        <f t="shared" si="201"/>
        <v>#VALUE!</v>
      </c>
      <c r="U1359">
        <v>12.47</v>
      </c>
      <c r="V1359" s="154" t="e">
        <f t="shared" si="202"/>
        <v>#VALUE!</v>
      </c>
      <c r="W1359">
        <v>12.47</v>
      </c>
      <c r="X1359" s="157" t="e">
        <f t="shared" si="203"/>
        <v>#VALUE!</v>
      </c>
      <c r="Y1359">
        <v>12.47</v>
      </c>
      <c r="Z1359" s="154" t="e">
        <f t="shared" si="204"/>
        <v>#VALUE!</v>
      </c>
      <c r="AA1359">
        <v>12.47</v>
      </c>
      <c r="AB1359" s="154" t="e">
        <f t="shared" si="205"/>
        <v>#VALUE!</v>
      </c>
      <c r="AC1359">
        <v>12.47</v>
      </c>
      <c r="AD1359" s="154" t="e">
        <f t="shared" si="206"/>
        <v>#VALUE!</v>
      </c>
      <c r="AE1359">
        <v>12.47</v>
      </c>
    </row>
    <row r="1360" spans="12:31" ht="15" x14ac:dyDescent="0.2">
      <c r="L1360" s="154" t="e">
        <f t="shared" si="197"/>
        <v>#VALUE!</v>
      </c>
      <c r="M1360">
        <v>12.48</v>
      </c>
      <c r="N1360" s="154" t="e">
        <f t="shared" si="198"/>
        <v>#VALUE!</v>
      </c>
      <c r="O1360">
        <v>12.48</v>
      </c>
      <c r="P1360" s="154" t="e">
        <f t="shared" si="199"/>
        <v>#VALUE!</v>
      </c>
      <c r="Q1360">
        <v>12.48</v>
      </c>
      <c r="R1360" s="154" t="e">
        <f t="shared" si="200"/>
        <v>#VALUE!</v>
      </c>
      <c r="S1360">
        <v>12.48</v>
      </c>
      <c r="T1360" s="154" t="e">
        <f t="shared" si="201"/>
        <v>#VALUE!</v>
      </c>
      <c r="U1360">
        <v>12.48</v>
      </c>
      <c r="V1360" s="154" t="e">
        <f t="shared" si="202"/>
        <v>#VALUE!</v>
      </c>
      <c r="W1360">
        <v>12.48</v>
      </c>
      <c r="X1360" s="157" t="e">
        <f t="shared" si="203"/>
        <v>#VALUE!</v>
      </c>
      <c r="Y1360">
        <v>12.48</v>
      </c>
      <c r="Z1360" s="154" t="e">
        <f t="shared" si="204"/>
        <v>#VALUE!</v>
      </c>
      <c r="AA1360">
        <v>12.48</v>
      </c>
      <c r="AB1360" s="154" t="e">
        <f t="shared" si="205"/>
        <v>#VALUE!</v>
      </c>
      <c r="AC1360">
        <v>12.48</v>
      </c>
      <c r="AD1360" s="154" t="e">
        <f t="shared" si="206"/>
        <v>#VALUE!</v>
      </c>
      <c r="AE1360">
        <v>12.48</v>
      </c>
    </row>
    <row r="1361" spans="12:31" ht="15" x14ac:dyDescent="0.2">
      <c r="L1361" s="154" t="e">
        <f t="shared" si="197"/>
        <v>#VALUE!</v>
      </c>
      <c r="M1361">
        <v>12.49</v>
      </c>
      <c r="N1361" s="154" t="e">
        <f t="shared" si="198"/>
        <v>#VALUE!</v>
      </c>
      <c r="O1361">
        <v>12.49</v>
      </c>
      <c r="P1361" s="154" t="e">
        <f t="shared" si="199"/>
        <v>#VALUE!</v>
      </c>
      <c r="Q1361">
        <v>12.49</v>
      </c>
      <c r="R1361" s="154" t="e">
        <f t="shared" si="200"/>
        <v>#VALUE!</v>
      </c>
      <c r="S1361">
        <v>12.49</v>
      </c>
      <c r="T1361" s="154" t="e">
        <f t="shared" si="201"/>
        <v>#VALUE!</v>
      </c>
      <c r="U1361">
        <v>12.49</v>
      </c>
      <c r="V1361" s="154" t="e">
        <f t="shared" si="202"/>
        <v>#VALUE!</v>
      </c>
      <c r="W1361">
        <v>12.49</v>
      </c>
      <c r="X1361" s="157" t="e">
        <f t="shared" si="203"/>
        <v>#VALUE!</v>
      </c>
      <c r="Y1361">
        <v>12.49</v>
      </c>
      <c r="Z1361" s="154" t="e">
        <f t="shared" si="204"/>
        <v>#VALUE!</v>
      </c>
      <c r="AA1361">
        <v>12.49</v>
      </c>
      <c r="AB1361" s="154" t="e">
        <f t="shared" si="205"/>
        <v>#VALUE!</v>
      </c>
      <c r="AC1361">
        <v>12.49</v>
      </c>
      <c r="AD1361" s="154" t="e">
        <f t="shared" si="206"/>
        <v>#VALUE!</v>
      </c>
      <c r="AE1361">
        <v>12.49</v>
      </c>
    </row>
    <row r="1362" spans="12:31" ht="15" x14ac:dyDescent="0.2">
      <c r="L1362" s="154" t="e">
        <f t="shared" si="197"/>
        <v>#VALUE!</v>
      </c>
      <c r="M1362">
        <v>12.5</v>
      </c>
      <c r="N1362" s="154" t="e">
        <f t="shared" si="198"/>
        <v>#VALUE!</v>
      </c>
      <c r="O1362">
        <v>12.5</v>
      </c>
      <c r="P1362" s="154" t="e">
        <f t="shared" si="199"/>
        <v>#VALUE!</v>
      </c>
      <c r="Q1362">
        <v>12.5</v>
      </c>
      <c r="R1362" s="154" t="e">
        <f t="shared" si="200"/>
        <v>#VALUE!</v>
      </c>
      <c r="S1362">
        <v>12.5</v>
      </c>
      <c r="T1362" s="154" t="e">
        <f t="shared" si="201"/>
        <v>#VALUE!</v>
      </c>
      <c r="U1362">
        <v>12.5</v>
      </c>
      <c r="V1362" s="154" t="e">
        <f t="shared" si="202"/>
        <v>#VALUE!</v>
      </c>
      <c r="W1362">
        <v>12.5</v>
      </c>
      <c r="X1362" s="157" t="e">
        <f t="shared" si="203"/>
        <v>#VALUE!</v>
      </c>
      <c r="Y1362">
        <v>12.5</v>
      </c>
      <c r="Z1362" s="154" t="e">
        <f t="shared" si="204"/>
        <v>#VALUE!</v>
      </c>
      <c r="AA1362">
        <v>12.5</v>
      </c>
      <c r="AB1362" s="154" t="e">
        <f t="shared" si="205"/>
        <v>#VALUE!</v>
      </c>
      <c r="AC1362">
        <v>12.5</v>
      </c>
      <c r="AD1362" s="154" t="e">
        <f t="shared" si="206"/>
        <v>#VALUE!</v>
      </c>
      <c r="AE1362">
        <v>12.5</v>
      </c>
    </row>
    <row r="1363" spans="12:31" ht="15" x14ac:dyDescent="0.2">
      <c r="L1363" s="154" t="e">
        <f t="shared" si="197"/>
        <v>#VALUE!</v>
      </c>
      <c r="M1363">
        <v>12.51</v>
      </c>
      <c r="N1363" s="154" t="e">
        <f t="shared" si="198"/>
        <v>#VALUE!</v>
      </c>
      <c r="O1363">
        <v>12.51</v>
      </c>
      <c r="P1363" s="154" t="e">
        <f t="shared" si="199"/>
        <v>#VALUE!</v>
      </c>
      <c r="Q1363">
        <v>12.51</v>
      </c>
      <c r="R1363" s="154" t="e">
        <f t="shared" si="200"/>
        <v>#VALUE!</v>
      </c>
      <c r="S1363">
        <v>12.51</v>
      </c>
      <c r="T1363" s="154" t="e">
        <f t="shared" si="201"/>
        <v>#VALUE!</v>
      </c>
      <c r="U1363">
        <v>12.51</v>
      </c>
      <c r="V1363" s="154" t="e">
        <f t="shared" si="202"/>
        <v>#VALUE!</v>
      </c>
      <c r="W1363">
        <v>12.51</v>
      </c>
      <c r="X1363" s="157" t="e">
        <f t="shared" si="203"/>
        <v>#VALUE!</v>
      </c>
      <c r="Y1363">
        <v>12.51</v>
      </c>
      <c r="Z1363" s="154" t="e">
        <f t="shared" si="204"/>
        <v>#VALUE!</v>
      </c>
      <c r="AA1363">
        <v>12.51</v>
      </c>
      <c r="AB1363" s="154" t="e">
        <f t="shared" si="205"/>
        <v>#VALUE!</v>
      </c>
      <c r="AC1363">
        <v>12.51</v>
      </c>
      <c r="AD1363" s="154" t="e">
        <f t="shared" si="206"/>
        <v>#VALUE!</v>
      </c>
      <c r="AE1363">
        <v>12.51</v>
      </c>
    </row>
    <row r="1364" spans="12:31" ht="15" x14ac:dyDescent="0.2">
      <c r="L1364" s="154" t="e">
        <f t="shared" si="197"/>
        <v>#VALUE!</v>
      </c>
      <c r="M1364">
        <v>12.52</v>
      </c>
      <c r="N1364" s="154" t="e">
        <f t="shared" si="198"/>
        <v>#VALUE!</v>
      </c>
      <c r="O1364">
        <v>12.52</v>
      </c>
      <c r="P1364" s="154" t="e">
        <f t="shared" si="199"/>
        <v>#VALUE!</v>
      </c>
      <c r="Q1364">
        <v>12.52</v>
      </c>
      <c r="R1364" s="154" t="e">
        <f t="shared" si="200"/>
        <v>#VALUE!</v>
      </c>
      <c r="S1364">
        <v>12.52</v>
      </c>
      <c r="T1364" s="154" t="e">
        <f t="shared" si="201"/>
        <v>#VALUE!</v>
      </c>
      <c r="U1364">
        <v>12.52</v>
      </c>
      <c r="V1364" s="154" t="e">
        <f t="shared" si="202"/>
        <v>#VALUE!</v>
      </c>
      <c r="W1364">
        <v>12.52</v>
      </c>
      <c r="X1364" s="157" t="e">
        <f t="shared" si="203"/>
        <v>#VALUE!</v>
      </c>
      <c r="Y1364">
        <v>12.52</v>
      </c>
      <c r="Z1364" s="154" t="e">
        <f t="shared" si="204"/>
        <v>#VALUE!</v>
      </c>
      <c r="AA1364">
        <v>12.52</v>
      </c>
      <c r="AB1364" s="154" t="e">
        <f t="shared" si="205"/>
        <v>#VALUE!</v>
      </c>
      <c r="AC1364">
        <v>12.52</v>
      </c>
      <c r="AD1364" s="154" t="e">
        <f t="shared" si="206"/>
        <v>#VALUE!</v>
      </c>
      <c r="AE1364">
        <v>12.52</v>
      </c>
    </row>
    <row r="1365" spans="12:31" ht="15" x14ac:dyDescent="0.2">
      <c r="L1365" s="154" t="e">
        <f t="shared" si="197"/>
        <v>#VALUE!</v>
      </c>
      <c r="M1365">
        <v>12.53</v>
      </c>
      <c r="N1365" s="154" t="e">
        <f t="shared" si="198"/>
        <v>#VALUE!</v>
      </c>
      <c r="O1365">
        <v>12.53</v>
      </c>
      <c r="P1365" s="154" t="e">
        <f t="shared" si="199"/>
        <v>#VALUE!</v>
      </c>
      <c r="Q1365">
        <v>12.53</v>
      </c>
      <c r="R1365" s="154" t="e">
        <f t="shared" si="200"/>
        <v>#VALUE!</v>
      </c>
      <c r="S1365">
        <v>12.53</v>
      </c>
      <c r="T1365" s="154" t="e">
        <f t="shared" si="201"/>
        <v>#VALUE!</v>
      </c>
      <c r="U1365">
        <v>12.53</v>
      </c>
      <c r="V1365" s="154" t="e">
        <f t="shared" si="202"/>
        <v>#VALUE!</v>
      </c>
      <c r="W1365">
        <v>12.53</v>
      </c>
      <c r="X1365" s="157" t="e">
        <f t="shared" si="203"/>
        <v>#VALUE!</v>
      </c>
      <c r="Y1365">
        <v>12.53</v>
      </c>
      <c r="Z1365" s="154" t="e">
        <f t="shared" si="204"/>
        <v>#VALUE!</v>
      </c>
      <c r="AA1365">
        <v>12.53</v>
      </c>
      <c r="AB1365" s="154" t="e">
        <f t="shared" si="205"/>
        <v>#VALUE!</v>
      </c>
      <c r="AC1365">
        <v>12.53</v>
      </c>
      <c r="AD1365" s="154" t="e">
        <f t="shared" si="206"/>
        <v>#VALUE!</v>
      </c>
      <c r="AE1365">
        <v>12.53</v>
      </c>
    </row>
    <row r="1366" spans="12:31" ht="15" x14ac:dyDescent="0.2">
      <c r="L1366" s="154" t="e">
        <f t="shared" si="197"/>
        <v>#VALUE!</v>
      </c>
      <c r="M1366">
        <v>12.54</v>
      </c>
      <c r="N1366" s="154" t="e">
        <f t="shared" si="198"/>
        <v>#VALUE!</v>
      </c>
      <c r="O1366">
        <v>12.54</v>
      </c>
      <c r="P1366" s="154" t="e">
        <f t="shared" si="199"/>
        <v>#VALUE!</v>
      </c>
      <c r="Q1366">
        <v>12.54</v>
      </c>
      <c r="R1366" s="154" t="e">
        <f t="shared" si="200"/>
        <v>#VALUE!</v>
      </c>
      <c r="S1366">
        <v>12.54</v>
      </c>
      <c r="T1366" s="154" t="e">
        <f t="shared" si="201"/>
        <v>#VALUE!</v>
      </c>
      <c r="U1366">
        <v>12.54</v>
      </c>
      <c r="V1366" s="154" t="e">
        <f t="shared" si="202"/>
        <v>#VALUE!</v>
      </c>
      <c r="W1366">
        <v>12.54</v>
      </c>
      <c r="X1366" s="157" t="e">
        <f t="shared" si="203"/>
        <v>#VALUE!</v>
      </c>
      <c r="Y1366">
        <v>12.54</v>
      </c>
      <c r="Z1366" s="154" t="e">
        <f t="shared" si="204"/>
        <v>#VALUE!</v>
      </c>
      <c r="AA1366">
        <v>12.54</v>
      </c>
      <c r="AB1366" s="154" t="e">
        <f t="shared" si="205"/>
        <v>#VALUE!</v>
      </c>
      <c r="AC1366">
        <v>12.54</v>
      </c>
      <c r="AD1366" s="154" t="e">
        <f t="shared" si="206"/>
        <v>#VALUE!</v>
      </c>
      <c r="AE1366">
        <v>12.54</v>
      </c>
    </row>
    <row r="1367" spans="12:31" ht="15" x14ac:dyDescent="0.2">
      <c r="L1367" s="154" t="e">
        <f t="shared" si="197"/>
        <v>#VALUE!</v>
      </c>
      <c r="M1367">
        <v>12.55</v>
      </c>
      <c r="N1367" s="154" t="e">
        <f t="shared" si="198"/>
        <v>#VALUE!</v>
      </c>
      <c r="O1367">
        <v>12.55</v>
      </c>
      <c r="P1367" s="154" t="e">
        <f t="shared" si="199"/>
        <v>#VALUE!</v>
      </c>
      <c r="Q1367">
        <v>12.55</v>
      </c>
      <c r="R1367" s="154" t="e">
        <f t="shared" si="200"/>
        <v>#VALUE!</v>
      </c>
      <c r="S1367">
        <v>12.55</v>
      </c>
      <c r="T1367" s="154" t="e">
        <f t="shared" si="201"/>
        <v>#VALUE!</v>
      </c>
      <c r="U1367">
        <v>12.55</v>
      </c>
      <c r="V1367" s="154" t="e">
        <f t="shared" si="202"/>
        <v>#VALUE!</v>
      </c>
      <c r="W1367">
        <v>12.55</v>
      </c>
      <c r="X1367" s="157" t="e">
        <f t="shared" si="203"/>
        <v>#VALUE!</v>
      </c>
      <c r="Y1367">
        <v>12.55</v>
      </c>
      <c r="Z1367" s="154" t="e">
        <f t="shared" si="204"/>
        <v>#VALUE!</v>
      </c>
      <c r="AA1367">
        <v>12.55</v>
      </c>
      <c r="AB1367" s="154" t="e">
        <f t="shared" si="205"/>
        <v>#VALUE!</v>
      </c>
      <c r="AC1367">
        <v>12.55</v>
      </c>
      <c r="AD1367" s="154" t="e">
        <f t="shared" si="206"/>
        <v>#VALUE!</v>
      </c>
      <c r="AE1367">
        <v>12.55</v>
      </c>
    </row>
    <row r="1368" spans="12:31" ht="15" x14ac:dyDescent="0.2">
      <c r="L1368" s="154" t="e">
        <f t="shared" si="197"/>
        <v>#VALUE!</v>
      </c>
      <c r="M1368">
        <v>12.56</v>
      </c>
      <c r="N1368" s="154" t="e">
        <f t="shared" si="198"/>
        <v>#VALUE!</v>
      </c>
      <c r="O1368">
        <v>12.56</v>
      </c>
      <c r="P1368" s="154" t="e">
        <f t="shared" si="199"/>
        <v>#VALUE!</v>
      </c>
      <c r="Q1368">
        <v>12.56</v>
      </c>
      <c r="R1368" s="154" t="e">
        <f t="shared" si="200"/>
        <v>#VALUE!</v>
      </c>
      <c r="S1368">
        <v>12.56</v>
      </c>
      <c r="T1368" s="154" t="e">
        <f t="shared" si="201"/>
        <v>#VALUE!</v>
      </c>
      <c r="U1368">
        <v>12.56</v>
      </c>
      <c r="V1368" s="154" t="e">
        <f t="shared" si="202"/>
        <v>#VALUE!</v>
      </c>
      <c r="W1368">
        <v>12.56</v>
      </c>
      <c r="X1368" s="157" t="e">
        <f t="shared" si="203"/>
        <v>#VALUE!</v>
      </c>
      <c r="Y1368">
        <v>12.56</v>
      </c>
      <c r="Z1368" s="154" t="e">
        <f t="shared" si="204"/>
        <v>#VALUE!</v>
      </c>
      <c r="AA1368">
        <v>12.56</v>
      </c>
      <c r="AB1368" s="154" t="e">
        <f t="shared" si="205"/>
        <v>#VALUE!</v>
      </c>
      <c r="AC1368">
        <v>12.56</v>
      </c>
      <c r="AD1368" s="154" t="e">
        <f t="shared" si="206"/>
        <v>#VALUE!</v>
      </c>
      <c r="AE1368">
        <v>12.56</v>
      </c>
    </row>
    <row r="1369" spans="12:31" ht="15" x14ac:dyDescent="0.2">
      <c r="L1369" s="154" t="e">
        <f t="shared" si="197"/>
        <v>#VALUE!</v>
      </c>
      <c r="M1369">
        <v>12.57</v>
      </c>
      <c r="N1369" s="154" t="e">
        <f t="shared" si="198"/>
        <v>#VALUE!</v>
      </c>
      <c r="O1369">
        <v>12.57</v>
      </c>
      <c r="P1369" s="154" t="e">
        <f t="shared" si="199"/>
        <v>#VALUE!</v>
      </c>
      <c r="Q1369">
        <v>12.57</v>
      </c>
      <c r="R1369" s="154" t="e">
        <f t="shared" si="200"/>
        <v>#VALUE!</v>
      </c>
      <c r="S1369">
        <v>12.57</v>
      </c>
      <c r="T1369" s="154" t="e">
        <f t="shared" si="201"/>
        <v>#VALUE!</v>
      </c>
      <c r="U1369">
        <v>12.57</v>
      </c>
      <c r="V1369" s="154" t="e">
        <f t="shared" si="202"/>
        <v>#VALUE!</v>
      </c>
      <c r="W1369">
        <v>12.57</v>
      </c>
      <c r="X1369" s="157" t="e">
        <f t="shared" si="203"/>
        <v>#VALUE!</v>
      </c>
      <c r="Y1369">
        <v>12.57</v>
      </c>
      <c r="Z1369" s="154" t="e">
        <f t="shared" si="204"/>
        <v>#VALUE!</v>
      </c>
      <c r="AA1369">
        <v>12.57</v>
      </c>
      <c r="AB1369" s="154" t="e">
        <f t="shared" si="205"/>
        <v>#VALUE!</v>
      </c>
      <c r="AC1369">
        <v>12.57</v>
      </c>
      <c r="AD1369" s="154" t="e">
        <f t="shared" si="206"/>
        <v>#VALUE!</v>
      </c>
      <c r="AE1369">
        <v>12.57</v>
      </c>
    </row>
    <row r="1370" spans="12:31" ht="15" x14ac:dyDescent="0.2">
      <c r="L1370" s="154" t="e">
        <f t="shared" si="197"/>
        <v>#VALUE!</v>
      </c>
      <c r="M1370">
        <v>12.58</v>
      </c>
      <c r="N1370" s="154" t="e">
        <f t="shared" si="198"/>
        <v>#VALUE!</v>
      </c>
      <c r="O1370">
        <v>12.58</v>
      </c>
      <c r="P1370" s="154" t="e">
        <f t="shared" si="199"/>
        <v>#VALUE!</v>
      </c>
      <c r="Q1370">
        <v>12.58</v>
      </c>
      <c r="R1370" s="154" t="e">
        <f t="shared" si="200"/>
        <v>#VALUE!</v>
      </c>
      <c r="S1370">
        <v>12.58</v>
      </c>
      <c r="T1370" s="154" t="e">
        <f t="shared" si="201"/>
        <v>#VALUE!</v>
      </c>
      <c r="U1370">
        <v>12.58</v>
      </c>
      <c r="V1370" s="154" t="e">
        <f t="shared" si="202"/>
        <v>#VALUE!</v>
      </c>
      <c r="W1370">
        <v>12.58</v>
      </c>
      <c r="X1370" s="157" t="e">
        <f t="shared" si="203"/>
        <v>#VALUE!</v>
      </c>
      <c r="Y1370">
        <v>12.58</v>
      </c>
      <c r="Z1370" s="154" t="e">
        <f t="shared" si="204"/>
        <v>#VALUE!</v>
      </c>
      <c r="AA1370">
        <v>12.58</v>
      </c>
      <c r="AB1370" s="154" t="e">
        <f t="shared" si="205"/>
        <v>#VALUE!</v>
      </c>
      <c r="AC1370">
        <v>12.58</v>
      </c>
      <c r="AD1370" s="154" t="e">
        <f t="shared" si="206"/>
        <v>#VALUE!</v>
      </c>
      <c r="AE1370">
        <v>12.58</v>
      </c>
    </row>
    <row r="1371" spans="12:31" ht="15" x14ac:dyDescent="0.2">
      <c r="L1371" s="154" t="e">
        <f t="shared" si="197"/>
        <v>#VALUE!</v>
      </c>
      <c r="M1371">
        <v>12.59</v>
      </c>
      <c r="N1371" s="154" t="e">
        <f t="shared" si="198"/>
        <v>#VALUE!</v>
      </c>
      <c r="O1371">
        <v>12.59</v>
      </c>
      <c r="P1371" s="154" t="e">
        <f t="shared" si="199"/>
        <v>#VALUE!</v>
      </c>
      <c r="Q1371">
        <v>12.59</v>
      </c>
      <c r="R1371" s="154" t="e">
        <f t="shared" si="200"/>
        <v>#VALUE!</v>
      </c>
      <c r="S1371">
        <v>12.59</v>
      </c>
      <c r="T1371" s="154" t="e">
        <f t="shared" si="201"/>
        <v>#VALUE!</v>
      </c>
      <c r="U1371">
        <v>12.59</v>
      </c>
      <c r="V1371" s="154" t="e">
        <f t="shared" si="202"/>
        <v>#VALUE!</v>
      </c>
      <c r="W1371">
        <v>12.59</v>
      </c>
      <c r="X1371" s="157" t="e">
        <f t="shared" si="203"/>
        <v>#VALUE!</v>
      </c>
      <c r="Y1371">
        <v>12.59</v>
      </c>
      <c r="Z1371" s="154" t="e">
        <f t="shared" si="204"/>
        <v>#VALUE!</v>
      </c>
      <c r="AA1371">
        <v>12.59</v>
      </c>
      <c r="AB1371" s="154" t="e">
        <f t="shared" si="205"/>
        <v>#VALUE!</v>
      </c>
      <c r="AC1371">
        <v>12.59</v>
      </c>
      <c r="AD1371" s="154" t="e">
        <f t="shared" si="206"/>
        <v>#VALUE!</v>
      </c>
      <c r="AE1371">
        <v>12.59</v>
      </c>
    </row>
    <row r="1372" spans="12:31" ht="15" x14ac:dyDescent="0.2">
      <c r="L1372" s="154" t="e">
        <f t="shared" si="197"/>
        <v>#VALUE!</v>
      </c>
      <c r="M1372">
        <v>12.6</v>
      </c>
      <c r="N1372" s="154" t="e">
        <f t="shared" si="198"/>
        <v>#VALUE!</v>
      </c>
      <c r="O1372">
        <v>12.6</v>
      </c>
      <c r="P1372" s="154" t="e">
        <f t="shared" si="199"/>
        <v>#VALUE!</v>
      </c>
      <c r="Q1372">
        <v>12.6</v>
      </c>
      <c r="R1372" s="154" t="e">
        <f t="shared" si="200"/>
        <v>#VALUE!</v>
      </c>
      <c r="S1372">
        <v>12.6</v>
      </c>
      <c r="T1372" s="154" t="e">
        <f t="shared" si="201"/>
        <v>#VALUE!</v>
      </c>
      <c r="U1372">
        <v>12.6</v>
      </c>
      <c r="V1372" s="154" t="e">
        <f t="shared" si="202"/>
        <v>#VALUE!</v>
      </c>
      <c r="W1372">
        <v>12.6</v>
      </c>
      <c r="X1372" s="157" t="e">
        <f t="shared" si="203"/>
        <v>#VALUE!</v>
      </c>
      <c r="Y1372">
        <v>12.6</v>
      </c>
      <c r="Z1372" s="154" t="e">
        <f t="shared" si="204"/>
        <v>#VALUE!</v>
      </c>
      <c r="AA1372">
        <v>12.6</v>
      </c>
      <c r="AB1372" s="154" t="e">
        <f t="shared" si="205"/>
        <v>#VALUE!</v>
      </c>
      <c r="AC1372">
        <v>12.6</v>
      </c>
      <c r="AD1372" s="154" t="e">
        <f t="shared" si="206"/>
        <v>#VALUE!</v>
      </c>
      <c r="AE1372">
        <v>12.6</v>
      </c>
    </row>
    <row r="1373" spans="12:31" ht="15" x14ac:dyDescent="0.2">
      <c r="L1373" s="154" t="e">
        <f t="shared" si="197"/>
        <v>#VALUE!</v>
      </c>
      <c r="M1373">
        <v>12.61</v>
      </c>
      <c r="N1373" s="154" t="e">
        <f t="shared" si="198"/>
        <v>#VALUE!</v>
      </c>
      <c r="O1373">
        <v>12.61</v>
      </c>
      <c r="P1373" s="154" t="e">
        <f t="shared" si="199"/>
        <v>#VALUE!</v>
      </c>
      <c r="Q1373">
        <v>12.61</v>
      </c>
      <c r="R1373" s="154" t="e">
        <f t="shared" si="200"/>
        <v>#VALUE!</v>
      </c>
      <c r="S1373">
        <v>12.61</v>
      </c>
      <c r="T1373" s="154" t="e">
        <f t="shared" si="201"/>
        <v>#VALUE!</v>
      </c>
      <c r="U1373">
        <v>12.61</v>
      </c>
      <c r="V1373" s="154" t="e">
        <f t="shared" si="202"/>
        <v>#VALUE!</v>
      </c>
      <c r="W1373">
        <v>12.61</v>
      </c>
      <c r="X1373" s="157" t="e">
        <f t="shared" si="203"/>
        <v>#VALUE!</v>
      </c>
      <c r="Y1373">
        <v>12.61</v>
      </c>
      <c r="Z1373" s="154" t="e">
        <f t="shared" si="204"/>
        <v>#VALUE!</v>
      </c>
      <c r="AA1373">
        <v>12.61</v>
      </c>
      <c r="AB1373" s="154" t="e">
        <f t="shared" si="205"/>
        <v>#VALUE!</v>
      </c>
      <c r="AC1373">
        <v>12.61</v>
      </c>
      <c r="AD1373" s="154" t="e">
        <f t="shared" si="206"/>
        <v>#VALUE!</v>
      </c>
      <c r="AE1373">
        <v>12.61</v>
      </c>
    </row>
    <row r="1374" spans="12:31" ht="15" x14ac:dyDescent="0.2">
      <c r="L1374" s="154" t="e">
        <f t="shared" si="197"/>
        <v>#VALUE!</v>
      </c>
      <c r="M1374">
        <v>12.62</v>
      </c>
      <c r="N1374" s="154" t="e">
        <f t="shared" si="198"/>
        <v>#VALUE!</v>
      </c>
      <c r="O1374">
        <v>12.62</v>
      </c>
      <c r="P1374" s="154" t="e">
        <f t="shared" si="199"/>
        <v>#VALUE!</v>
      </c>
      <c r="Q1374">
        <v>12.62</v>
      </c>
      <c r="R1374" s="154" t="e">
        <f t="shared" si="200"/>
        <v>#VALUE!</v>
      </c>
      <c r="S1374">
        <v>12.62</v>
      </c>
      <c r="T1374" s="154" t="e">
        <f t="shared" si="201"/>
        <v>#VALUE!</v>
      </c>
      <c r="U1374">
        <v>12.62</v>
      </c>
      <c r="V1374" s="154" t="e">
        <f t="shared" si="202"/>
        <v>#VALUE!</v>
      </c>
      <c r="W1374">
        <v>12.62</v>
      </c>
      <c r="X1374" s="157" t="e">
        <f t="shared" si="203"/>
        <v>#VALUE!</v>
      </c>
      <c r="Y1374">
        <v>12.62</v>
      </c>
      <c r="Z1374" s="154" t="e">
        <f t="shared" si="204"/>
        <v>#VALUE!</v>
      </c>
      <c r="AA1374">
        <v>12.62</v>
      </c>
      <c r="AB1374" s="154" t="e">
        <f t="shared" si="205"/>
        <v>#VALUE!</v>
      </c>
      <c r="AC1374">
        <v>12.62</v>
      </c>
      <c r="AD1374" s="154" t="e">
        <f t="shared" si="206"/>
        <v>#VALUE!</v>
      </c>
      <c r="AE1374">
        <v>12.62</v>
      </c>
    </row>
    <row r="1375" spans="12:31" ht="15" x14ac:dyDescent="0.2">
      <c r="L1375" s="154" t="e">
        <f t="shared" si="197"/>
        <v>#VALUE!</v>
      </c>
      <c r="M1375">
        <v>12.63</v>
      </c>
      <c r="N1375" s="154" t="e">
        <f t="shared" si="198"/>
        <v>#VALUE!</v>
      </c>
      <c r="O1375">
        <v>12.63</v>
      </c>
      <c r="P1375" s="154" t="e">
        <f t="shared" si="199"/>
        <v>#VALUE!</v>
      </c>
      <c r="Q1375">
        <v>12.63</v>
      </c>
      <c r="R1375" s="154" t="e">
        <f t="shared" si="200"/>
        <v>#VALUE!</v>
      </c>
      <c r="S1375">
        <v>12.63</v>
      </c>
      <c r="T1375" s="154" t="e">
        <f t="shared" si="201"/>
        <v>#VALUE!</v>
      </c>
      <c r="U1375">
        <v>12.63</v>
      </c>
      <c r="V1375" s="154" t="e">
        <f t="shared" si="202"/>
        <v>#VALUE!</v>
      </c>
      <c r="W1375">
        <v>12.63</v>
      </c>
      <c r="X1375" s="157" t="e">
        <f t="shared" si="203"/>
        <v>#VALUE!</v>
      </c>
      <c r="Y1375">
        <v>12.63</v>
      </c>
      <c r="Z1375" s="154" t="e">
        <f t="shared" si="204"/>
        <v>#VALUE!</v>
      </c>
      <c r="AA1375">
        <v>12.63</v>
      </c>
      <c r="AB1375" s="154" t="e">
        <f t="shared" si="205"/>
        <v>#VALUE!</v>
      </c>
      <c r="AC1375">
        <v>12.63</v>
      </c>
      <c r="AD1375" s="154" t="e">
        <f t="shared" si="206"/>
        <v>#VALUE!</v>
      </c>
      <c r="AE1375">
        <v>12.63</v>
      </c>
    </row>
    <row r="1376" spans="12:31" ht="15" x14ac:dyDescent="0.2">
      <c r="L1376" s="154" t="e">
        <f t="shared" si="197"/>
        <v>#VALUE!</v>
      </c>
      <c r="M1376">
        <v>12.64</v>
      </c>
      <c r="N1376" s="154" t="e">
        <f t="shared" si="198"/>
        <v>#VALUE!</v>
      </c>
      <c r="O1376">
        <v>12.64</v>
      </c>
      <c r="P1376" s="154" t="e">
        <f t="shared" si="199"/>
        <v>#VALUE!</v>
      </c>
      <c r="Q1376">
        <v>12.64</v>
      </c>
      <c r="R1376" s="154" t="e">
        <f t="shared" si="200"/>
        <v>#VALUE!</v>
      </c>
      <c r="S1376">
        <v>12.64</v>
      </c>
      <c r="T1376" s="154" t="e">
        <f t="shared" si="201"/>
        <v>#VALUE!</v>
      </c>
      <c r="U1376">
        <v>12.64</v>
      </c>
      <c r="V1376" s="154" t="e">
        <f t="shared" si="202"/>
        <v>#VALUE!</v>
      </c>
      <c r="W1376">
        <v>12.64</v>
      </c>
      <c r="X1376" s="157" t="e">
        <f t="shared" si="203"/>
        <v>#VALUE!</v>
      </c>
      <c r="Y1376">
        <v>12.64</v>
      </c>
      <c r="Z1376" s="154" t="e">
        <f t="shared" si="204"/>
        <v>#VALUE!</v>
      </c>
      <c r="AA1376">
        <v>12.64</v>
      </c>
      <c r="AB1376" s="154" t="e">
        <f t="shared" si="205"/>
        <v>#VALUE!</v>
      </c>
      <c r="AC1376">
        <v>12.64</v>
      </c>
      <c r="AD1376" s="154" t="e">
        <f t="shared" si="206"/>
        <v>#VALUE!</v>
      </c>
      <c r="AE1376">
        <v>12.64</v>
      </c>
    </row>
    <row r="1377" spans="12:31" ht="15" x14ac:dyDescent="0.2">
      <c r="L1377" s="154" t="e">
        <f t="shared" si="197"/>
        <v>#VALUE!</v>
      </c>
      <c r="M1377">
        <v>12.65</v>
      </c>
      <c r="N1377" s="154" t="e">
        <f t="shared" si="198"/>
        <v>#VALUE!</v>
      </c>
      <c r="O1377">
        <v>12.65</v>
      </c>
      <c r="P1377" s="154" t="e">
        <f t="shared" si="199"/>
        <v>#VALUE!</v>
      </c>
      <c r="Q1377">
        <v>12.65</v>
      </c>
      <c r="R1377" s="154" t="e">
        <f t="shared" si="200"/>
        <v>#VALUE!</v>
      </c>
      <c r="S1377">
        <v>12.65</v>
      </c>
      <c r="T1377" s="154" t="e">
        <f t="shared" si="201"/>
        <v>#VALUE!</v>
      </c>
      <c r="U1377">
        <v>12.65</v>
      </c>
      <c r="V1377" s="154" t="e">
        <f t="shared" si="202"/>
        <v>#VALUE!</v>
      </c>
      <c r="W1377">
        <v>12.65</v>
      </c>
      <c r="X1377" s="157" t="e">
        <f t="shared" si="203"/>
        <v>#VALUE!</v>
      </c>
      <c r="Y1377">
        <v>12.65</v>
      </c>
      <c r="Z1377" s="154" t="e">
        <f t="shared" si="204"/>
        <v>#VALUE!</v>
      </c>
      <c r="AA1377">
        <v>12.65</v>
      </c>
      <c r="AB1377" s="154" t="e">
        <f t="shared" si="205"/>
        <v>#VALUE!</v>
      </c>
      <c r="AC1377">
        <v>12.65</v>
      </c>
      <c r="AD1377" s="154" t="e">
        <f t="shared" si="206"/>
        <v>#VALUE!</v>
      </c>
      <c r="AE1377">
        <v>12.65</v>
      </c>
    </row>
    <row r="1378" spans="12:31" ht="15" x14ac:dyDescent="0.2">
      <c r="L1378" s="154" t="e">
        <f t="shared" si="197"/>
        <v>#VALUE!</v>
      </c>
      <c r="M1378">
        <v>12.66</v>
      </c>
      <c r="N1378" s="154" t="e">
        <f t="shared" si="198"/>
        <v>#VALUE!</v>
      </c>
      <c r="O1378">
        <v>12.66</v>
      </c>
      <c r="P1378" s="154" t="e">
        <f t="shared" si="199"/>
        <v>#VALUE!</v>
      </c>
      <c r="Q1378">
        <v>12.66</v>
      </c>
      <c r="R1378" s="154" t="e">
        <f t="shared" si="200"/>
        <v>#VALUE!</v>
      </c>
      <c r="S1378">
        <v>12.66</v>
      </c>
      <c r="T1378" s="154" t="e">
        <f t="shared" si="201"/>
        <v>#VALUE!</v>
      </c>
      <c r="U1378">
        <v>12.66</v>
      </c>
      <c r="V1378" s="154" t="e">
        <f t="shared" si="202"/>
        <v>#VALUE!</v>
      </c>
      <c r="W1378">
        <v>12.66</v>
      </c>
      <c r="X1378" s="157" t="e">
        <f t="shared" si="203"/>
        <v>#VALUE!</v>
      </c>
      <c r="Y1378">
        <v>12.66</v>
      </c>
      <c r="Z1378" s="154" t="e">
        <f t="shared" si="204"/>
        <v>#VALUE!</v>
      </c>
      <c r="AA1378">
        <v>12.66</v>
      </c>
      <c r="AB1378" s="154" t="e">
        <f t="shared" si="205"/>
        <v>#VALUE!</v>
      </c>
      <c r="AC1378">
        <v>12.66</v>
      </c>
      <c r="AD1378" s="154" t="e">
        <f t="shared" si="206"/>
        <v>#VALUE!</v>
      </c>
      <c r="AE1378">
        <v>12.66</v>
      </c>
    </row>
    <row r="1379" spans="12:31" ht="15" x14ac:dyDescent="0.2">
      <c r="L1379" s="154" t="e">
        <f t="shared" si="197"/>
        <v>#VALUE!</v>
      </c>
      <c r="M1379">
        <v>12.67</v>
      </c>
      <c r="N1379" s="154" t="e">
        <f t="shared" si="198"/>
        <v>#VALUE!</v>
      </c>
      <c r="O1379">
        <v>12.67</v>
      </c>
      <c r="P1379" s="154" t="e">
        <f t="shared" si="199"/>
        <v>#VALUE!</v>
      </c>
      <c r="Q1379">
        <v>12.67</v>
      </c>
      <c r="R1379" s="154" t="e">
        <f t="shared" si="200"/>
        <v>#VALUE!</v>
      </c>
      <c r="S1379">
        <v>12.67</v>
      </c>
      <c r="T1379" s="154" t="e">
        <f t="shared" si="201"/>
        <v>#VALUE!</v>
      </c>
      <c r="U1379">
        <v>12.67</v>
      </c>
      <c r="V1379" s="154" t="e">
        <f t="shared" si="202"/>
        <v>#VALUE!</v>
      </c>
      <c r="W1379">
        <v>12.67</v>
      </c>
      <c r="X1379" s="157" t="e">
        <f t="shared" si="203"/>
        <v>#VALUE!</v>
      </c>
      <c r="Y1379">
        <v>12.67</v>
      </c>
      <c r="Z1379" s="154" t="e">
        <f t="shared" si="204"/>
        <v>#VALUE!</v>
      </c>
      <c r="AA1379">
        <v>12.67</v>
      </c>
      <c r="AB1379" s="154" t="e">
        <f t="shared" si="205"/>
        <v>#VALUE!</v>
      </c>
      <c r="AC1379">
        <v>12.67</v>
      </c>
      <c r="AD1379" s="154" t="e">
        <f t="shared" si="206"/>
        <v>#VALUE!</v>
      </c>
      <c r="AE1379">
        <v>12.67</v>
      </c>
    </row>
    <row r="1380" spans="12:31" ht="15" x14ac:dyDescent="0.2">
      <c r="L1380" s="154" t="e">
        <f t="shared" si="197"/>
        <v>#VALUE!</v>
      </c>
      <c r="M1380">
        <v>12.68</v>
      </c>
      <c r="N1380" s="154" t="e">
        <f t="shared" si="198"/>
        <v>#VALUE!</v>
      </c>
      <c r="O1380">
        <v>12.68</v>
      </c>
      <c r="P1380" s="154" t="e">
        <f t="shared" si="199"/>
        <v>#VALUE!</v>
      </c>
      <c r="Q1380">
        <v>12.68</v>
      </c>
      <c r="R1380" s="154" t="e">
        <f t="shared" si="200"/>
        <v>#VALUE!</v>
      </c>
      <c r="S1380">
        <v>12.68</v>
      </c>
      <c r="T1380" s="154" t="e">
        <f t="shared" si="201"/>
        <v>#VALUE!</v>
      </c>
      <c r="U1380">
        <v>12.68</v>
      </c>
      <c r="V1380" s="154" t="e">
        <f t="shared" si="202"/>
        <v>#VALUE!</v>
      </c>
      <c r="W1380">
        <v>12.68</v>
      </c>
      <c r="X1380" s="157" t="e">
        <f t="shared" si="203"/>
        <v>#VALUE!</v>
      </c>
      <c r="Y1380">
        <v>12.68</v>
      </c>
      <c r="Z1380" s="154" t="e">
        <f t="shared" si="204"/>
        <v>#VALUE!</v>
      </c>
      <c r="AA1380">
        <v>12.68</v>
      </c>
      <c r="AB1380" s="154" t="e">
        <f t="shared" si="205"/>
        <v>#VALUE!</v>
      </c>
      <c r="AC1380">
        <v>12.68</v>
      </c>
      <c r="AD1380" s="154" t="e">
        <f t="shared" si="206"/>
        <v>#VALUE!</v>
      </c>
      <c r="AE1380">
        <v>12.68</v>
      </c>
    </row>
    <row r="1381" spans="12:31" ht="15" x14ac:dyDescent="0.2">
      <c r="L1381" s="154" t="e">
        <f t="shared" si="197"/>
        <v>#VALUE!</v>
      </c>
      <c r="M1381">
        <v>12.69</v>
      </c>
      <c r="N1381" s="154" t="e">
        <f t="shared" si="198"/>
        <v>#VALUE!</v>
      </c>
      <c r="O1381">
        <v>12.69</v>
      </c>
      <c r="P1381" s="154" t="e">
        <f t="shared" si="199"/>
        <v>#VALUE!</v>
      </c>
      <c r="Q1381">
        <v>12.69</v>
      </c>
      <c r="R1381" s="154" t="e">
        <f t="shared" si="200"/>
        <v>#VALUE!</v>
      </c>
      <c r="S1381">
        <v>12.69</v>
      </c>
      <c r="T1381" s="154" t="e">
        <f t="shared" si="201"/>
        <v>#VALUE!</v>
      </c>
      <c r="U1381">
        <v>12.69</v>
      </c>
      <c r="V1381" s="154" t="e">
        <f t="shared" si="202"/>
        <v>#VALUE!</v>
      </c>
      <c r="W1381">
        <v>12.69</v>
      </c>
      <c r="X1381" s="157" t="e">
        <f t="shared" si="203"/>
        <v>#VALUE!</v>
      </c>
      <c r="Y1381">
        <v>12.69</v>
      </c>
      <c r="Z1381" s="154" t="e">
        <f t="shared" si="204"/>
        <v>#VALUE!</v>
      </c>
      <c r="AA1381">
        <v>12.69</v>
      </c>
      <c r="AB1381" s="154" t="e">
        <f t="shared" si="205"/>
        <v>#VALUE!</v>
      </c>
      <c r="AC1381">
        <v>12.69</v>
      </c>
      <c r="AD1381" s="154" t="e">
        <f t="shared" si="206"/>
        <v>#VALUE!</v>
      </c>
      <c r="AE1381">
        <v>12.69</v>
      </c>
    </row>
    <row r="1382" spans="12:31" ht="15" x14ac:dyDescent="0.2">
      <c r="L1382" s="154" t="e">
        <f t="shared" si="197"/>
        <v>#VALUE!</v>
      </c>
      <c r="M1382">
        <v>12.7</v>
      </c>
      <c r="N1382" s="154" t="e">
        <f t="shared" si="198"/>
        <v>#VALUE!</v>
      </c>
      <c r="O1382">
        <v>12.7</v>
      </c>
      <c r="P1382" s="154" t="e">
        <f t="shared" si="199"/>
        <v>#VALUE!</v>
      </c>
      <c r="Q1382">
        <v>12.7</v>
      </c>
      <c r="R1382" s="154" t="e">
        <f t="shared" si="200"/>
        <v>#VALUE!</v>
      </c>
      <c r="S1382">
        <v>12.7</v>
      </c>
      <c r="T1382" s="154" t="e">
        <f t="shared" si="201"/>
        <v>#VALUE!</v>
      </c>
      <c r="U1382">
        <v>12.7</v>
      </c>
      <c r="V1382" s="154" t="e">
        <f t="shared" si="202"/>
        <v>#VALUE!</v>
      </c>
      <c r="W1382">
        <v>12.7</v>
      </c>
      <c r="X1382" s="157" t="e">
        <f t="shared" si="203"/>
        <v>#VALUE!</v>
      </c>
      <c r="Y1382">
        <v>12.7</v>
      </c>
      <c r="Z1382" s="154" t="e">
        <f t="shared" si="204"/>
        <v>#VALUE!</v>
      </c>
      <c r="AA1382">
        <v>12.7</v>
      </c>
      <c r="AB1382" s="154" t="e">
        <f t="shared" si="205"/>
        <v>#VALUE!</v>
      </c>
      <c r="AC1382">
        <v>12.7</v>
      </c>
      <c r="AD1382" s="154" t="e">
        <f t="shared" si="206"/>
        <v>#VALUE!</v>
      </c>
      <c r="AE1382">
        <v>12.7</v>
      </c>
    </row>
    <row r="1383" spans="12:31" ht="15" x14ac:dyDescent="0.2">
      <c r="L1383" s="154" t="e">
        <f t="shared" si="197"/>
        <v>#VALUE!</v>
      </c>
      <c r="M1383">
        <v>12.71</v>
      </c>
      <c r="N1383" s="154" t="e">
        <f t="shared" si="198"/>
        <v>#VALUE!</v>
      </c>
      <c r="O1383">
        <v>12.71</v>
      </c>
      <c r="P1383" s="154" t="e">
        <f t="shared" si="199"/>
        <v>#VALUE!</v>
      </c>
      <c r="Q1383">
        <v>12.71</v>
      </c>
      <c r="R1383" s="154" t="e">
        <f t="shared" si="200"/>
        <v>#VALUE!</v>
      </c>
      <c r="S1383">
        <v>12.71</v>
      </c>
      <c r="T1383" s="154" t="e">
        <f t="shared" si="201"/>
        <v>#VALUE!</v>
      </c>
      <c r="U1383">
        <v>12.71</v>
      </c>
      <c r="V1383" s="154" t="e">
        <f t="shared" si="202"/>
        <v>#VALUE!</v>
      </c>
      <c r="W1383">
        <v>12.71</v>
      </c>
      <c r="X1383" s="157" t="e">
        <f t="shared" si="203"/>
        <v>#VALUE!</v>
      </c>
      <c r="Y1383">
        <v>12.71</v>
      </c>
      <c r="Z1383" s="154" t="e">
        <f t="shared" si="204"/>
        <v>#VALUE!</v>
      </c>
      <c r="AA1383">
        <v>12.71</v>
      </c>
      <c r="AB1383" s="154" t="e">
        <f t="shared" si="205"/>
        <v>#VALUE!</v>
      </c>
      <c r="AC1383">
        <v>12.71</v>
      </c>
      <c r="AD1383" s="154" t="e">
        <f t="shared" si="206"/>
        <v>#VALUE!</v>
      </c>
      <c r="AE1383">
        <v>12.71</v>
      </c>
    </row>
    <row r="1384" spans="12:31" ht="15" x14ac:dyDescent="0.2">
      <c r="L1384" s="154" t="e">
        <f t="shared" si="197"/>
        <v>#VALUE!</v>
      </c>
      <c r="M1384">
        <v>12.72</v>
      </c>
      <c r="N1384" s="154" t="e">
        <f t="shared" si="198"/>
        <v>#VALUE!</v>
      </c>
      <c r="O1384">
        <v>12.72</v>
      </c>
      <c r="P1384" s="154" t="e">
        <f t="shared" si="199"/>
        <v>#VALUE!</v>
      </c>
      <c r="Q1384">
        <v>12.72</v>
      </c>
      <c r="R1384" s="154" t="e">
        <f t="shared" si="200"/>
        <v>#VALUE!</v>
      </c>
      <c r="S1384">
        <v>12.72</v>
      </c>
      <c r="T1384" s="154" t="e">
        <f t="shared" si="201"/>
        <v>#VALUE!</v>
      </c>
      <c r="U1384">
        <v>12.72</v>
      </c>
      <c r="V1384" s="154" t="e">
        <f t="shared" si="202"/>
        <v>#VALUE!</v>
      </c>
      <c r="W1384">
        <v>12.72</v>
      </c>
      <c r="X1384" s="157" t="e">
        <f t="shared" si="203"/>
        <v>#VALUE!</v>
      </c>
      <c r="Y1384">
        <v>12.72</v>
      </c>
      <c r="Z1384" s="154" t="e">
        <f t="shared" si="204"/>
        <v>#VALUE!</v>
      </c>
      <c r="AA1384">
        <v>12.72</v>
      </c>
      <c r="AB1384" s="154" t="e">
        <f t="shared" si="205"/>
        <v>#VALUE!</v>
      </c>
      <c r="AC1384">
        <v>12.72</v>
      </c>
      <c r="AD1384" s="154" t="e">
        <f t="shared" si="206"/>
        <v>#VALUE!</v>
      </c>
      <c r="AE1384">
        <v>12.72</v>
      </c>
    </row>
    <row r="1385" spans="12:31" ht="15" x14ac:dyDescent="0.2">
      <c r="L1385" s="154" t="e">
        <f t="shared" si="197"/>
        <v>#VALUE!</v>
      </c>
      <c r="M1385">
        <v>12.73</v>
      </c>
      <c r="N1385" s="154" t="e">
        <f t="shared" si="198"/>
        <v>#VALUE!</v>
      </c>
      <c r="O1385">
        <v>12.73</v>
      </c>
      <c r="P1385" s="154" t="e">
        <f t="shared" si="199"/>
        <v>#VALUE!</v>
      </c>
      <c r="Q1385">
        <v>12.73</v>
      </c>
      <c r="R1385" s="154" t="e">
        <f t="shared" si="200"/>
        <v>#VALUE!</v>
      </c>
      <c r="S1385">
        <v>12.73</v>
      </c>
      <c r="T1385" s="154" t="e">
        <f t="shared" si="201"/>
        <v>#VALUE!</v>
      </c>
      <c r="U1385">
        <v>12.73</v>
      </c>
      <c r="V1385" s="154" t="e">
        <f t="shared" si="202"/>
        <v>#VALUE!</v>
      </c>
      <c r="W1385">
        <v>12.73</v>
      </c>
      <c r="X1385" s="157" t="e">
        <f t="shared" si="203"/>
        <v>#VALUE!</v>
      </c>
      <c r="Y1385">
        <v>12.73</v>
      </c>
      <c r="Z1385" s="154" t="e">
        <f t="shared" si="204"/>
        <v>#VALUE!</v>
      </c>
      <c r="AA1385">
        <v>12.73</v>
      </c>
      <c r="AB1385" s="154" t="e">
        <f t="shared" si="205"/>
        <v>#VALUE!</v>
      </c>
      <c r="AC1385">
        <v>12.73</v>
      </c>
      <c r="AD1385" s="154" t="e">
        <f t="shared" si="206"/>
        <v>#VALUE!</v>
      </c>
      <c r="AE1385">
        <v>12.73</v>
      </c>
    </row>
    <row r="1386" spans="12:31" ht="15" x14ac:dyDescent="0.2">
      <c r="L1386" s="154" t="e">
        <f t="shared" si="197"/>
        <v>#VALUE!</v>
      </c>
      <c r="M1386">
        <v>12.74</v>
      </c>
      <c r="N1386" s="154" t="e">
        <f t="shared" si="198"/>
        <v>#VALUE!</v>
      </c>
      <c r="O1386">
        <v>12.74</v>
      </c>
      <c r="P1386" s="154" t="e">
        <f t="shared" si="199"/>
        <v>#VALUE!</v>
      </c>
      <c r="Q1386">
        <v>12.74</v>
      </c>
      <c r="R1386" s="154" t="e">
        <f t="shared" si="200"/>
        <v>#VALUE!</v>
      </c>
      <c r="S1386">
        <v>12.74</v>
      </c>
      <c r="T1386" s="154" t="e">
        <f t="shared" si="201"/>
        <v>#VALUE!</v>
      </c>
      <c r="U1386">
        <v>12.74</v>
      </c>
      <c r="V1386" s="154" t="e">
        <f t="shared" si="202"/>
        <v>#VALUE!</v>
      </c>
      <c r="W1386">
        <v>12.74</v>
      </c>
      <c r="X1386" s="157" t="e">
        <f t="shared" si="203"/>
        <v>#VALUE!</v>
      </c>
      <c r="Y1386">
        <v>12.74</v>
      </c>
      <c r="Z1386" s="154" t="e">
        <f t="shared" si="204"/>
        <v>#VALUE!</v>
      </c>
      <c r="AA1386">
        <v>12.74</v>
      </c>
      <c r="AB1386" s="154" t="e">
        <f t="shared" si="205"/>
        <v>#VALUE!</v>
      </c>
      <c r="AC1386">
        <v>12.74</v>
      </c>
      <c r="AD1386" s="154" t="e">
        <f t="shared" si="206"/>
        <v>#VALUE!</v>
      </c>
      <c r="AE1386">
        <v>12.74</v>
      </c>
    </row>
    <row r="1387" spans="12:31" ht="15" x14ac:dyDescent="0.2">
      <c r="L1387" s="154" t="e">
        <f t="shared" si="197"/>
        <v>#VALUE!</v>
      </c>
      <c r="M1387">
        <v>12.75</v>
      </c>
      <c r="N1387" s="154" t="e">
        <f t="shared" si="198"/>
        <v>#VALUE!</v>
      </c>
      <c r="O1387">
        <v>12.75</v>
      </c>
      <c r="P1387" s="154" t="e">
        <f t="shared" si="199"/>
        <v>#VALUE!</v>
      </c>
      <c r="Q1387">
        <v>12.75</v>
      </c>
      <c r="R1387" s="154" t="e">
        <f t="shared" si="200"/>
        <v>#VALUE!</v>
      </c>
      <c r="S1387">
        <v>12.75</v>
      </c>
      <c r="T1387" s="154" t="e">
        <f t="shared" si="201"/>
        <v>#VALUE!</v>
      </c>
      <c r="U1387">
        <v>12.75</v>
      </c>
      <c r="V1387" s="154" t="e">
        <f t="shared" si="202"/>
        <v>#VALUE!</v>
      </c>
      <c r="W1387">
        <v>12.75</v>
      </c>
      <c r="X1387" s="157" t="e">
        <f t="shared" si="203"/>
        <v>#VALUE!</v>
      </c>
      <c r="Y1387">
        <v>12.75</v>
      </c>
      <c r="Z1387" s="154" t="e">
        <f t="shared" si="204"/>
        <v>#VALUE!</v>
      </c>
      <c r="AA1387">
        <v>12.75</v>
      </c>
      <c r="AB1387" s="154" t="e">
        <f t="shared" si="205"/>
        <v>#VALUE!</v>
      </c>
      <c r="AC1387">
        <v>12.75</v>
      </c>
      <c r="AD1387" s="154" t="e">
        <f t="shared" si="206"/>
        <v>#VALUE!</v>
      </c>
      <c r="AE1387">
        <v>12.75</v>
      </c>
    </row>
    <row r="1388" spans="12:31" ht="15" x14ac:dyDescent="0.2">
      <c r="L1388" s="154" t="e">
        <f t="shared" si="197"/>
        <v>#VALUE!</v>
      </c>
      <c r="M1388">
        <v>12.76</v>
      </c>
      <c r="N1388" s="154" t="e">
        <f t="shared" si="198"/>
        <v>#VALUE!</v>
      </c>
      <c r="O1388">
        <v>12.76</v>
      </c>
      <c r="P1388" s="154" t="e">
        <f t="shared" si="199"/>
        <v>#VALUE!</v>
      </c>
      <c r="Q1388">
        <v>12.76</v>
      </c>
      <c r="R1388" s="154" t="e">
        <f t="shared" si="200"/>
        <v>#VALUE!</v>
      </c>
      <c r="S1388">
        <v>12.76</v>
      </c>
      <c r="T1388" s="154" t="e">
        <f t="shared" si="201"/>
        <v>#VALUE!</v>
      </c>
      <c r="U1388">
        <v>12.76</v>
      </c>
      <c r="V1388" s="154" t="e">
        <f t="shared" si="202"/>
        <v>#VALUE!</v>
      </c>
      <c r="W1388">
        <v>12.76</v>
      </c>
      <c r="X1388" s="157" t="e">
        <f t="shared" si="203"/>
        <v>#VALUE!</v>
      </c>
      <c r="Y1388">
        <v>12.76</v>
      </c>
      <c r="Z1388" s="154" t="e">
        <f t="shared" si="204"/>
        <v>#VALUE!</v>
      </c>
      <c r="AA1388">
        <v>12.76</v>
      </c>
      <c r="AB1388" s="154" t="e">
        <f t="shared" si="205"/>
        <v>#VALUE!</v>
      </c>
      <c r="AC1388">
        <v>12.76</v>
      </c>
      <c r="AD1388" s="154" t="e">
        <f t="shared" si="206"/>
        <v>#VALUE!</v>
      </c>
      <c r="AE1388">
        <v>12.76</v>
      </c>
    </row>
    <row r="1389" spans="12:31" ht="15" x14ac:dyDescent="0.2">
      <c r="L1389" s="154" t="e">
        <f t="shared" si="197"/>
        <v>#VALUE!</v>
      </c>
      <c r="M1389">
        <v>12.77</v>
      </c>
      <c r="N1389" s="154" t="e">
        <f t="shared" si="198"/>
        <v>#VALUE!</v>
      </c>
      <c r="O1389">
        <v>12.77</v>
      </c>
      <c r="P1389" s="154" t="e">
        <f t="shared" si="199"/>
        <v>#VALUE!</v>
      </c>
      <c r="Q1389">
        <v>12.77</v>
      </c>
      <c r="R1389" s="154" t="e">
        <f t="shared" si="200"/>
        <v>#VALUE!</v>
      </c>
      <c r="S1389">
        <v>12.77</v>
      </c>
      <c r="T1389" s="154" t="e">
        <f t="shared" si="201"/>
        <v>#VALUE!</v>
      </c>
      <c r="U1389">
        <v>12.77</v>
      </c>
      <c r="V1389" s="154" t="e">
        <f t="shared" si="202"/>
        <v>#VALUE!</v>
      </c>
      <c r="W1389">
        <v>12.77</v>
      </c>
      <c r="X1389" s="157" t="e">
        <f t="shared" si="203"/>
        <v>#VALUE!</v>
      </c>
      <c r="Y1389">
        <v>12.77</v>
      </c>
      <c r="Z1389" s="154" t="e">
        <f t="shared" si="204"/>
        <v>#VALUE!</v>
      </c>
      <c r="AA1389">
        <v>12.77</v>
      </c>
      <c r="AB1389" s="154" t="e">
        <f t="shared" si="205"/>
        <v>#VALUE!</v>
      </c>
      <c r="AC1389">
        <v>12.77</v>
      </c>
      <c r="AD1389" s="154" t="e">
        <f t="shared" si="206"/>
        <v>#VALUE!</v>
      </c>
      <c r="AE1389">
        <v>12.77</v>
      </c>
    </row>
    <row r="1390" spans="12:31" ht="15" x14ac:dyDescent="0.2">
      <c r="L1390" s="154" t="e">
        <f t="shared" si="197"/>
        <v>#VALUE!</v>
      </c>
      <c r="M1390">
        <v>12.78</v>
      </c>
      <c r="N1390" s="154" t="e">
        <f t="shared" si="198"/>
        <v>#VALUE!</v>
      </c>
      <c r="O1390">
        <v>12.78</v>
      </c>
      <c r="P1390" s="154" t="e">
        <f t="shared" si="199"/>
        <v>#VALUE!</v>
      </c>
      <c r="Q1390">
        <v>12.78</v>
      </c>
      <c r="R1390" s="154" t="e">
        <f t="shared" si="200"/>
        <v>#VALUE!</v>
      </c>
      <c r="S1390">
        <v>12.78</v>
      </c>
      <c r="T1390" s="154" t="e">
        <f t="shared" si="201"/>
        <v>#VALUE!</v>
      </c>
      <c r="U1390">
        <v>12.78</v>
      </c>
      <c r="V1390" s="154" t="e">
        <f t="shared" si="202"/>
        <v>#VALUE!</v>
      </c>
      <c r="W1390">
        <v>12.78</v>
      </c>
      <c r="X1390" s="157" t="e">
        <f t="shared" si="203"/>
        <v>#VALUE!</v>
      </c>
      <c r="Y1390">
        <v>12.78</v>
      </c>
      <c r="Z1390" s="154" t="e">
        <f t="shared" si="204"/>
        <v>#VALUE!</v>
      </c>
      <c r="AA1390">
        <v>12.78</v>
      </c>
      <c r="AB1390" s="154" t="e">
        <f t="shared" si="205"/>
        <v>#VALUE!</v>
      </c>
      <c r="AC1390">
        <v>12.78</v>
      </c>
      <c r="AD1390" s="154" t="e">
        <f t="shared" si="206"/>
        <v>#VALUE!</v>
      </c>
      <c r="AE1390">
        <v>12.78</v>
      </c>
    </row>
    <row r="1391" spans="12:31" ht="15" x14ac:dyDescent="0.2">
      <c r="L1391" s="154" t="e">
        <f t="shared" si="197"/>
        <v>#VALUE!</v>
      </c>
      <c r="M1391">
        <v>12.79</v>
      </c>
      <c r="N1391" s="154" t="e">
        <f t="shared" si="198"/>
        <v>#VALUE!</v>
      </c>
      <c r="O1391">
        <v>12.79</v>
      </c>
      <c r="P1391" s="154" t="e">
        <f t="shared" si="199"/>
        <v>#VALUE!</v>
      </c>
      <c r="Q1391">
        <v>12.79</v>
      </c>
      <c r="R1391" s="154" t="e">
        <f t="shared" si="200"/>
        <v>#VALUE!</v>
      </c>
      <c r="S1391">
        <v>12.79</v>
      </c>
      <c r="T1391" s="154" t="e">
        <f t="shared" si="201"/>
        <v>#VALUE!</v>
      </c>
      <c r="U1391">
        <v>12.79</v>
      </c>
      <c r="V1391" s="154" t="e">
        <f t="shared" si="202"/>
        <v>#VALUE!</v>
      </c>
      <c r="W1391">
        <v>12.79</v>
      </c>
      <c r="X1391" s="157" t="e">
        <f t="shared" si="203"/>
        <v>#VALUE!</v>
      </c>
      <c r="Y1391">
        <v>12.79</v>
      </c>
      <c r="Z1391" s="154" t="e">
        <f t="shared" si="204"/>
        <v>#VALUE!</v>
      </c>
      <c r="AA1391">
        <v>12.79</v>
      </c>
      <c r="AB1391" s="154" t="e">
        <f t="shared" si="205"/>
        <v>#VALUE!</v>
      </c>
      <c r="AC1391">
        <v>12.79</v>
      </c>
      <c r="AD1391" s="154" t="e">
        <f t="shared" si="206"/>
        <v>#VALUE!</v>
      </c>
      <c r="AE1391">
        <v>12.79</v>
      </c>
    </row>
    <row r="1392" spans="12:31" ht="15" x14ac:dyDescent="0.2">
      <c r="L1392" s="154" t="e">
        <f t="shared" si="197"/>
        <v>#VALUE!</v>
      </c>
      <c r="M1392">
        <v>12.8</v>
      </c>
      <c r="N1392" s="154" t="e">
        <f t="shared" si="198"/>
        <v>#VALUE!</v>
      </c>
      <c r="O1392">
        <v>12.8</v>
      </c>
      <c r="P1392" s="154" t="e">
        <f t="shared" si="199"/>
        <v>#VALUE!</v>
      </c>
      <c r="Q1392">
        <v>12.8</v>
      </c>
      <c r="R1392" s="154" t="e">
        <f t="shared" si="200"/>
        <v>#VALUE!</v>
      </c>
      <c r="S1392">
        <v>12.8</v>
      </c>
      <c r="T1392" s="154" t="e">
        <f t="shared" si="201"/>
        <v>#VALUE!</v>
      </c>
      <c r="U1392">
        <v>12.8</v>
      </c>
      <c r="V1392" s="154" t="e">
        <f t="shared" si="202"/>
        <v>#VALUE!</v>
      </c>
      <c r="W1392">
        <v>12.8</v>
      </c>
      <c r="X1392" s="157" t="e">
        <f t="shared" si="203"/>
        <v>#VALUE!</v>
      </c>
      <c r="Y1392">
        <v>12.8</v>
      </c>
      <c r="Z1392" s="154" t="e">
        <f t="shared" si="204"/>
        <v>#VALUE!</v>
      </c>
      <c r="AA1392">
        <v>12.8</v>
      </c>
      <c r="AB1392" s="154" t="e">
        <f t="shared" si="205"/>
        <v>#VALUE!</v>
      </c>
      <c r="AC1392">
        <v>12.8</v>
      </c>
      <c r="AD1392" s="154" t="e">
        <f t="shared" si="206"/>
        <v>#VALUE!</v>
      </c>
      <c r="AE1392">
        <v>12.8</v>
      </c>
    </row>
    <row r="1393" spans="12:31" ht="15" x14ac:dyDescent="0.2">
      <c r="L1393" s="154" t="e">
        <f t="shared" ref="L1393:L1456" si="207">((1.486/$D$33)*((((PI()*($D$46/12)^2)/4)-((($D$46/12)/2)^2*((2*ACOS(((($D$46/12)/2)-(($D$46/12)-(M1393/12)))/(($D$46/12)/2)))-SIN(2*ACOS(((($D$46/12)/2)-(($D$46/12)-(M1393/12)))/(($D$46/12)/2))))/2))/((PI()*($D$46/12))-((2*ACOS(((($D$46/12)/2)-(($D$46/12)-(M1393/12)))/(($D$46/12)/2)))*(($D$46/12)/2))))^(2/3)*$H$17^0.5)*(((PI()*($D$46/12)^2)/4)-((($D$46/12)/2)^2*((2*ACOS(((($D$46/12)/2)-(($D$46/12)-(M1393/12)))/(($D$46/12)/2)))-SIN(2*ACOS(((($D$46/12)/2)-(($D$46/12)-(M1393/12)))/(($D$46/12)/2))))/2))</f>
        <v>#VALUE!</v>
      </c>
      <c r="M1393">
        <v>12.81</v>
      </c>
      <c r="N1393" s="154" t="e">
        <f t="shared" ref="N1393:N1456" si="208">((1.486/$D$34)*((((PI()*($D$47/12)^2)/4)-((($D$47/12)/2)^2*((2*ACOS(((($D$47/12)/2)-(($D$47/12)-(O1393/12)))/(($D$47/12)/2)))-SIN(2*ACOS(((($D$47/12)/2)-(($D$47/12)-(O1393/12)))/(($D$47/12)/2))))/2))/((PI()*($D$47/12))-((2*ACOS(((($D$47/12)/2)-(($D$47/12)-(O1393/12)))/(($D$47/12)/2)))*(($D$47/12)/2))))^(2/3)*$H$18^0.5)*(((PI()*($D$47/12)^2)/4)-((($D$47/12)/2)^2*((2*ACOS(((($D$47/12)/2)-(($D$47/12)-(O1393/12)))/(($D$47/12)/2)))-SIN(2*ACOS(((($D$47/12)/2)-(($D$47/12)-(O1393/12)))/(($D$47/12)/2))))/2))</f>
        <v>#VALUE!</v>
      </c>
      <c r="O1393">
        <v>12.81</v>
      </c>
      <c r="P1393" s="154" t="e">
        <f t="shared" ref="P1393:P1456" si="209">((1.486/$D$35)*((((PI()*($D$48/12)^2)/4)-((($D$48/12)/2)^2*((2*ACOS(((($D$48/12)/2)-(($D$48/12)-(Q1393/12)))/(($D$48/12)/2)))-SIN(2*ACOS(((($D$48/12)/2)-(($D$48/12)-(Q1393/12)))/(($D$48/12)/2))))/2))/((PI()*($D$48/12))-((2*ACOS(((($D$48/12)/2)-(($D$48/12)-(Q1393/12)))/(($D$48/12)/2)))*(($D$48/12)/2))))^(2/3)*$H$19^0.5)*(((PI()*($D$48/12)^2)/4)-((($D$48/12)/2)^2*((2*ACOS(((($D$48/12)/2)-(($D$48/12)-(Q1393/12)))/(($D$48/12)/2)))-SIN(2*ACOS(((($D$48/12)/2)-(($D$48/12)-(Q1393/12)))/(($D$48/12)/2))))/2))</f>
        <v>#VALUE!</v>
      </c>
      <c r="Q1393">
        <v>12.81</v>
      </c>
      <c r="R1393" s="154" t="e">
        <f t="shared" ref="R1393:R1456" si="210">((1.486/$D$36)*((((PI()*($D$49/12)^2)/4)-((($D$49/12)/2)^2*((2*ACOS(((($D$49/12)/2)-(($D$49/12)-(S1393/12)))/(($D$49/12)/2)))-SIN(2*ACOS(((($D$49/12)/2)-(($D$49/12)-(S1393/12)))/(($D$49/12)/2))))/2))/((PI()*($D$49/12))-((2*ACOS(((($D$49/12)/2)-(($D$49/12)-(S1393/12)))/(($D$49/12)/2)))*(($D$49/12)/2))))^(2/3)*$H$20^0.5)*(((PI()*($D$49/12)^2)/4)-((($D$49/12)/2)^2*((2*ACOS(((($D$49/12)/2)-(($D$49/12)-(S1393/12)))/(($D$49/12)/2)))-SIN(2*ACOS(((($D$49/12)/2)-(($D$49/12)-(S1393/12)))/(($D$49/12)/2))))/2))</f>
        <v>#VALUE!</v>
      </c>
      <c r="S1393">
        <v>12.81</v>
      </c>
      <c r="T1393" s="154" t="e">
        <f t="shared" ref="T1393:T1456" si="211">((1.486/$D$37)*((((PI()*($D$50/12)^2)/4)-((($D$50/12)/2)^2*((2*ACOS(((($D$50/12)/2)-(($D$50/12)-(U1393/12)))/(($D$50/12)/2)))-SIN(2*ACOS(((($D$50/12)/2)-(($D$50/12)-(U1393/12)))/(($D$50/12)/2))))/2))/((PI()*($D$50/12))-((2*ACOS(((($D$50/12)/2)-(($D$50/12)-(U1393/12)))/(($D$50/12)/2)))*(($D$50/12)/2))))^(2/3)*$H$21^0.5)*(((PI()*($D$50/12)^2)/4)-((($D$50/12)/2)^2*((2*ACOS(((($D$50/12)/2)-(($D$50/12)-(U1393/12)))/(($D$50/12)/2)))-SIN(2*ACOS(((($D$50/12)/2)-(($D$50/12)-(U1393/12)))/(($D$50/12)/2))))/2))</f>
        <v>#VALUE!</v>
      </c>
      <c r="U1393">
        <v>12.81</v>
      </c>
      <c r="V1393" s="154" t="e">
        <f t="shared" ref="V1393:V1456" si="212">((1.486/$D$38)*((((PI()*($D$51/12)^2)/4)-((($D$51/12)/2)^2*((2*ACOS(((($D$51/12)/2)-(($D$51/12)-(W1393/12)))/(($D$51/12)/2)))-SIN(2*ACOS(((($D$51/12)/2)-(($D$51/12)-(W1393/12)))/(($D$51/12)/2))))/2))/((PI()*($D$51/12))-((2*ACOS(((($D$51/12)/2)-(($D$51/12)-(W1393/12)))/(($D$51/12)/2)))*(($D$51/12)/2))))^(2/3)*$H$22^0.5)*(((PI()*($D$51/12)^2)/4)-((($D$51/12)/2)^2*((2*ACOS(((($D$51/12)/2)-(($D$51/12)-(W1393/12)))/(($D$51/12)/2)))-SIN(2*ACOS(((($D$51/12)/2)-(($D$51/12)-(W1393/12)))/(($D$51/12)/2))))/2))</f>
        <v>#VALUE!</v>
      </c>
      <c r="W1393">
        <v>12.81</v>
      </c>
      <c r="X1393" s="157" t="e">
        <f t="shared" ref="X1393:X1456" si="213">((1.486/$D$39)*((((PI()*($D$52/12)^2)/4)-((($D$52/12)/2)^2*((2*ACOS(((($D$52/12)/2)-(($D$52/12)-(Y1393/12)))/(($D$52/12)/2)))-SIN(2*ACOS(((($D$52/12)/2)-(($D$52/12)-(Y1393/12)))/(($D$52/12)/2))))/2))/((PI()*($D$52/12))-((2*ACOS(((($D$52/12)/2)-(($D$52/12)-(Y1393/12)))/(($D$52/12)/2)))*(($D$52/12)/2))))^(2/3)*$H$23^0.5)*(((PI()*($D$52/12)^2)/4)-((($D$52/12)/2)^2*((2*ACOS(((($D$52/12)/2)-(($D$52/12)-(Y1393/12)))/(($D$52/12)/2)))-SIN(2*ACOS(((($D$52/12)/2)-(($D$52/12)-(Y1393/12)))/(($D$52/12)/2))))/2))</f>
        <v>#VALUE!</v>
      </c>
      <c r="Y1393">
        <v>12.81</v>
      </c>
      <c r="Z1393" s="154" t="e">
        <f t="shared" ref="Z1393:Z1456" si="214">((1.486/$D$40)*((((PI()*($D$53/12)^2)/4)-((($D$53/12)/2)^2*((2*ACOS(((($D$53/12)/2)-(($D$53/12)-(AA1393/12)))/(($D$53/12)/2)))-SIN(2*ACOS(((($D$53/12)/2)-(($D$53/12)-(AA1393/12)))/(($D$53/12)/2))))/2))/((PI()*($D$53/12))-((2*ACOS(((($D$53/12)/2)-(($D$53/12)-(AA1393/12)))/(($D$53/12)/2)))*(($D$53/12)/2))))^(2/3)*$H$24^0.5)*(((PI()*($D$53/12)^2)/4)-((($D$53/12)/2)^2*((2*ACOS(((($D$53/12)/2)-(($D$53/12)-(AA1393/12)))/(($D$53/12)/2)))-SIN(2*ACOS(((($D$53/12)/2)-(($D$53/12)-(AA1393/12)))/(($D$53/12)/2))))/2))</f>
        <v>#VALUE!</v>
      </c>
      <c r="AA1393">
        <v>12.81</v>
      </c>
      <c r="AB1393" s="154" t="e">
        <f t="shared" ref="AB1393:AB1456" si="215">((1.486/$D$41)*((((PI()*($D$54/12)^2)/4)-((($D$54/12)/2)^2*((2*ACOS(((($D$54/12)/2)-(($D$54/12)-(AC1393/12)))/(($D$54/12)/2)))-SIN(2*ACOS(((($D$54/12)/2)-(($D$54/12)-(AC1393/12)))/(($D$54/12)/2))))/2))/((PI()*($D$54/12))-((2*ACOS(((($D$54/12)/2)-(($D$54/12)-(AC1393/12)))/(($D$54/12)/2)))*(($D$54/12)/2))))^(2/3)*$H$25^0.5)*(((PI()*($D$54/12)^2)/4)-((($D$54/12)/2)^2*((2*ACOS(((($D$54/12)/2)-(($D$54/12)-(AC1393/12)))/(($D$54/12)/2)))-SIN(2*ACOS(((($D$54/12)/2)-(($D$54/12)-(AC1393/12)))/(($D$54/12)/2))))/2))</f>
        <v>#VALUE!</v>
      </c>
      <c r="AC1393">
        <v>12.81</v>
      </c>
      <c r="AD1393" s="154" t="e">
        <f t="shared" ref="AD1393:AD1456" si="216">((1.486/$D$42)*((((PI()*($D$55/12)^2)/4)-((($D$55/12)/2)^2*((2*ACOS(((($D$55/12)/2)-(($D$55/12)-(AE1393/12)))/(($D$55/12)/2)))-SIN(2*ACOS(((($D$55/12)/2)-(($D$55/12)-(AE1393/12)))/(($D$55/12)/2))))/2))/((PI()*($D$55/12))-((2*ACOS(((($D$55/12)/2)-(($D$55/12)-(AE1393/12)))/(($D$55/12)/2)))*(($D$55/12)/2))))^(2/3)*$H$26^0.5)*(((PI()*($D$55/12)^2)/4)-((($D$55/12)/2)^2*((2*ACOS(((($D$55/12)/2)-(($D$55/12)-(AE1393/12)))/(($D$55/12)/2)))-SIN(2*ACOS(((($D$55/12)/2)-(($D$55/12)-(AE1393/12)))/(($D$55/12)/2))))/2))</f>
        <v>#VALUE!</v>
      </c>
      <c r="AE1393">
        <v>12.81</v>
      </c>
    </row>
    <row r="1394" spans="12:31" ht="15" x14ac:dyDescent="0.2">
      <c r="L1394" s="154" t="e">
        <f t="shared" si="207"/>
        <v>#VALUE!</v>
      </c>
      <c r="M1394">
        <v>12.82</v>
      </c>
      <c r="N1394" s="154" t="e">
        <f t="shared" si="208"/>
        <v>#VALUE!</v>
      </c>
      <c r="O1394">
        <v>12.82</v>
      </c>
      <c r="P1394" s="154" t="e">
        <f t="shared" si="209"/>
        <v>#VALUE!</v>
      </c>
      <c r="Q1394">
        <v>12.82</v>
      </c>
      <c r="R1394" s="154" t="e">
        <f t="shared" si="210"/>
        <v>#VALUE!</v>
      </c>
      <c r="S1394">
        <v>12.82</v>
      </c>
      <c r="T1394" s="154" t="e">
        <f t="shared" si="211"/>
        <v>#VALUE!</v>
      </c>
      <c r="U1394">
        <v>12.82</v>
      </c>
      <c r="V1394" s="154" t="e">
        <f t="shared" si="212"/>
        <v>#VALUE!</v>
      </c>
      <c r="W1394">
        <v>12.82</v>
      </c>
      <c r="X1394" s="157" t="e">
        <f t="shared" si="213"/>
        <v>#VALUE!</v>
      </c>
      <c r="Y1394">
        <v>12.82</v>
      </c>
      <c r="Z1394" s="154" t="e">
        <f t="shared" si="214"/>
        <v>#VALUE!</v>
      </c>
      <c r="AA1394">
        <v>12.82</v>
      </c>
      <c r="AB1394" s="154" t="e">
        <f t="shared" si="215"/>
        <v>#VALUE!</v>
      </c>
      <c r="AC1394">
        <v>12.82</v>
      </c>
      <c r="AD1394" s="154" t="e">
        <f t="shared" si="216"/>
        <v>#VALUE!</v>
      </c>
      <c r="AE1394">
        <v>12.82</v>
      </c>
    </row>
    <row r="1395" spans="12:31" ht="15" x14ac:dyDescent="0.2">
      <c r="L1395" s="154" t="e">
        <f t="shared" si="207"/>
        <v>#VALUE!</v>
      </c>
      <c r="M1395">
        <v>12.83</v>
      </c>
      <c r="N1395" s="154" t="e">
        <f t="shared" si="208"/>
        <v>#VALUE!</v>
      </c>
      <c r="O1395">
        <v>12.83</v>
      </c>
      <c r="P1395" s="154" t="e">
        <f t="shared" si="209"/>
        <v>#VALUE!</v>
      </c>
      <c r="Q1395">
        <v>12.83</v>
      </c>
      <c r="R1395" s="154" t="e">
        <f t="shared" si="210"/>
        <v>#VALUE!</v>
      </c>
      <c r="S1395">
        <v>12.83</v>
      </c>
      <c r="T1395" s="154" t="e">
        <f t="shared" si="211"/>
        <v>#VALUE!</v>
      </c>
      <c r="U1395">
        <v>12.83</v>
      </c>
      <c r="V1395" s="154" t="e">
        <f t="shared" si="212"/>
        <v>#VALUE!</v>
      </c>
      <c r="W1395">
        <v>12.83</v>
      </c>
      <c r="X1395" s="157" t="e">
        <f t="shared" si="213"/>
        <v>#VALUE!</v>
      </c>
      <c r="Y1395">
        <v>12.83</v>
      </c>
      <c r="Z1395" s="154" t="e">
        <f t="shared" si="214"/>
        <v>#VALUE!</v>
      </c>
      <c r="AA1395">
        <v>12.83</v>
      </c>
      <c r="AB1395" s="154" t="e">
        <f t="shared" si="215"/>
        <v>#VALUE!</v>
      </c>
      <c r="AC1395">
        <v>12.83</v>
      </c>
      <c r="AD1395" s="154" t="e">
        <f t="shared" si="216"/>
        <v>#VALUE!</v>
      </c>
      <c r="AE1395">
        <v>12.83</v>
      </c>
    </row>
    <row r="1396" spans="12:31" ht="15" x14ac:dyDescent="0.2">
      <c r="L1396" s="154" t="e">
        <f t="shared" si="207"/>
        <v>#VALUE!</v>
      </c>
      <c r="M1396">
        <v>12.84</v>
      </c>
      <c r="N1396" s="154" t="e">
        <f t="shared" si="208"/>
        <v>#VALUE!</v>
      </c>
      <c r="O1396">
        <v>12.84</v>
      </c>
      <c r="P1396" s="154" t="e">
        <f t="shared" si="209"/>
        <v>#VALUE!</v>
      </c>
      <c r="Q1396">
        <v>12.84</v>
      </c>
      <c r="R1396" s="154" t="e">
        <f t="shared" si="210"/>
        <v>#VALUE!</v>
      </c>
      <c r="S1396">
        <v>12.84</v>
      </c>
      <c r="T1396" s="154" t="e">
        <f t="shared" si="211"/>
        <v>#VALUE!</v>
      </c>
      <c r="U1396">
        <v>12.84</v>
      </c>
      <c r="V1396" s="154" t="e">
        <f t="shared" si="212"/>
        <v>#VALUE!</v>
      </c>
      <c r="W1396">
        <v>12.84</v>
      </c>
      <c r="X1396" s="157" t="e">
        <f t="shared" si="213"/>
        <v>#VALUE!</v>
      </c>
      <c r="Y1396">
        <v>12.84</v>
      </c>
      <c r="Z1396" s="154" t="e">
        <f t="shared" si="214"/>
        <v>#VALUE!</v>
      </c>
      <c r="AA1396">
        <v>12.84</v>
      </c>
      <c r="AB1396" s="154" t="e">
        <f t="shared" si="215"/>
        <v>#VALUE!</v>
      </c>
      <c r="AC1396">
        <v>12.84</v>
      </c>
      <c r="AD1396" s="154" t="e">
        <f t="shared" si="216"/>
        <v>#VALUE!</v>
      </c>
      <c r="AE1396">
        <v>12.84</v>
      </c>
    </row>
    <row r="1397" spans="12:31" ht="15" x14ac:dyDescent="0.2">
      <c r="L1397" s="154" t="e">
        <f t="shared" si="207"/>
        <v>#VALUE!</v>
      </c>
      <c r="M1397">
        <v>12.85</v>
      </c>
      <c r="N1397" s="154" t="e">
        <f t="shared" si="208"/>
        <v>#VALUE!</v>
      </c>
      <c r="O1397">
        <v>12.85</v>
      </c>
      <c r="P1397" s="154" t="e">
        <f t="shared" si="209"/>
        <v>#VALUE!</v>
      </c>
      <c r="Q1397">
        <v>12.85</v>
      </c>
      <c r="R1397" s="154" t="e">
        <f t="shared" si="210"/>
        <v>#VALUE!</v>
      </c>
      <c r="S1397">
        <v>12.85</v>
      </c>
      <c r="T1397" s="154" t="e">
        <f t="shared" si="211"/>
        <v>#VALUE!</v>
      </c>
      <c r="U1397">
        <v>12.85</v>
      </c>
      <c r="V1397" s="154" t="e">
        <f t="shared" si="212"/>
        <v>#VALUE!</v>
      </c>
      <c r="W1397">
        <v>12.85</v>
      </c>
      <c r="X1397" s="157" t="e">
        <f t="shared" si="213"/>
        <v>#VALUE!</v>
      </c>
      <c r="Y1397">
        <v>12.85</v>
      </c>
      <c r="Z1397" s="154" t="e">
        <f t="shared" si="214"/>
        <v>#VALUE!</v>
      </c>
      <c r="AA1397">
        <v>12.85</v>
      </c>
      <c r="AB1397" s="154" t="e">
        <f t="shared" si="215"/>
        <v>#VALUE!</v>
      </c>
      <c r="AC1397">
        <v>12.85</v>
      </c>
      <c r="AD1397" s="154" t="e">
        <f t="shared" si="216"/>
        <v>#VALUE!</v>
      </c>
      <c r="AE1397">
        <v>12.85</v>
      </c>
    </row>
    <row r="1398" spans="12:31" ht="15" x14ac:dyDescent="0.2">
      <c r="L1398" s="154" t="e">
        <f t="shared" si="207"/>
        <v>#VALUE!</v>
      </c>
      <c r="M1398">
        <v>12.86</v>
      </c>
      <c r="N1398" s="154" t="e">
        <f t="shared" si="208"/>
        <v>#VALUE!</v>
      </c>
      <c r="O1398">
        <v>12.86</v>
      </c>
      <c r="P1398" s="154" t="e">
        <f t="shared" si="209"/>
        <v>#VALUE!</v>
      </c>
      <c r="Q1398">
        <v>12.86</v>
      </c>
      <c r="R1398" s="154" t="e">
        <f t="shared" si="210"/>
        <v>#VALUE!</v>
      </c>
      <c r="S1398">
        <v>12.86</v>
      </c>
      <c r="T1398" s="154" t="e">
        <f t="shared" si="211"/>
        <v>#VALUE!</v>
      </c>
      <c r="U1398">
        <v>12.86</v>
      </c>
      <c r="V1398" s="154" t="e">
        <f t="shared" si="212"/>
        <v>#VALUE!</v>
      </c>
      <c r="W1398">
        <v>12.86</v>
      </c>
      <c r="X1398" s="157" t="e">
        <f t="shared" si="213"/>
        <v>#VALUE!</v>
      </c>
      <c r="Y1398">
        <v>12.86</v>
      </c>
      <c r="Z1398" s="154" t="e">
        <f t="shared" si="214"/>
        <v>#VALUE!</v>
      </c>
      <c r="AA1398">
        <v>12.86</v>
      </c>
      <c r="AB1398" s="154" t="e">
        <f t="shared" si="215"/>
        <v>#VALUE!</v>
      </c>
      <c r="AC1398">
        <v>12.86</v>
      </c>
      <c r="AD1398" s="154" t="e">
        <f t="shared" si="216"/>
        <v>#VALUE!</v>
      </c>
      <c r="AE1398">
        <v>12.86</v>
      </c>
    </row>
    <row r="1399" spans="12:31" ht="15" x14ac:dyDescent="0.2">
      <c r="L1399" s="154" t="e">
        <f t="shared" si="207"/>
        <v>#VALUE!</v>
      </c>
      <c r="M1399">
        <v>12.87</v>
      </c>
      <c r="N1399" s="154" t="e">
        <f t="shared" si="208"/>
        <v>#VALUE!</v>
      </c>
      <c r="O1399">
        <v>12.87</v>
      </c>
      <c r="P1399" s="154" t="e">
        <f t="shared" si="209"/>
        <v>#VALUE!</v>
      </c>
      <c r="Q1399">
        <v>12.87</v>
      </c>
      <c r="R1399" s="154" t="e">
        <f t="shared" si="210"/>
        <v>#VALUE!</v>
      </c>
      <c r="S1399">
        <v>12.87</v>
      </c>
      <c r="T1399" s="154" t="e">
        <f t="shared" si="211"/>
        <v>#VALUE!</v>
      </c>
      <c r="U1399">
        <v>12.87</v>
      </c>
      <c r="V1399" s="154" t="e">
        <f t="shared" si="212"/>
        <v>#VALUE!</v>
      </c>
      <c r="W1399">
        <v>12.87</v>
      </c>
      <c r="X1399" s="157" t="e">
        <f t="shared" si="213"/>
        <v>#VALUE!</v>
      </c>
      <c r="Y1399">
        <v>12.87</v>
      </c>
      <c r="Z1399" s="154" t="e">
        <f t="shared" si="214"/>
        <v>#VALUE!</v>
      </c>
      <c r="AA1399">
        <v>12.87</v>
      </c>
      <c r="AB1399" s="154" t="e">
        <f t="shared" si="215"/>
        <v>#VALUE!</v>
      </c>
      <c r="AC1399">
        <v>12.87</v>
      </c>
      <c r="AD1399" s="154" t="e">
        <f t="shared" si="216"/>
        <v>#VALUE!</v>
      </c>
      <c r="AE1399">
        <v>12.87</v>
      </c>
    </row>
    <row r="1400" spans="12:31" ht="15" x14ac:dyDescent="0.2">
      <c r="L1400" s="154" t="e">
        <f t="shared" si="207"/>
        <v>#VALUE!</v>
      </c>
      <c r="M1400">
        <v>12.88</v>
      </c>
      <c r="N1400" s="154" t="e">
        <f t="shared" si="208"/>
        <v>#VALUE!</v>
      </c>
      <c r="O1400">
        <v>12.88</v>
      </c>
      <c r="P1400" s="154" t="e">
        <f t="shared" si="209"/>
        <v>#VALUE!</v>
      </c>
      <c r="Q1400">
        <v>12.88</v>
      </c>
      <c r="R1400" s="154" t="e">
        <f t="shared" si="210"/>
        <v>#VALUE!</v>
      </c>
      <c r="S1400">
        <v>12.88</v>
      </c>
      <c r="T1400" s="154" t="e">
        <f t="shared" si="211"/>
        <v>#VALUE!</v>
      </c>
      <c r="U1400">
        <v>12.88</v>
      </c>
      <c r="V1400" s="154" t="e">
        <f t="shared" si="212"/>
        <v>#VALUE!</v>
      </c>
      <c r="W1400">
        <v>12.88</v>
      </c>
      <c r="X1400" s="157" t="e">
        <f t="shared" si="213"/>
        <v>#VALUE!</v>
      </c>
      <c r="Y1400">
        <v>12.88</v>
      </c>
      <c r="Z1400" s="154" t="e">
        <f t="shared" si="214"/>
        <v>#VALUE!</v>
      </c>
      <c r="AA1400">
        <v>12.88</v>
      </c>
      <c r="AB1400" s="154" t="e">
        <f t="shared" si="215"/>
        <v>#VALUE!</v>
      </c>
      <c r="AC1400">
        <v>12.88</v>
      </c>
      <c r="AD1400" s="154" t="e">
        <f t="shared" si="216"/>
        <v>#VALUE!</v>
      </c>
      <c r="AE1400">
        <v>12.88</v>
      </c>
    </row>
    <row r="1401" spans="12:31" ht="15" x14ac:dyDescent="0.2">
      <c r="L1401" s="154" t="e">
        <f t="shared" si="207"/>
        <v>#VALUE!</v>
      </c>
      <c r="M1401">
        <v>12.89</v>
      </c>
      <c r="N1401" s="154" t="e">
        <f t="shared" si="208"/>
        <v>#VALUE!</v>
      </c>
      <c r="O1401">
        <v>12.89</v>
      </c>
      <c r="P1401" s="154" t="e">
        <f t="shared" si="209"/>
        <v>#VALUE!</v>
      </c>
      <c r="Q1401">
        <v>12.89</v>
      </c>
      <c r="R1401" s="154" t="e">
        <f t="shared" si="210"/>
        <v>#VALUE!</v>
      </c>
      <c r="S1401">
        <v>12.89</v>
      </c>
      <c r="T1401" s="154" t="e">
        <f t="shared" si="211"/>
        <v>#VALUE!</v>
      </c>
      <c r="U1401">
        <v>12.89</v>
      </c>
      <c r="V1401" s="154" t="e">
        <f t="shared" si="212"/>
        <v>#VALUE!</v>
      </c>
      <c r="W1401">
        <v>12.89</v>
      </c>
      <c r="X1401" s="157" t="e">
        <f t="shared" si="213"/>
        <v>#VALUE!</v>
      </c>
      <c r="Y1401">
        <v>12.89</v>
      </c>
      <c r="Z1401" s="154" t="e">
        <f t="shared" si="214"/>
        <v>#VALUE!</v>
      </c>
      <c r="AA1401">
        <v>12.89</v>
      </c>
      <c r="AB1401" s="154" t="e">
        <f t="shared" si="215"/>
        <v>#VALUE!</v>
      </c>
      <c r="AC1401">
        <v>12.89</v>
      </c>
      <c r="AD1401" s="154" t="e">
        <f t="shared" si="216"/>
        <v>#VALUE!</v>
      </c>
      <c r="AE1401">
        <v>12.89</v>
      </c>
    </row>
    <row r="1402" spans="12:31" ht="15" x14ac:dyDescent="0.2">
      <c r="L1402" s="154" t="e">
        <f t="shared" si="207"/>
        <v>#VALUE!</v>
      </c>
      <c r="M1402">
        <v>12.9</v>
      </c>
      <c r="N1402" s="154" t="e">
        <f t="shared" si="208"/>
        <v>#VALUE!</v>
      </c>
      <c r="O1402">
        <v>12.9</v>
      </c>
      <c r="P1402" s="154" t="e">
        <f t="shared" si="209"/>
        <v>#VALUE!</v>
      </c>
      <c r="Q1402">
        <v>12.9</v>
      </c>
      <c r="R1402" s="154" t="e">
        <f t="shared" si="210"/>
        <v>#VALUE!</v>
      </c>
      <c r="S1402">
        <v>12.9</v>
      </c>
      <c r="T1402" s="154" t="e">
        <f t="shared" si="211"/>
        <v>#VALUE!</v>
      </c>
      <c r="U1402">
        <v>12.9</v>
      </c>
      <c r="V1402" s="154" t="e">
        <f t="shared" si="212"/>
        <v>#VALUE!</v>
      </c>
      <c r="W1402">
        <v>12.9</v>
      </c>
      <c r="X1402" s="157" t="e">
        <f t="shared" si="213"/>
        <v>#VALUE!</v>
      </c>
      <c r="Y1402">
        <v>12.9</v>
      </c>
      <c r="Z1402" s="154" t="e">
        <f t="shared" si="214"/>
        <v>#VALUE!</v>
      </c>
      <c r="AA1402">
        <v>12.9</v>
      </c>
      <c r="AB1402" s="154" t="e">
        <f t="shared" si="215"/>
        <v>#VALUE!</v>
      </c>
      <c r="AC1402">
        <v>12.9</v>
      </c>
      <c r="AD1402" s="154" t="e">
        <f t="shared" si="216"/>
        <v>#VALUE!</v>
      </c>
      <c r="AE1402">
        <v>12.9</v>
      </c>
    </row>
    <row r="1403" spans="12:31" ht="15" x14ac:dyDescent="0.2">
      <c r="L1403" s="154" t="e">
        <f t="shared" si="207"/>
        <v>#VALUE!</v>
      </c>
      <c r="M1403">
        <v>12.91</v>
      </c>
      <c r="N1403" s="154" t="e">
        <f t="shared" si="208"/>
        <v>#VALUE!</v>
      </c>
      <c r="O1403">
        <v>12.91</v>
      </c>
      <c r="P1403" s="154" t="e">
        <f t="shared" si="209"/>
        <v>#VALUE!</v>
      </c>
      <c r="Q1403">
        <v>12.91</v>
      </c>
      <c r="R1403" s="154" t="e">
        <f t="shared" si="210"/>
        <v>#VALUE!</v>
      </c>
      <c r="S1403">
        <v>12.91</v>
      </c>
      <c r="T1403" s="154" t="e">
        <f t="shared" si="211"/>
        <v>#VALUE!</v>
      </c>
      <c r="U1403">
        <v>12.91</v>
      </c>
      <c r="V1403" s="154" t="e">
        <f t="shared" si="212"/>
        <v>#VALUE!</v>
      </c>
      <c r="W1403">
        <v>12.91</v>
      </c>
      <c r="X1403" s="157" t="e">
        <f t="shared" si="213"/>
        <v>#VALUE!</v>
      </c>
      <c r="Y1403">
        <v>12.91</v>
      </c>
      <c r="Z1403" s="154" t="e">
        <f t="shared" si="214"/>
        <v>#VALUE!</v>
      </c>
      <c r="AA1403">
        <v>12.91</v>
      </c>
      <c r="AB1403" s="154" t="e">
        <f t="shared" si="215"/>
        <v>#VALUE!</v>
      </c>
      <c r="AC1403">
        <v>12.91</v>
      </c>
      <c r="AD1403" s="154" t="e">
        <f t="shared" si="216"/>
        <v>#VALUE!</v>
      </c>
      <c r="AE1403">
        <v>12.91</v>
      </c>
    </row>
    <row r="1404" spans="12:31" ht="15" x14ac:dyDescent="0.2">
      <c r="L1404" s="154" t="e">
        <f t="shared" si="207"/>
        <v>#VALUE!</v>
      </c>
      <c r="M1404">
        <v>12.92</v>
      </c>
      <c r="N1404" s="154" t="e">
        <f t="shared" si="208"/>
        <v>#VALUE!</v>
      </c>
      <c r="O1404">
        <v>12.92</v>
      </c>
      <c r="P1404" s="154" t="e">
        <f t="shared" si="209"/>
        <v>#VALUE!</v>
      </c>
      <c r="Q1404">
        <v>12.92</v>
      </c>
      <c r="R1404" s="154" t="e">
        <f t="shared" si="210"/>
        <v>#VALUE!</v>
      </c>
      <c r="S1404">
        <v>12.92</v>
      </c>
      <c r="T1404" s="154" t="e">
        <f t="shared" si="211"/>
        <v>#VALUE!</v>
      </c>
      <c r="U1404">
        <v>12.92</v>
      </c>
      <c r="V1404" s="154" t="e">
        <f t="shared" si="212"/>
        <v>#VALUE!</v>
      </c>
      <c r="W1404">
        <v>12.92</v>
      </c>
      <c r="X1404" s="157" t="e">
        <f t="shared" si="213"/>
        <v>#VALUE!</v>
      </c>
      <c r="Y1404">
        <v>12.92</v>
      </c>
      <c r="Z1404" s="154" t="e">
        <f t="shared" si="214"/>
        <v>#VALUE!</v>
      </c>
      <c r="AA1404">
        <v>12.92</v>
      </c>
      <c r="AB1404" s="154" t="e">
        <f t="shared" si="215"/>
        <v>#VALUE!</v>
      </c>
      <c r="AC1404">
        <v>12.92</v>
      </c>
      <c r="AD1404" s="154" t="e">
        <f t="shared" si="216"/>
        <v>#VALUE!</v>
      </c>
      <c r="AE1404">
        <v>12.92</v>
      </c>
    </row>
    <row r="1405" spans="12:31" ht="15" x14ac:dyDescent="0.2">
      <c r="L1405" s="154" t="e">
        <f t="shared" si="207"/>
        <v>#VALUE!</v>
      </c>
      <c r="M1405">
        <v>12.93</v>
      </c>
      <c r="N1405" s="154" t="e">
        <f t="shared" si="208"/>
        <v>#VALUE!</v>
      </c>
      <c r="O1405">
        <v>12.93</v>
      </c>
      <c r="P1405" s="154" t="e">
        <f t="shared" si="209"/>
        <v>#VALUE!</v>
      </c>
      <c r="Q1405">
        <v>12.93</v>
      </c>
      <c r="R1405" s="154" t="e">
        <f t="shared" si="210"/>
        <v>#VALUE!</v>
      </c>
      <c r="S1405">
        <v>12.93</v>
      </c>
      <c r="T1405" s="154" t="e">
        <f t="shared" si="211"/>
        <v>#VALUE!</v>
      </c>
      <c r="U1405">
        <v>12.93</v>
      </c>
      <c r="V1405" s="154" t="e">
        <f t="shared" si="212"/>
        <v>#VALUE!</v>
      </c>
      <c r="W1405">
        <v>12.93</v>
      </c>
      <c r="X1405" s="157" t="e">
        <f t="shared" si="213"/>
        <v>#VALUE!</v>
      </c>
      <c r="Y1405">
        <v>12.93</v>
      </c>
      <c r="Z1405" s="154" t="e">
        <f t="shared" si="214"/>
        <v>#VALUE!</v>
      </c>
      <c r="AA1405">
        <v>12.93</v>
      </c>
      <c r="AB1405" s="154" t="e">
        <f t="shared" si="215"/>
        <v>#VALUE!</v>
      </c>
      <c r="AC1405">
        <v>12.93</v>
      </c>
      <c r="AD1405" s="154" t="e">
        <f t="shared" si="216"/>
        <v>#VALUE!</v>
      </c>
      <c r="AE1405">
        <v>12.93</v>
      </c>
    </row>
    <row r="1406" spans="12:31" ht="15" x14ac:dyDescent="0.2">
      <c r="L1406" s="154" t="e">
        <f t="shared" si="207"/>
        <v>#VALUE!</v>
      </c>
      <c r="M1406">
        <v>12.94</v>
      </c>
      <c r="N1406" s="154" t="e">
        <f t="shared" si="208"/>
        <v>#VALUE!</v>
      </c>
      <c r="O1406">
        <v>12.94</v>
      </c>
      <c r="P1406" s="154" t="e">
        <f t="shared" si="209"/>
        <v>#VALUE!</v>
      </c>
      <c r="Q1406">
        <v>12.94</v>
      </c>
      <c r="R1406" s="154" t="e">
        <f t="shared" si="210"/>
        <v>#VALUE!</v>
      </c>
      <c r="S1406">
        <v>12.94</v>
      </c>
      <c r="T1406" s="154" t="e">
        <f t="shared" si="211"/>
        <v>#VALUE!</v>
      </c>
      <c r="U1406">
        <v>12.94</v>
      </c>
      <c r="V1406" s="154" t="e">
        <f t="shared" si="212"/>
        <v>#VALUE!</v>
      </c>
      <c r="W1406">
        <v>12.94</v>
      </c>
      <c r="X1406" s="157" t="e">
        <f t="shared" si="213"/>
        <v>#VALUE!</v>
      </c>
      <c r="Y1406">
        <v>12.94</v>
      </c>
      <c r="Z1406" s="154" t="e">
        <f t="shared" si="214"/>
        <v>#VALUE!</v>
      </c>
      <c r="AA1406">
        <v>12.94</v>
      </c>
      <c r="AB1406" s="154" t="e">
        <f t="shared" si="215"/>
        <v>#VALUE!</v>
      </c>
      <c r="AC1406">
        <v>12.94</v>
      </c>
      <c r="AD1406" s="154" t="e">
        <f t="shared" si="216"/>
        <v>#VALUE!</v>
      </c>
      <c r="AE1406">
        <v>12.94</v>
      </c>
    </row>
    <row r="1407" spans="12:31" ht="15" x14ac:dyDescent="0.2">
      <c r="L1407" s="154" t="e">
        <f t="shared" si="207"/>
        <v>#VALUE!</v>
      </c>
      <c r="M1407">
        <v>12.95</v>
      </c>
      <c r="N1407" s="154" t="e">
        <f t="shared" si="208"/>
        <v>#VALUE!</v>
      </c>
      <c r="O1407">
        <v>12.95</v>
      </c>
      <c r="P1407" s="154" t="e">
        <f t="shared" si="209"/>
        <v>#VALUE!</v>
      </c>
      <c r="Q1407">
        <v>12.95</v>
      </c>
      <c r="R1407" s="154" t="e">
        <f t="shared" si="210"/>
        <v>#VALUE!</v>
      </c>
      <c r="S1407">
        <v>12.95</v>
      </c>
      <c r="T1407" s="154" t="e">
        <f t="shared" si="211"/>
        <v>#VALUE!</v>
      </c>
      <c r="U1407">
        <v>12.95</v>
      </c>
      <c r="V1407" s="154" t="e">
        <f t="shared" si="212"/>
        <v>#VALUE!</v>
      </c>
      <c r="W1407">
        <v>12.95</v>
      </c>
      <c r="X1407" s="157" t="e">
        <f t="shared" si="213"/>
        <v>#VALUE!</v>
      </c>
      <c r="Y1407">
        <v>12.95</v>
      </c>
      <c r="Z1407" s="154" t="e">
        <f t="shared" si="214"/>
        <v>#VALUE!</v>
      </c>
      <c r="AA1407">
        <v>12.95</v>
      </c>
      <c r="AB1407" s="154" t="e">
        <f t="shared" si="215"/>
        <v>#VALUE!</v>
      </c>
      <c r="AC1407">
        <v>12.95</v>
      </c>
      <c r="AD1407" s="154" t="e">
        <f t="shared" si="216"/>
        <v>#VALUE!</v>
      </c>
      <c r="AE1407">
        <v>12.95</v>
      </c>
    </row>
    <row r="1408" spans="12:31" ht="15" x14ac:dyDescent="0.2">
      <c r="L1408" s="154" t="e">
        <f t="shared" si="207"/>
        <v>#VALUE!</v>
      </c>
      <c r="M1408">
        <v>12.96</v>
      </c>
      <c r="N1408" s="154" t="e">
        <f t="shared" si="208"/>
        <v>#VALUE!</v>
      </c>
      <c r="O1408">
        <v>12.96</v>
      </c>
      <c r="P1408" s="154" t="e">
        <f t="shared" si="209"/>
        <v>#VALUE!</v>
      </c>
      <c r="Q1408">
        <v>12.96</v>
      </c>
      <c r="R1408" s="154" t="e">
        <f t="shared" si="210"/>
        <v>#VALUE!</v>
      </c>
      <c r="S1408">
        <v>12.96</v>
      </c>
      <c r="T1408" s="154" t="e">
        <f t="shared" si="211"/>
        <v>#VALUE!</v>
      </c>
      <c r="U1408">
        <v>12.96</v>
      </c>
      <c r="V1408" s="154" t="e">
        <f t="shared" si="212"/>
        <v>#VALUE!</v>
      </c>
      <c r="W1408">
        <v>12.96</v>
      </c>
      <c r="X1408" s="157" t="e">
        <f t="shared" si="213"/>
        <v>#VALUE!</v>
      </c>
      <c r="Y1408">
        <v>12.96</v>
      </c>
      <c r="Z1408" s="154" t="e">
        <f t="shared" si="214"/>
        <v>#VALUE!</v>
      </c>
      <c r="AA1408">
        <v>12.96</v>
      </c>
      <c r="AB1408" s="154" t="e">
        <f t="shared" si="215"/>
        <v>#VALUE!</v>
      </c>
      <c r="AC1408">
        <v>12.96</v>
      </c>
      <c r="AD1408" s="154" t="e">
        <f t="shared" si="216"/>
        <v>#VALUE!</v>
      </c>
      <c r="AE1408">
        <v>12.96</v>
      </c>
    </row>
    <row r="1409" spans="12:31" ht="15" x14ac:dyDescent="0.2">
      <c r="L1409" s="154" t="e">
        <f t="shared" si="207"/>
        <v>#VALUE!</v>
      </c>
      <c r="M1409">
        <v>12.97</v>
      </c>
      <c r="N1409" s="154" t="e">
        <f t="shared" si="208"/>
        <v>#VALUE!</v>
      </c>
      <c r="O1409">
        <v>12.97</v>
      </c>
      <c r="P1409" s="154" t="e">
        <f t="shared" si="209"/>
        <v>#VALUE!</v>
      </c>
      <c r="Q1409">
        <v>12.97</v>
      </c>
      <c r="R1409" s="154" t="e">
        <f t="shared" si="210"/>
        <v>#VALUE!</v>
      </c>
      <c r="S1409">
        <v>12.97</v>
      </c>
      <c r="T1409" s="154" t="e">
        <f t="shared" si="211"/>
        <v>#VALUE!</v>
      </c>
      <c r="U1409">
        <v>12.97</v>
      </c>
      <c r="V1409" s="154" t="e">
        <f t="shared" si="212"/>
        <v>#VALUE!</v>
      </c>
      <c r="W1409">
        <v>12.97</v>
      </c>
      <c r="X1409" s="157" t="e">
        <f t="shared" si="213"/>
        <v>#VALUE!</v>
      </c>
      <c r="Y1409">
        <v>12.97</v>
      </c>
      <c r="Z1409" s="154" t="e">
        <f t="shared" si="214"/>
        <v>#VALUE!</v>
      </c>
      <c r="AA1409">
        <v>12.97</v>
      </c>
      <c r="AB1409" s="154" t="e">
        <f t="shared" si="215"/>
        <v>#VALUE!</v>
      </c>
      <c r="AC1409">
        <v>12.97</v>
      </c>
      <c r="AD1409" s="154" t="e">
        <f t="shared" si="216"/>
        <v>#VALUE!</v>
      </c>
      <c r="AE1409">
        <v>12.97</v>
      </c>
    </row>
    <row r="1410" spans="12:31" ht="15" x14ac:dyDescent="0.2">
      <c r="L1410" s="154" t="e">
        <f t="shared" si="207"/>
        <v>#VALUE!</v>
      </c>
      <c r="M1410">
        <v>12.98</v>
      </c>
      <c r="N1410" s="154" t="e">
        <f t="shared" si="208"/>
        <v>#VALUE!</v>
      </c>
      <c r="O1410">
        <v>12.98</v>
      </c>
      <c r="P1410" s="154" t="e">
        <f t="shared" si="209"/>
        <v>#VALUE!</v>
      </c>
      <c r="Q1410">
        <v>12.98</v>
      </c>
      <c r="R1410" s="154" t="e">
        <f t="shared" si="210"/>
        <v>#VALUE!</v>
      </c>
      <c r="S1410">
        <v>12.98</v>
      </c>
      <c r="T1410" s="154" t="e">
        <f t="shared" si="211"/>
        <v>#VALUE!</v>
      </c>
      <c r="U1410">
        <v>12.98</v>
      </c>
      <c r="V1410" s="154" t="e">
        <f t="shared" si="212"/>
        <v>#VALUE!</v>
      </c>
      <c r="W1410">
        <v>12.98</v>
      </c>
      <c r="X1410" s="157" t="e">
        <f t="shared" si="213"/>
        <v>#VALUE!</v>
      </c>
      <c r="Y1410">
        <v>12.98</v>
      </c>
      <c r="Z1410" s="154" t="e">
        <f t="shared" si="214"/>
        <v>#VALUE!</v>
      </c>
      <c r="AA1410">
        <v>12.98</v>
      </c>
      <c r="AB1410" s="154" t="e">
        <f t="shared" si="215"/>
        <v>#VALUE!</v>
      </c>
      <c r="AC1410">
        <v>12.98</v>
      </c>
      <c r="AD1410" s="154" t="e">
        <f t="shared" si="216"/>
        <v>#VALUE!</v>
      </c>
      <c r="AE1410">
        <v>12.98</v>
      </c>
    </row>
    <row r="1411" spans="12:31" ht="15" x14ac:dyDescent="0.2">
      <c r="L1411" s="154" t="e">
        <f t="shared" si="207"/>
        <v>#VALUE!</v>
      </c>
      <c r="M1411">
        <v>12.99</v>
      </c>
      <c r="N1411" s="154" t="e">
        <f t="shared" si="208"/>
        <v>#VALUE!</v>
      </c>
      <c r="O1411">
        <v>12.99</v>
      </c>
      <c r="P1411" s="154" t="e">
        <f t="shared" si="209"/>
        <v>#VALUE!</v>
      </c>
      <c r="Q1411">
        <v>12.99</v>
      </c>
      <c r="R1411" s="154" t="e">
        <f t="shared" si="210"/>
        <v>#VALUE!</v>
      </c>
      <c r="S1411">
        <v>12.99</v>
      </c>
      <c r="T1411" s="154" t="e">
        <f t="shared" si="211"/>
        <v>#VALUE!</v>
      </c>
      <c r="U1411">
        <v>12.99</v>
      </c>
      <c r="V1411" s="154" t="e">
        <f t="shared" si="212"/>
        <v>#VALUE!</v>
      </c>
      <c r="W1411">
        <v>12.99</v>
      </c>
      <c r="X1411" s="157" t="e">
        <f t="shared" si="213"/>
        <v>#VALUE!</v>
      </c>
      <c r="Y1411">
        <v>12.99</v>
      </c>
      <c r="Z1411" s="154" t="e">
        <f t="shared" si="214"/>
        <v>#VALUE!</v>
      </c>
      <c r="AA1411">
        <v>12.99</v>
      </c>
      <c r="AB1411" s="154" t="e">
        <f t="shared" si="215"/>
        <v>#VALUE!</v>
      </c>
      <c r="AC1411">
        <v>12.99</v>
      </c>
      <c r="AD1411" s="154" t="e">
        <f t="shared" si="216"/>
        <v>#VALUE!</v>
      </c>
      <c r="AE1411">
        <v>12.99</v>
      </c>
    </row>
    <row r="1412" spans="12:31" ht="15" x14ac:dyDescent="0.2">
      <c r="L1412" s="154" t="e">
        <f t="shared" si="207"/>
        <v>#VALUE!</v>
      </c>
      <c r="M1412">
        <v>13</v>
      </c>
      <c r="N1412" s="154" t="e">
        <f t="shared" si="208"/>
        <v>#VALUE!</v>
      </c>
      <c r="O1412">
        <v>13</v>
      </c>
      <c r="P1412" s="154" t="e">
        <f t="shared" si="209"/>
        <v>#VALUE!</v>
      </c>
      <c r="Q1412">
        <v>13</v>
      </c>
      <c r="R1412" s="154" t="e">
        <f t="shared" si="210"/>
        <v>#VALUE!</v>
      </c>
      <c r="S1412">
        <v>13</v>
      </c>
      <c r="T1412" s="154" t="e">
        <f t="shared" si="211"/>
        <v>#VALUE!</v>
      </c>
      <c r="U1412">
        <v>13</v>
      </c>
      <c r="V1412" s="154" t="e">
        <f t="shared" si="212"/>
        <v>#VALUE!</v>
      </c>
      <c r="W1412">
        <v>13</v>
      </c>
      <c r="X1412" s="157" t="e">
        <f t="shared" si="213"/>
        <v>#VALUE!</v>
      </c>
      <c r="Y1412">
        <v>13</v>
      </c>
      <c r="Z1412" s="154" t="e">
        <f t="shared" si="214"/>
        <v>#VALUE!</v>
      </c>
      <c r="AA1412">
        <v>13</v>
      </c>
      <c r="AB1412" s="154" t="e">
        <f t="shared" si="215"/>
        <v>#VALUE!</v>
      </c>
      <c r="AC1412">
        <v>13</v>
      </c>
      <c r="AD1412" s="154" t="e">
        <f t="shared" si="216"/>
        <v>#VALUE!</v>
      </c>
      <c r="AE1412">
        <v>13</v>
      </c>
    </row>
    <row r="1413" spans="12:31" ht="15" x14ac:dyDescent="0.2">
      <c r="L1413" s="154" t="e">
        <f t="shared" si="207"/>
        <v>#VALUE!</v>
      </c>
      <c r="M1413">
        <v>13.01</v>
      </c>
      <c r="N1413" s="154" t="e">
        <f t="shared" si="208"/>
        <v>#VALUE!</v>
      </c>
      <c r="O1413">
        <v>13.01</v>
      </c>
      <c r="P1413" s="154" t="e">
        <f t="shared" si="209"/>
        <v>#VALUE!</v>
      </c>
      <c r="Q1413">
        <v>13.01</v>
      </c>
      <c r="R1413" s="154" t="e">
        <f t="shared" si="210"/>
        <v>#VALUE!</v>
      </c>
      <c r="S1413">
        <v>13.01</v>
      </c>
      <c r="T1413" s="154" t="e">
        <f t="shared" si="211"/>
        <v>#VALUE!</v>
      </c>
      <c r="U1413">
        <v>13.01</v>
      </c>
      <c r="V1413" s="154" t="e">
        <f t="shared" si="212"/>
        <v>#VALUE!</v>
      </c>
      <c r="W1413">
        <v>13.01</v>
      </c>
      <c r="X1413" s="157" t="e">
        <f t="shared" si="213"/>
        <v>#VALUE!</v>
      </c>
      <c r="Y1413">
        <v>13.01</v>
      </c>
      <c r="Z1413" s="154" t="e">
        <f t="shared" si="214"/>
        <v>#VALUE!</v>
      </c>
      <c r="AA1413">
        <v>13.01</v>
      </c>
      <c r="AB1413" s="154" t="e">
        <f t="shared" si="215"/>
        <v>#VALUE!</v>
      </c>
      <c r="AC1413">
        <v>13.01</v>
      </c>
      <c r="AD1413" s="154" t="e">
        <f t="shared" si="216"/>
        <v>#VALUE!</v>
      </c>
      <c r="AE1413">
        <v>13.01</v>
      </c>
    </row>
    <row r="1414" spans="12:31" ht="15" x14ac:dyDescent="0.2">
      <c r="L1414" s="154" t="e">
        <f t="shared" si="207"/>
        <v>#VALUE!</v>
      </c>
      <c r="M1414">
        <v>13.02</v>
      </c>
      <c r="N1414" s="154" t="e">
        <f t="shared" si="208"/>
        <v>#VALUE!</v>
      </c>
      <c r="O1414">
        <v>13.02</v>
      </c>
      <c r="P1414" s="154" t="e">
        <f t="shared" si="209"/>
        <v>#VALUE!</v>
      </c>
      <c r="Q1414">
        <v>13.02</v>
      </c>
      <c r="R1414" s="154" t="e">
        <f t="shared" si="210"/>
        <v>#VALUE!</v>
      </c>
      <c r="S1414">
        <v>13.02</v>
      </c>
      <c r="T1414" s="154" t="e">
        <f t="shared" si="211"/>
        <v>#VALUE!</v>
      </c>
      <c r="U1414">
        <v>13.02</v>
      </c>
      <c r="V1414" s="154" t="e">
        <f t="shared" si="212"/>
        <v>#VALUE!</v>
      </c>
      <c r="W1414">
        <v>13.02</v>
      </c>
      <c r="X1414" s="157" t="e">
        <f t="shared" si="213"/>
        <v>#VALUE!</v>
      </c>
      <c r="Y1414">
        <v>13.02</v>
      </c>
      <c r="Z1414" s="154" t="e">
        <f t="shared" si="214"/>
        <v>#VALUE!</v>
      </c>
      <c r="AA1414">
        <v>13.02</v>
      </c>
      <c r="AB1414" s="154" t="e">
        <f t="shared" si="215"/>
        <v>#VALUE!</v>
      </c>
      <c r="AC1414">
        <v>13.02</v>
      </c>
      <c r="AD1414" s="154" t="e">
        <f t="shared" si="216"/>
        <v>#VALUE!</v>
      </c>
      <c r="AE1414">
        <v>13.02</v>
      </c>
    </row>
    <row r="1415" spans="12:31" ht="15" x14ac:dyDescent="0.2">
      <c r="L1415" s="154" t="e">
        <f t="shared" si="207"/>
        <v>#VALUE!</v>
      </c>
      <c r="M1415">
        <v>13.03</v>
      </c>
      <c r="N1415" s="154" t="e">
        <f t="shared" si="208"/>
        <v>#VALUE!</v>
      </c>
      <c r="O1415">
        <v>13.03</v>
      </c>
      <c r="P1415" s="154" t="e">
        <f t="shared" si="209"/>
        <v>#VALUE!</v>
      </c>
      <c r="Q1415">
        <v>13.03</v>
      </c>
      <c r="R1415" s="154" t="e">
        <f t="shared" si="210"/>
        <v>#VALUE!</v>
      </c>
      <c r="S1415">
        <v>13.03</v>
      </c>
      <c r="T1415" s="154" t="e">
        <f t="shared" si="211"/>
        <v>#VALUE!</v>
      </c>
      <c r="U1415">
        <v>13.03</v>
      </c>
      <c r="V1415" s="154" t="e">
        <f t="shared" si="212"/>
        <v>#VALUE!</v>
      </c>
      <c r="W1415">
        <v>13.03</v>
      </c>
      <c r="X1415" s="157" t="e">
        <f t="shared" si="213"/>
        <v>#VALUE!</v>
      </c>
      <c r="Y1415">
        <v>13.03</v>
      </c>
      <c r="Z1415" s="154" t="e">
        <f t="shared" si="214"/>
        <v>#VALUE!</v>
      </c>
      <c r="AA1415">
        <v>13.03</v>
      </c>
      <c r="AB1415" s="154" t="e">
        <f t="shared" si="215"/>
        <v>#VALUE!</v>
      </c>
      <c r="AC1415">
        <v>13.03</v>
      </c>
      <c r="AD1415" s="154" t="e">
        <f t="shared" si="216"/>
        <v>#VALUE!</v>
      </c>
      <c r="AE1415">
        <v>13.03</v>
      </c>
    </row>
    <row r="1416" spans="12:31" ht="15" x14ac:dyDescent="0.2">
      <c r="L1416" s="154" t="e">
        <f t="shared" si="207"/>
        <v>#VALUE!</v>
      </c>
      <c r="M1416">
        <v>13.04</v>
      </c>
      <c r="N1416" s="154" t="e">
        <f t="shared" si="208"/>
        <v>#VALUE!</v>
      </c>
      <c r="O1416">
        <v>13.04</v>
      </c>
      <c r="P1416" s="154" t="e">
        <f t="shared" si="209"/>
        <v>#VALUE!</v>
      </c>
      <c r="Q1416">
        <v>13.04</v>
      </c>
      <c r="R1416" s="154" t="e">
        <f t="shared" si="210"/>
        <v>#VALUE!</v>
      </c>
      <c r="S1416">
        <v>13.04</v>
      </c>
      <c r="T1416" s="154" t="e">
        <f t="shared" si="211"/>
        <v>#VALUE!</v>
      </c>
      <c r="U1416">
        <v>13.04</v>
      </c>
      <c r="V1416" s="154" t="e">
        <f t="shared" si="212"/>
        <v>#VALUE!</v>
      </c>
      <c r="W1416">
        <v>13.04</v>
      </c>
      <c r="X1416" s="157" t="e">
        <f t="shared" si="213"/>
        <v>#VALUE!</v>
      </c>
      <c r="Y1416">
        <v>13.04</v>
      </c>
      <c r="Z1416" s="154" t="e">
        <f t="shared" si="214"/>
        <v>#VALUE!</v>
      </c>
      <c r="AA1416">
        <v>13.04</v>
      </c>
      <c r="AB1416" s="154" t="e">
        <f t="shared" si="215"/>
        <v>#VALUE!</v>
      </c>
      <c r="AC1416">
        <v>13.04</v>
      </c>
      <c r="AD1416" s="154" t="e">
        <f t="shared" si="216"/>
        <v>#VALUE!</v>
      </c>
      <c r="AE1416">
        <v>13.04</v>
      </c>
    </row>
    <row r="1417" spans="12:31" ht="15" x14ac:dyDescent="0.2">
      <c r="L1417" s="154" t="e">
        <f t="shared" si="207"/>
        <v>#VALUE!</v>
      </c>
      <c r="M1417">
        <v>13.05</v>
      </c>
      <c r="N1417" s="154" t="e">
        <f t="shared" si="208"/>
        <v>#VALUE!</v>
      </c>
      <c r="O1417">
        <v>13.05</v>
      </c>
      <c r="P1417" s="154" t="e">
        <f t="shared" si="209"/>
        <v>#VALUE!</v>
      </c>
      <c r="Q1417">
        <v>13.05</v>
      </c>
      <c r="R1417" s="154" t="e">
        <f t="shared" si="210"/>
        <v>#VALUE!</v>
      </c>
      <c r="S1417">
        <v>13.05</v>
      </c>
      <c r="T1417" s="154" t="e">
        <f t="shared" si="211"/>
        <v>#VALUE!</v>
      </c>
      <c r="U1417">
        <v>13.05</v>
      </c>
      <c r="V1417" s="154" t="e">
        <f t="shared" si="212"/>
        <v>#VALUE!</v>
      </c>
      <c r="W1417">
        <v>13.05</v>
      </c>
      <c r="X1417" s="157" t="e">
        <f t="shared" si="213"/>
        <v>#VALUE!</v>
      </c>
      <c r="Y1417">
        <v>13.05</v>
      </c>
      <c r="Z1417" s="154" t="e">
        <f t="shared" si="214"/>
        <v>#VALUE!</v>
      </c>
      <c r="AA1417">
        <v>13.05</v>
      </c>
      <c r="AB1417" s="154" t="e">
        <f t="shared" si="215"/>
        <v>#VALUE!</v>
      </c>
      <c r="AC1417">
        <v>13.05</v>
      </c>
      <c r="AD1417" s="154" t="e">
        <f t="shared" si="216"/>
        <v>#VALUE!</v>
      </c>
      <c r="AE1417">
        <v>13.05</v>
      </c>
    </row>
    <row r="1418" spans="12:31" ht="15" x14ac:dyDescent="0.2">
      <c r="L1418" s="154" t="e">
        <f t="shared" si="207"/>
        <v>#VALUE!</v>
      </c>
      <c r="M1418">
        <v>13.06</v>
      </c>
      <c r="N1418" s="154" t="e">
        <f t="shared" si="208"/>
        <v>#VALUE!</v>
      </c>
      <c r="O1418">
        <v>13.06</v>
      </c>
      <c r="P1418" s="154" t="e">
        <f t="shared" si="209"/>
        <v>#VALUE!</v>
      </c>
      <c r="Q1418">
        <v>13.06</v>
      </c>
      <c r="R1418" s="154" t="e">
        <f t="shared" si="210"/>
        <v>#VALUE!</v>
      </c>
      <c r="S1418">
        <v>13.06</v>
      </c>
      <c r="T1418" s="154" t="e">
        <f t="shared" si="211"/>
        <v>#VALUE!</v>
      </c>
      <c r="U1418">
        <v>13.06</v>
      </c>
      <c r="V1418" s="154" t="e">
        <f t="shared" si="212"/>
        <v>#VALUE!</v>
      </c>
      <c r="W1418">
        <v>13.06</v>
      </c>
      <c r="X1418" s="157" t="e">
        <f t="shared" si="213"/>
        <v>#VALUE!</v>
      </c>
      <c r="Y1418">
        <v>13.06</v>
      </c>
      <c r="Z1418" s="154" t="e">
        <f t="shared" si="214"/>
        <v>#VALUE!</v>
      </c>
      <c r="AA1418">
        <v>13.06</v>
      </c>
      <c r="AB1418" s="154" t="e">
        <f t="shared" si="215"/>
        <v>#VALUE!</v>
      </c>
      <c r="AC1418">
        <v>13.06</v>
      </c>
      <c r="AD1418" s="154" t="e">
        <f t="shared" si="216"/>
        <v>#VALUE!</v>
      </c>
      <c r="AE1418">
        <v>13.06</v>
      </c>
    </row>
    <row r="1419" spans="12:31" ht="15" x14ac:dyDescent="0.2">
      <c r="L1419" s="154" t="e">
        <f t="shared" si="207"/>
        <v>#VALUE!</v>
      </c>
      <c r="M1419">
        <v>13.07</v>
      </c>
      <c r="N1419" s="154" t="e">
        <f t="shared" si="208"/>
        <v>#VALUE!</v>
      </c>
      <c r="O1419">
        <v>13.07</v>
      </c>
      <c r="P1419" s="154" t="e">
        <f t="shared" si="209"/>
        <v>#VALUE!</v>
      </c>
      <c r="Q1419">
        <v>13.07</v>
      </c>
      <c r="R1419" s="154" t="e">
        <f t="shared" si="210"/>
        <v>#VALUE!</v>
      </c>
      <c r="S1419">
        <v>13.07</v>
      </c>
      <c r="T1419" s="154" t="e">
        <f t="shared" si="211"/>
        <v>#VALUE!</v>
      </c>
      <c r="U1419">
        <v>13.07</v>
      </c>
      <c r="V1419" s="154" t="e">
        <f t="shared" si="212"/>
        <v>#VALUE!</v>
      </c>
      <c r="W1419">
        <v>13.07</v>
      </c>
      <c r="X1419" s="157" t="e">
        <f t="shared" si="213"/>
        <v>#VALUE!</v>
      </c>
      <c r="Y1419">
        <v>13.07</v>
      </c>
      <c r="Z1419" s="154" t="e">
        <f t="shared" si="214"/>
        <v>#VALUE!</v>
      </c>
      <c r="AA1419">
        <v>13.07</v>
      </c>
      <c r="AB1419" s="154" t="e">
        <f t="shared" si="215"/>
        <v>#VALUE!</v>
      </c>
      <c r="AC1419">
        <v>13.07</v>
      </c>
      <c r="AD1419" s="154" t="e">
        <f t="shared" si="216"/>
        <v>#VALUE!</v>
      </c>
      <c r="AE1419">
        <v>13.07</v>
      </c>
    </row>
    <row r="1420" spans="12:31" ht="15" x14ac:dyDescent="0.2">
      <c r="L1420" s="154" t="e">
        <f t="shared" si="207"/>
        <v>#VALUE!</v>
      </c>
      <c r="M1420">
        <v>13.08</v>
      </c>
      <c r="N1420" s="154" t="e">
        <f t="shared" si="208"/>
        <v>#VALUE!</v>
      </c>
      <c r="O1420">
        <v>13.08</v>
      </c>
      <c r="P1420" s="154" t="e">
        <f t="shared" si="209"/>
        <v>#VALUE!</v>
      </c>
      <c r="Q1420">
        <v>13.08</v>
      </c>
      <c r="R1420" s="154" t="e">
        <f t="shared" si="210"/>
        <v>#VALUE!</v>
      </c>
      <c r="S1420">
        <v>13.08</v>
      </c>
      <c r="T1420" s="154" t="e">
        <f t="shared" si="211"/>
        <v>#VALUE!</v>
      </c>
      <c r="U1420">
        <v>13.08</v>
      </c>
      <c r="V1420" s="154" t="e">
        <f t="shared" si="212"/>
        <v>#VALUE!</v>
      </c>
      <c r="W1420">
        <v>13.08</v>
      </c>
      <c r="X1420" s="157" t="e">
        <f t="shared" si="213"/>
        <v>#VALUE!</v>
      </c>
      <c r="Y1420">
        <v>13.08</v>
      </c>
      <c r="Z1420" s="154" t="e">
        <f t="shared" si="214"/>
        <v>#VALUE!</v>
      </c>
      <c r="AA1420">
        <v>13.08</v>
      </c>
      <c r="AB1420" s="154" t="e">
        <f t="shared" si="215"/>
        <v>#VALUE!</v>
      </c>
      <c r="AC1420">
        <v>13.08</v>
      </c>
      <c r="AD1420" s="154" t="e">
        <f t="shared" si="216"/>
        <v>#VALUE!</v>
      </c>
      <c r="AE1420">
        <v>13.08</v>
      </c>
    </row>
    <row r="1421" spans="12:31" ht="15" x14ac:dyDescent="0.2">
      <c r="L1421" s="154" t="e">
        <f t="shared" si="207"/>
        <v>#VALUE!</v>
      </c>
      <c r="M1421">
        <v>13.09</v>
      </c>
      <c r="N1421" s="154" t="e">
        <f t="shared" si="208"/>
        <v>#VALUE!</v>
      </c>
      <c r="O1421">
        <v>13.09</v>
      </c>
      <c r="P1421" s="154" t="e">
        <f t="shared" si="209"/>
        <v>#VALUE!</v>
      </c>
      <c r="Q1421">
        <v>13.09</v>
      </c>
      <c r="R1421" s="154" t="e">
        <f t="shared" si="210"/>
        <v>#VALUE!</v>
      </c>
      <c r="S1421">
        <v>13.09</v>
      </c>
      <c r="T1421" s="154" t="e">
        <f t="shared" si="211"/>
        <v>#VALUE!</v>
      </c>
      <c r="U1421">
        <v>13.09</v>
      </c>
      <c r="V1421" s="154" t="e">
        <f t="shared" si="212"/>
        <v>#VALUE!</v>
      </c>
      <c r="W1421">
        <v>13.09</v>
      </c>
      <c r="X1421" s="157" t="e">
        <f t="shared" si="213"/>
        <v>#VALUE!</v>
      </c>
      <c r="Y1421">
        <v>13.09</v>
      </c>
      <c r="Z1421" s="154" t="e">
        <f t="shared" si="214"/>
        <v>#VALUE!</v>
      </c>
      <c r="AA1421">
        <v>13.09</v>
      </c>
      <c r="AB1421" s="154" t="e">
        <f t="shared" si="215"/>
        <v>#VALUE!</v>
      </c>
      <c r="AC1421">
        <v>13.09</v>
      </c>
      <c r="AD1421" s="154" t="e">
        <f t="shared" si="216"/>
        <v>#VALUE!</v>
      </c>
      <c r="AE1421">
        <v>13.09</v>
      </c>
    </row>
    <row r="1422" spans="12:31" ht="15" x14ac:dyDescent="0.2">
      <c r="L1422" s="154" t="e">
        <f t="shared" si="207"/>
        <v>#VALUE!</v>
      </c>
      <c r="M1422">
        <v>13.1</v>
      </c>
      <c r="N1422" s="154" t="e">
        <f t="shared" si="208"/>
        <v>#VALUE!</v>
      </c>
      <c r="O1422">
        <v>13.1</v>
      </c>
      <c r="P1422" s="154" t="e">
        <f t="shared" si="209"/>
        <v>#VALUE!</v>
      </c>
      <c r="Q1422">
        <v>13.1</v>
      </c>
      <c r="R1422" s="154" t="e">
        <f t="shared" si="210"/>
        <v>#VALUE!</v>
      </c>
      <c r="S1422">
        <v>13.1</v>
      </c>
      <c r="T1422" s="154" t="e">
        <f t="shared" si="211"/>
        <v>#VALUE!</v>
      </c>
      <c r="U1422">
        <v>13.1</v>
      </c>
      <c r="V1422" s="154" t="e">
        <f t="shared" si="212"/>
        <v>#VALUE!</v>
      </c>
      <c r="W1422">
        <v>13.1</v>
      </c>
      <c r="X1422" s="157" t="e">
        <f t="shared" si="213"/>
        <v>#VALUE!</v>
      </c>
      <c r="Y1422">
        <v>13.1</v>
      </c>
      <c r="Z1422" s="154" t="e">
        <f t="shared" si="214"/>
        <v>#VALUE!</v>
      </c>
      <c r="AA1422">
        <v>13.1</v>
      </c>
      <c r="AB1422" s="154" t="e">
        <f t="shared" si="215"/>
        <v>#VALUE!</v>
      </c>
      <c r="AC1422">
        <v>13.1</v>
      </c>
      <c r="AD1422" s="154" t="e">
        <f t="shared" si="216"/>
        <v>#VALUE!</v>
      </c>
      <c r="AE1422">
        <v>13.1</v>
      </c>
    </row>
    <row r="1423" spans="12:31" ht="15" x14ac:dyDescent="0.2">
      <c r="L1423" s="154" t="e">
        <f t="shared" si="207"/>
        <v>#VALUE!</v>
      </c>
      <c r="M1423">
        <v>13.11</v>
      </c>
      <c r="N1423" s="154" t="e">
        <f t="shared" si="208"/>
        <v>#VALUE!</v>
      </c>
      <c r="O1423">
        <v>13.11</v>
      </c>
      <c r="P1423" s="154" t="e">
        <f t="shared" si="209"/>
        <v>#VALUE!</v>
      </c>
      <c r="Q1423">
        <v>13.11</v>
      </c>
      <c r="R1423" s="154" t="e">
        <f t="shared" si="210"/>
        <v>#VALUE!</v>
      </c>
      <c r="S1423">
        <v>13.11</v>
      </c>
      <c r="T1423" s="154" t="e">
        <f t="shared" si="211"/>
        <v>#VALUE!</v>
      </c>
      <c r="U1423">
        <v>13.11</v>
      </c>
      <c r="V1423" s="154" t="e">
        <f t="shared" si="212"/>
        <v>#VALUE!</v>
      </c>
      <c r="W1423">
        <v>13.11</v>
      </c>
      <c r="X1423" s="157" t="e">
        <f t="shared" si="213"/>
        <v>#VALUE!</v>
      </c>
      <c r="Y1423">
        <v>13.11</v>
      </c>
      <c r="Z1423" s="154" t="e">
        <f t="shared" si="214"/>
        <v>#VALUE!</v>
      </c>
      <c r="AA1423">
        <v>13.11</v>
      </c>
      <c r="AB1423" s="154" t="e">
        <f t="shared" si="215"/>
        <v>#VALUE!</v>
      </c>
      <c r="AC1423">
        <v>13.11</v>
      </c>
      <c r="AD1423" s="154" t="e">
        <f t="shared" si="216"/>
        <v>#VALUE!</v>
      </c>
      <c r="AE1423">
        <v>13.11</v>
      </c>
    </row>
    <row r="1424" spans="12:31" ht="15" x14ac:dyDescent="0.2">
      <c r="L1424" s="154" t="e">
        <f t="shared" si="207"/>
        <v>#VALUE!</v>
      </c>
      <c r="M1424">
        <v>13.12</v>
      </c>
      <c r="N1424" s="154" t="e">
        <f t="shared" si="208"/>
        <v>#VALUE!</v>
      </c>
      <c r="O1424">
        <v>13.12</v>
      </c>
      <c r="P1424" s="154" t="e">
        <f t="shared" si="209"/>
        <v>#VALUE!</v>
      </c>
      <c r="Q1424">
        <v>13.12</v>
      </c>
      <c r="R1424" s="154" t="e">
        <f t="shared" si="210"/>
        <v>#VALUE!</v>
      </c>
      <c r="S1424">
        <v>13.12</v>
      </c>
      <c r="T1424" s="154" t="e">
        <f t="shared" si="211"/>
        <v>#VALUE!</v>
      </c>
      <c r="U1424">
        <v>13.12</v>
      </c>
      <c r="V1424" s="154" t="e">
        <f t="shared" si="212"/>
        <v>#VALUE!</v>
      </c>
      <c r="W1424">
        <v>13.12</v>
      </c>
      <c r="X1424" s="157" t="e">
        <f t="shared" si="213"/>
        <v>#VALUE!</v>
      </c>
      <c r="Y1424">
        <v>13.12</v>
      </c>
      <c r="Z1424" s="154" t="e">
        <f t="shared" si="214"/>
        <v>#VALUE!</v>
      </c>
      <c r="AA1424">
        <v>13.12</v>
      </c>
      <c r="AB1424" s="154" t="e">
        <f t="shared" si="215"/>
        <v>#VALUE!</v>
      </c>
      <c r="AC1424">
        <v>13.12</v>
      </c>
      <c r="AD1424" s="154" t="e">
        <f t="shared" si="216"/>
        <v>#VALUE!</v>
      </c>
      <c r="AE1424">
        <v>13.12</v>
      </c>
    </row>
    <row r="1425" spans="12:31" ht="15" x14ac:dyDescent="0.2">
      <c r="L1425" s="154" t="e">
        <f t="shared" si="207"/>
        <v>#VALUE!</v>
      </c>
      <c r="M1425">
        <v>13.13</v>
      </c>
      <c r="N1425" s="154" t="e">
        <f t="shared" si="208"/>
        <v>#VALUE!</v>
      </c>
      <c r="O1425">
        <v>13.13</v>
      </c>
      <c r="P1425" s="154" t="e">
        <f t="shared" si="209"/>
        <v>#VALUE!</v>
      </c>
      <c r="Q1425">
        <v>13.13</v>
      </c>
      <c r="R1425" s="154" t="e">
        <f t="shared" si="210"/>
        <v>#VALUE!</v>
      </c>
      <c r="S1425">
        <v>13.13</v>
      </c>
      <c r="T1425" s="154" t="e">
        <f t="shared" si="211"/>
        <v>#VALUE!</v>
      </c>
      <c r="U1425">
        <v>13.13</v>
      </c>
      <c r="V1425" s="154" t="e">
        <f t="shared" si="212"/>
        <v>#VALUE!</v>
      </c>
      <c r="W1425">
        <v>13.13</v>
      </c>
      <c r="X1425" s="157" t="e">
        <f t="shared" si="213"/>
        <v>#VALUE!</v>
      </c>
      <c r="Y1425">
        <v>13.13</v>
      </c>
      <c r="Z1425" s="154" t="e">
        <f t="shared" si="214"/>
        <v>#VALUE!</v>
      </c>
      <c r="AA1425">
        <v>13.13</v>
      </c>
      <c r="AB1425" s="154" t="e">
        <f t="shared" si="215"/>
        <v>#VALUE!</v>
      </c>
      <c r="AC1425">
        <v>13.13</v>
      </c>
      <c r="AD1425" s="154" t="e">
        <f t="shared" si="216"/>
        <v>#VALUE!</v>
      </c>
      <c r="AE1425">
        <v>13.13</v>
      </c>
    </row>
    <row r="1426" spans="12:31" ht="15" x14ac:dyDescent="0.2">
      <c r="L1426" s="154" t="e">
        <f t="shared" si="207"/>
        <v>#VALUE!</v>
      </c>
      <c r="M1426">
        <v>13.14</v>
      </c>
      <c r="N1426" s="154" t="e">
        <f t="shared" si="208"/>
        <v>#VALUE!</v>
      </c>
      <c r="O1426">
        <v>13.14</v>
      </c>
      <c r="P1426" s="154" t="e">
        <f t="shared" si="209"/>
        <v>#VALUE!</v>
      </c>
      <c r="Q1426">
        <v>13.14</v>
      </c>
      <c r="R1426" s="154" t="e">
        <f t="shared" si="210"/>
        <v>#VALUE!</v>
      </c>
      <c r="S1426">
        <v>13.14</v>
      </c>
      <c r="T1426" s="154" t="e">
        <f t="shared" si="211"/>
        <v>#VALUE!</v>
      </c>
      <c r="U1426">
        <v>13.14</v>
      </c>
      <c r="V1426" s="154" t="e">
        <f t="shared" si="212"/>
        <v>#VALUE!</v>
      </c>
      <c r="W1426">
        <v>13.14</v>
      </c>
      <c r="X1426" s="157" t="e">
        <f t="shared" si="213"/>
        <v>#VALUE!</v>
      </c>
      <c r="Y1426">
        <v>13.14</v>
      </c>
      <c r="Z1426" s="154" t="e">
        <f t="shared" si="214"/>
        <v>#VALUE!</v>
      </c>
      <c r="AA1426">
        <v>13.14</v>
      </c>
      <c r="AB1426" s="154" t="e">
        <f t="shared" si="215"/>
        <v>#VALUE!</v>
      </c>
      <c r="AC1426">
        <v>13.14</v>
      </c>
      <c r="AD1426" s="154" t="e">
        <f t="shared" si="216"/>
        <v>#VALUE!</v>
      </c>
      <c r="AE1426">
        <v>13.14</v>
      </c>
    </row>
    <row r="1427" spans="12:31" ht="15" x14ac:dyDescent="0.2">
      <c r="L1427" s="154" t="e">
        <f t="shared" si="207"/>
        <v>#VALUE!</v>
      </c>
      <c r="M1427">
        <v>13.15</v>
      </c>
      <c r="N1427" s="154" t="e">
        <f t="shared" si="208"/>
        <v>#VALUE!</v>
      </c>
      <c r="O1427">
        <v>13.15</v>
      </c>
      <c r="P1427" s="154" t="e">
        <f t="shared" si="209"/>
        <v>#VALUE!</v>
      </c>
      <c r="Q1427">
        <v>13.15</v>
      </c>
      <c r="R1427" s="154" t="e">
        <f t="shared" si="210"/>
        <v>#VALUE!</v>
      </c>
      <c r="S1427">
        <v>13.15</v>
      </c>
      <c r="T1427" s="154" t="e">
        <f t="shared" si="211"/>
        <v>#VALUE!</v>
      </c>
      <c r="U1427">
        <v>13.15</v>
      </c>
      <c r="V1427" s="154" t="e">
        <f t="shared" si="212"/>
        <v>#VALUE!</v>
      </c>
      <c r="W1427">
        <v>13.15</v>
      </c>
      <c r="X1427" s="157" t="e">
        <f t="shared" si="213"/>
        <v>#VALUE!</v>
      </c>
      <c r="Y1427">
        <v>13.15</v>
      </c>
      <c r="Z1427" s="154" t="e">
        <f t="shared" si="214"/>
        <v>#VALUE!</v>
      </c>
      <c r="AA1427">
        <v>13.15</v>
      </c>
      <c r="AB1427" s="154" t="e">
        <f t="shared" si="215"/>
        <v>#VALUE!</v>
      </c>
      <c r="AC1427">
        <v>13.15</v>
      </c>
      <c r="AD1427" s="154" t="e">
        <f t="shared" si="216"/>
        <v>#VALUE!</v>
      </c>
      <c r="AE1427">
        <v>13.15</v>
      </c>
    </row>
    <row r="1428" spans="12:31" ht="15" x14ac:dyDescent="0.2">
      <c r="L1428" s="154" t="e">
        <f t="shared" si="207"/>
        <v>#VALUE!</v>
      </c>
      <c r="M1428">
        <v>13.16</v>
      </c>
      <c r="N1428" s="154" t="e">
        <f t="shared" si="208"/>
        <v>#VALUE!</v>
      </c>
      <c r="O1428">
        <v>13.16</v>
      </c>
      <c r="P1428" s="154" t="e">
        <f t="shared" si="209"/>
        <v>#VALUE!</v>
      </c>
      <c r="Q1428">
        <v>13.16</v>
      </c>
      <c r="R1428" s="154" t="e">
        <f t="shared" si="210"/>
        <v>#VALUE!</v>
      </c>
      <c r="S1428">
        <v>13.16</v>
      </c>
      <c r="T1428" s="154" t="e">
        <f t="shared" si="211"/>
        <v>#VALUE!</v>
      </c>
      <c r="U1428">
        <v>13.16</v>
      </c>
      <c r="V1428" s="154" t="e">
        <f t="shared" si="212"/>
        <v>#VALUE!</v>
      </c>
      <c r="W1428">
        <v>13.16</v>
      </c>
      <c r="X1428" s="157" t="e">
        <f t="shared" si="213"/>
        <v>#VALUE!</v>
      </c>
      <c r="Y1428">
        <v>13.16</v>
      </c>
      <c r="Z1428" s="154" t="e">
        <f t="shared" si="214"/>
        <v>#VALUE!</v>
      </c>
      <c r="AA1428">
        <v>13.16</v>
      </c>
      <c r="AB1428" s="154" t="e">
        <f t="shared" si="215"/>
        <v>#VALUE!</v>
      </c>
      <c r="AC1428">
        <v>13.16</v>
      </c>
      <c r="AD1428" s="154" t="e">
        <f t="shared" si="216"/>
        <v>#VALUE!</v>
      </c>
      <c r="AE1428">
        <v>13.16</v>
      </c>
    </row>
    <row r="1429" spans="12:31" ht="15" x14ac:dyDescent="0.2">
      <c r="L1429" s="154" t="e">
        <f t="shared" si="207"/>
        <v>#VALUE!</v>
      </c>
      <c r="M1429">
        <v>13.17</v>
      </c>
      <c r="N1429" s="154" t="e">
        <f t="shared" si="208"/>
        <v>#VALUE!</v>
      </c>
      <c r="O1429">
        <v>13.17</v>
      </c>
      <c r="P1429" s="154" t="e">
        <f t="shared" si="209"/>
        <v>#VALUE!</v>
      </c>
      <c r="Q1429">
        <v>13.17</v>
      </c>
      <c r="R1429" s="154" t="e">
        <f t="shared" si="210"/>
        <v>#VALUE!</v>
      </c>
      <c r="S1429">
        <v>13.17</v>
      </c>
      <c r="T1429" s="154" t="e">
        <f t="shared" si="211"/>
        <v>#VALUE!</v>
      </c>
      <c r="U1429">
        <v>13.17</v>
      </c>
      <c r="V1429" s="154" t="e">
        <f t="shared" si="212"/>
        <v>#VALUE!</v>
      </c>
      <c r="W1429">
        <v>13.17</v>
      </c>
      <c r="X1429" s="157" t="e">
        <f t="shared" si="213"/>
        <v>#VALUE!</v>
      </c>
      <c r="Y1429">
        <v>13.17</v>
      </c>
      <c r="Z1429" s="154" t="e">
        <f t="shared" si="214"/>
        <v>#VALUE!</v>
      </c>
      <c r="AA1429">
        <v>13.17</v>
      </c>
      <c r="AB1429" s="154" t="e">
        <f t="shared" si="215"/>
        <v>#VALUE!</v>
      </c>
      <c r="AC1429">
        <v>13.17</v>
      </c>
      <c r="AD1429" s="154" t="e">
        <f t="shared" si="216"/>
        <v>#VALUE!</v>
      </c>
      <c r="AE1429">
        <v>13.17</v>
      </c>
    </row>
    <row r="1430" spans="12:31" ht="15" x14ac:dyDescent="0.2">
      <c r="L1430" s="154" t="e">
        <f t="shared" si="207"/>
        <v>#VALUE!</v>
      </c>
      <c r="M1430">
        <v>13.18</v>
      </c>
      <c r="N1430" s="154" t="e">
        <f t="shared" si="208"/>
        <v>#VALUE!</v>
      </c>
      <c r="O1430">
        <v>13.18</v>
      </c>
      <c r="P1430" s="154" t="e">
        <f t="shared" si="209"/>
        <v>#VALUE!</v>
      </c>
      <c r="Q1430">
        <v>13.18</v>
      </c>
      <c r="R1430" s="154" t="e">
        <f t="shared" si="210"/>
        <v>#VALUE!</v>
      </c>
      <c r="S1430">
        <v>13.18</v>
      </c>
      <c r="T1430" s="154" t="e">
        <f t="shared" si="211"/>
        <v>#VALUE!</v>
      </c>
      <c r="U1430">
        <v>13.18</v>
      </c>
      <c r="V1430" s="154" t="e">
        <f t="shared" si="212"/>
        <v>#VALUE!</v>
      </c>
      <c r="W1430">
        <v>13.18</v>
      </c>
      <c r="X1430" s="157" t="e">
        <f t="shared" si="213"/>
        <v>#VALUE!</v>
      </c>
      <c r="Y1430">
        <v>13.18</v>
      </c>
      <c r="Z1430" s="154" t="e">
        <f t="shared" si="214"/>
        <v>#VALUE!</v>
      </c>
      <c r="AA1430">
        <v>13.18</v>
      </c>
      <c r="AB1430" s="154" t="e">
        <f t="shared" si="215"/>
        <v>#VALUE!</v>
      </c>
      <c r="AC1430">
        <v>13.18</v>
      </c>
      <c r="AD1430" s="154" t="e">
        <f t="shared" si="216"/>
        <v>#VALUE!</v>
      </c>
      <c r="AE1430">
        <v>13.18</v>
      </c>
    </row>
    <row r="1431" spans="12:31" ht="15" x14ac:dyDescent="0.2">
      <c r="L1431" s="154" t="e">
        <f t="shared" si="207"/>
        <v>#VALUE!</v>
      </c>
      <c r="M1431">
        <v>13.19</v>
      </c>
      <c r="N1431" s="154" t="e">
        <f t="shared" si="208"/>
        <v>#VALUE!</v>
      </c>
      <c r="O1431">
        <v>13.19</v>
      </c>
      <c r="P1431" s="154" t="e">
        <f t="shared" si="209"/>
        <v>#VALUE!</v>
      </c>
      <c r="Q1431">
        <v>13.19</v>
      </c>
      <c r="R1431" s="154" t="e">
        <f t="shared" si="210"/>
        <v>#VALUE!</v>
      </c>
      <c r="S1431">
        <v>13.19</v>
      </c>
      <c r="T1431" s="154" t="e">
        <f t="shared" si="211"/>
        <v>#VALUE!</v>
      </c>
      <c r="U1431">
        <v>13.19</v>
      </c>
      <c r="V1431" s="154" t="e">
        <f t="shared" si="212"/>
        <v>#VALUE!</v>
      </c>
      <c r="W1431">
        <v>13.19</v>
      </c>
      <c r="X1431" s="157" t="e">
        <f t="shared" si="213"/>
        <v>#VALUE!</v>
      </c>
      <c r="Y1431">
        <v>13.19</v>
      </c>
      <c r="Z1431" s="154" t="e">
        <f t="shared" si="214"/>
        <v>#VALUE!</v>
      </c>
      <c r="AA1431">
        <v>13.19</v>
      </c>
      <c r="AB1431" s="154" t="e">
        <f t="shared" si="215"/>
        <v>#VALUE!</v>
      </c>
      <c r="AC1431">
        <v>13.19</v>
      </c>
      <c r="AD1431" s="154" t="e">
        <f t="shared" si="216"/>
        <v>#VALUE!</v>
      </c>
      <c r="AE1431">
        <v>13.19</v>
      </c>
    </row>
    <row r="1432" spans="12:31" ht="15" x14ac:dyDescent="0.2">
      <c r="L1432" s="154" t="e">
        <f t="shared" si="207"/>
        <v>#VALUE!</v>
      </c>
      <c r="M1432">
        <v>13.2</v>
      </c>
      <c r="N1432" s="154" t="e">
        <f t="shared" si="208"/>
        <v>#VALUE!</v>
      </c>
      <c r="O1432">
        <v>13.2</v>
      </c>
      <c r="P1432" s="154" t="e">
        <f t="shared" si="209"/>
        <v>#VALUE!</v>
      </c>
      <c r="Q1432">
        <v>13.2</v>
      </c>
      <c r="R1432" s="154" t="e">
        <f t="shared" si="210"/>
        <v>#VALUE!</v>
      </c>
      <c r="S1432">
        <v>13.2</v>
      </c>
      <c r="T1432" s="154" t="e">
        <f t="shared" si="211"/>
        <v>#VALUE!</v>
      </c>
      <c r="U1432">
        <v>13.2</v>
      </c>
      <c r="V1432" s="154" t="e">
        <f t="shared" si="212"/>
        <v>#VALUE!</v>
      </c>
      <c r="W1432">
        <v>13.2</v>
      </c>
      <c r="X1432" s="157" t="e">
        <f t="shared" si="213"/>
        <v>#VALUE!</v>
      </c>
      <c r="Y1432">
        <v>13.2</v>
      </c>
      <c r="Z1432" s="154" t="e">
        <f t="shared" si="214"/>
        <v>#VALUE!</v>
      </c>
      <c r="AA1432">
        <v>13.2</v>
      </c>
      <c r="AB1432" s="154" t="e">
        <f t="shared" si="215"/>
        <v>#VALUE!</v>
      </c>
      <c r="AC1432">
        <v>13.2</v>
      </c>
      <c r="AD1432" s="154" t="e">
        <f t="shared" si="216"/>
        <v>#VALUE!</v>
      </c>
      <c r="AE1432">
        <v>13.2</v>
      </c>
    </row>
    <row r="1433" spans="12:31" ht="15" x14ac:dyDescent="0.2">
      <c r="L1433" s="154" t="e">
        <f t="shared" si="207"/>
        <v>#VALUE!</v>
      </c>
      <c r="M1433">
        <v>13.21</v>
      </c>
      <c r="N1433" s="154" t="e">
        <f t="shared" si="208"/>
        <v>#VALUE!</v>
      </c>
      <c r="O1433">
        <v>13.21</v>
      </c>
      <c r="P1433" s="154" t="e">
        <f t="shared" si="209"/>
        <v>#VALUE!</v>
      </c>
      <c r="Q1433">
        <v>13.21</v>
      </c>
      <c r="R1433" s="154" t="e">
        <f t="shared" si="210"/>
        <v>#VALUE!</v>
      </c>
      <c r="S1433">
        <v>13.21</v>
      </c>
      <c r="T1433" s="154" t="e">
        <f t="shared" si="211"/>
        <v>#VALUE!</v>
      </c>
      <c r="U1433">
        <v>13.21</v>
      </c>
      <c r="V1433" s="154" t="e">
        <f t="shared" si="212"/>
        <v>#VALUE!</v>
      </c>
      <c r="W1433">
        <v>13.21</v>
      </c>
      <c r="X1433" s="157" t="e">
        <f t="shared" si="213"/>
        <v>#VALUE!</v>
      </c>
      <c r="Y1433">
        <v>13.21</v>
      </c>
      <c r="Z1433" s="154" t="e">
        <f t="shared" si="214"/>
        <v>#VALUE!</v>
      </c>
      <c r="AA1433">
        <v>13.21</v>
      </c>
      <c r="AB1433" s="154" t="e">
        <f t="shared" si="215"/>
        <v>#VALUE!</v>
      </c>
      <c r="AC1433">
        <v>13.21</v>
      </c>
      <c r="AD1433" s="154" t="e">
        <f t="shared" si="216"/>
        <v>#VALUE!</v>
      </c>
      <c r="AE1433">
        <v>13.21</v>
      </c>
    </row>
    <row r="1434" spans="12:31" ht="15" x14ac:dyDescent="0.2">
      <c r="L1434" s="154" t="e">
        <f t="shared" si="207"/>
        <v>#VALUE!</v>
      </c>
      <c r="M1434">
        <v>13.22</v>
      </c>
      <c r="N1434" s="154" t="e">
        <f t="shared" si="208"/>
        <v>#VALUE!</v>
      </c>
      <c r="O1434">
        <v>13.22</v>
      </c>
      <c r="P1434" s="154" t="e">
        <f t="shared" si="209"/>
        <v>#VALUE!</v>
      </c>
      <c r="Q1434">
        <v>13.22</v>
      </c>
      <c r="R1434" s="154" t="e">
        <f t="shared" si="210"/>
        <v>#VALUE!</v>
      </c>
      <c r="S1434">
        <v>13.22</v>
      </c>
      <c r="T1434" s="154" t="e">
        <f t="shared" si="211"/>
        <v>#VALUE!</v>
      </c>
      <c r="U1434">
        <v>13.22</v>
      </c>
      <c r="V1434" s="154" t="e">
        <f t="shared" si="212"/>
        <v>#VALUE!</v>
      </c>
      <c r="W1434">
        <v>13.22</v>
      </c>
      <c r="X1434" s="157" t="e">
        <f t="shared" si="213"/>
        <v>#VALUE!</v>
      </c>
      <c r="Y1434">
        <v>13.22</v>
      </c>
      <c r="Z1434" s="154" t="e">
        <f t="shared" si="214"/>
        <v>#VALUE!</v>
      </c>
      <c r="AA1434">
        <v>13.22</v>
      </c>
      <c r="AB1434" s="154" t="e">
        <f t="shared" si="215"/>
        <v>#VALUE!</v>
      </c>
      <c r="AC1434">
        <v>13.22</v>
      </c>
      <c r="AD1434" s="154" t="e">
        <f t="shared" si="216"/>
        <v>#VALUE!</v>
      </c>
      <c r="AE1434">
        <v>13.22</v>
      </c>
    </row>
    <row r="1435" spans="12:31" ht="15" x14ac:dyDescent="0.2">
      <c r="L1435" s="154" t="e">
        <f t="shared" si="207"/>
        <v>#VALUE!</v>
      </c>
      <c r="M1435">
        <v>13.23</v>
      </c>
      <c r="N1435" s="154" t="e">
        <f t="shared" si="208"/>
        <v>#VALUE!</v>
      </c>
      <c r="O1435">
        <v>13.23</v>
      </c>
      <c r="P1435" s="154" t="e">
        <f t="shared" si="209"/>
        <v>#VALUE!</v>
      </c>
      <c r="Q1435">
        <v>13.23</v>
      </c>
      <c r="R1435" s="154" t="e">
        <f t="shared" si="210"/>
        <v>#VALUE!</v>
      </c>
      <c r="S1435">
        <v>13.23</v>
      </c>
      <c r="T1435" s="154" t="e">
        <f t="shared" si="211"/>
        <v>#VALUE!</v>
      </c>
      <c r="U1435">
        <v>13.23</v>
      </c>
      <c r="V1435" s="154" t="e">
        <f t="shared" si="212"/>
        <v>#VALUE!</v>
      </c>
      <c r="W1435">
        <v>13.23</v>
      </c>
      <c r="X1435" s="157" t="e">
        <f t="shared" si="213"/>
        <v>#VALUE!</v>
      </c>
      <c r="Y1435">
        <v>13.23</v>
      </c>
      <c r="Z1435" s="154" t="e">
        <f t="shared" si="214"/>
        <v>#VALUE!</v>
      </c>
      <c r="AA1435">
        <v>13.23</v>
      </c>
      <c r="AB1435" s="154" t="e">
        <f t="shared" si="215"/>
        <v>#VALUE!</v>
      </c>
      <c r="AC1435">
        <v>13.23</v>
      </c>
      <c r="AD1435" s="154" t="e">
        <f t="shared" si="216"/>
        <v>#VALUE!</v>
      </c>
      <c r="AE1435">
        <v>13.23</v>
      </c>
    </row>
    <row r="1436" spans="12:31" ht="15" x14ac:dyDescent="0.2">
      <c r="L1436" s="154" t="e">
        <f t="shared" si="207"/>
        <v>#VALUE!</v>
      </c>
      <c r="M1436">
        <v>13.24</v>
      </c>
      <c r="N1436" s="154" t="e">
        <f t="shared" si="208"/>
        <v>#VALUE!</v>
      </c>
      <c r="O1436">
        <v>13.24</v>
      </c>
      <c r="P1436" s="154" t="e">
        <f t="shared" si="209"/>
        <v>#VALUE!</v>
      </c>
      <c r="Q1436">
        <v>13.24</v>
      </c>
      <c r="R1436" s="154" t="e">
        <f t="shared" si="210"/>
        <v>#VALUE!</v>
      </c>
      <c r="S1436">
        <v>13.24</v>
      </c>
      <c r="T1436" s="154" t="e">
        <f t="shared" si="211"/>
        <v>#VALUE!</v>
      </c>
      <c r="U1436">
        <v>13.24</v>
      </c>
      <c r="V1436" s="154" t="e">
        <f t="shared" si="212"/>
        <v>#VALUE!</v>
      </c>
      <c r="W1436">
        <v>13.24</v>
      </c>
      <c r="X1436" s="157" t="e">
        <f t="shared" si="213"/>
        <v>#VALUE!</v>
      </c>
      <c r="Y1436">
        <v>13.24</v>
      </c>
      <c r="Z1436" s="154" t="e">
        <f t="shared" si="214"/>
        <v>#VALUE!</v>
      </c>
      <c r="AA1436">
        <v>13.24</v>
      </c>
      <c r="AB1436" s="154" t="e">
        <f t="shared" si="215"/>
        <v>#VALUE!</v>
      </c>
      <c r="AC1436">
        <v>13.24</v>
      </c>
      <c r="AD1436" s="154" t="e">
        <f t="shared" si="216"/>
        <v>#VALUE!</v>
      </c>
      <c r="AE1436">
        <v>13.24</v>
      </c>
    </row>
    <row r="1437" spans="12:31" ht="15" x14ac:dyDescent="0.2">
      <c r="L1437" s="154" t="e">
        <f t="shared" si="207"/>
        <v>#VALUE!</v>
      </c>
      <c r="M1437">
        <v>13.25</v>
      </c>
      <c r="N1437" s="154" t="e">
        <f t="shared" si="208"/>
        <v>#VALUE!</v>
      </c>
      <c r="O1437">
        <v>13.25</v>
      </c>
      <c r="P1437" s="154" t="e">
        <f t="shared" si="209"/>
        <v>#VALUE!</v>
      </c>
      <c r="Q1437">
        <v>13.25</v>
      </c>
      <c r="R1437" s="154" t="e">
        <f t="shared" si="210"/>
        <v>#VALUE!</v>
      </c>
      <c r="S1437">
        <v>13.25</v>
      </c>
      <c r="T1437" s="154" t="e">
        <f t="shared" si="211"/>
        <v>#VALUE!</v>
      </c>
      <c r="U1437">
        <v>13.25</v>
      </c>
      <c r="V1437" s="154" t="e">
        <f t="shared" si="212"/>
        <v>#VALUE!</v>
      </c>
      <c r="W1437">
        <v>13.25</v>
      </c>
      <c r="X1437" s="157" t="e">
        <f t="shared" si="213"/>
        <v>#VALUE!</v>
      </c>
      <c r="Y1437">
        <v>13.25</v>
      </c>
      <c r="Z1437" s="154" t="e">
        <f t="shared" si="214"/>
        <v>#VALUE!</v>
      </c>
      <c r="AA1437">
        <v>13.25</v>
      </c>
      <c r="AB1437" s="154" t="e">
        <f t="shared" si="215"/>
        <v>#VALUE!</v>
      </c>
      <c r="AC1437">
        <v>13.25</v>
      </c>
      <c r="AD1437" s="154" t="e">
        <f t="shared" si="216"/>
        <v>#VALUE!</v>
      </c>
      <c r="AE1437">
        <v>13.25</v>
      </c>
    </row>
    <row r="1438" spans="12:31" ht="15" x14ac:dyDescent="0.2">
      <c r="L1438" s="154" t="e">
        <f t="shared" si="207"/>
        <v>#VALUE!</v>
      </c>
      <c r="M1438">
        <v>13.26</v>
      </c>
      <c r="N1438" s="154" t="e">
        <f t="shared" si="208"/>
        <v>#VALUE!</v>
      </c>
      <c r="O1438">
        <v>13.26</v>
      </c>
      <c r="P1438" s="154" t="e">
        <f t="shared" si="209"/>
        <v>#VALUE!</v>
      </c>
      <c r="Q1438">
        <v>13.26</v>
      </c>
      <c r="R1438" s="154" t="e">
        <f t="shared" si="210"/>
        <v>#VALUE!</v>
      </c>
      <c r="S1438">
        <v>13.26</v>
      </c>
      <c r="T1438" s="154" t="e">
        <f t="shared" si="211"/>
        <v>#VALUE!</v>
      </c>
      <c r="U1438">
        <v>13.26</v>
      </c>
      <c r="V1438" s="154" t="e">
        <f t="shared" si="212"/>
        <v>#VALUE!</v>
      </c>
      <c r="W1438">
        <v>13.26</v>
      </c>
      <c r="X1438" s="157" t="e">
        <f t="shared" si="213"/>
        <v>#VALUE!</v>
      </c>
      <c r="Y1438">
        <v>13.26</v>
      </c>
      <c r="Z1438" s="154" t="e">
        <f t="shared" si="214"/>
        <v>#VALUE!</v>
      </c>
      <c r="AA1438">
        <v>13.26</v>
      </c>
      <c r="AB1438" s="154" t="e">
        <f t="shared" si="215"/>
        <v>#VALUE!</v>
      </c>
      <c r="AC1438">
        <v>13.26</v>
      </c>
      <c r="AD1438" s="154" t="e">
        <f t="shared" si="216"/>
        <v>#VALUE!</v>
      </c>
      <c r="AE1438">
        <v>13.26</v>
      </c>
    </row>
    <row r="1439" spans="12:31" ht="15" x14ac:dyDescent="0.2">
      <c r="L1439" s="154" t="e">
        <f t="shared" si="207"/>
        <v>#VALUE!</v>
      </c>
      <c r="M1439">
        <v>13.27</v>
      </c>
      <c r="N1439" s="154" t="e">
        <f t="shared" si="208"/>
        <v>#VALUE!</v>
      </c>
      <c r="O1439">
        <v>13.27</v>
      </c>
      <c r="P1439" s="154" t="e">
        <f t="shared" si="209"/>
        <v>#VALUE!</v>
      </c>
      <c r="Q1439">
        <v>13.27</v>
      </c>
      <c r="R1439" s="154" t="e">
        <f t="shared" si="210"/>
        <v>#VALUE!</v>
      </c>
      <c r="S1439">
        <v>13.27</v>
      </c>
      <c r="T1439" s="154" t="e">
        <f t="shared" si="211"/>
        <v>#VALUE!</v>
      </c>
      <c r="U1439">
        <v>13.27</v>
      </c>
      <c r="V1439" s="154" t="e">
        <f t="shared" si="212"/>
        <v>#VALUE!</v>
      </c>
      <c r="W1439">
        <v>13.27</v>
      </c>
      <c r="X1439" s="157" t="e">
        <f t="shared" si="213"/>
        <v>#VALUE!</v>
      </c>
      <c r="Y1439">
        <v>13.27</v>
      </c>
      <c r="Z1439" s="154" t="e">
        <f t="shared" si="214"/>
        <v>#VALUE!</v>
      </c>
      <c r="AA1439">
        <v>13.27</v>
      </c>
      <c r="AB1439" s="154" t="e">
        <f t="shared" si="215"/>
        <v>#VALUE!</v>
      </c>
      <c r="AC1439">
        <v>13.27</v>
      </c>
      <c r="AD1439" s="154" t="e">
        <f t="shared" si="216"/>
        <v>#VALUE!</v>
      </c>
      <c r="AE1439">
        <v>13.27</v>
      </c>
    </row>
    <row r="1440" spans="12:31" ht="15" x14ac:dyDescent="0.2">
      <c r="L1440" s="154" t="e">
        <f t="shared" si="207"/>
        <v>#VALUE!</v>
      </c>
      <c r="M1440">
        <v>13.28</v>
      </c>
      <c r="N1440" s="154" t="e">
        <f t="shared" si="208"/>
        <v>#VALUE!</v>
      </c>
      <c r="O1440">
        <v>13.28</v>
      </c>
      <c r="P1440" s="154" t="e">
        <f t="shared" si="209"/>
        <v>#VALUE!</v>
      </c>
      <c r="Q1440">
        <v>13.28</v>
      </c>
      <c r="R1440" s="154" t="e">
        <f t="shared" si="210"/>
        <v>#VALUE!</v>
      </c>
      <c r="S1440">
        <v>13.28</v>
      </c>
      <c r="T1440" s="154" t="e">
        <f t="shared" si="211"/>
        <v>#VALUE!</v>
      </c>
      <c r="U1440">
        <v>13.28</v>
      </c>
      <c r="V1440" s="154" t="e">
        <f t="shared" si="212"/>
        <v>#VALUE!</v>
      </c>
      <c r="W1440">
        <v>13.28</v>
      </c>
      <c r="X1440" s="157" t="e">
        <f t="shared" si="213"/>
        <v>#VALUE!</v>
      </c>
      <c r="Y1440">
        <v>13.28</v>
      </c>
      <c r="Z1440" s="154" t="e">
        <f t="shared" si="214"/>
        <v>#VALUE!</v>
      </c>
      <c r="AA1440">
        <v>13.28</v>
      </c>
      <c r="AB1440" s="154" t="e">
        <f t="shared" si="215"/>
        <v>#VALUE!</v>
      </c>
      <c r="AC1440">
        <v>13.28</v>
      </c>
      <c r="AD1440" s="154" t="e">
        <f t="shared" si="216"/>
        <v>#VALUE!</v>
      </c>
      <c r="AE1440">
        <v>13.28</v>
      </c>
    </row>
    <row r="1441" spans="12:31" ht="15" x14ac:dyDescent="0.2">
      <c r="L1441" s="154" t="e">
        <f t="shared" si="207"/>
        <v>#VALUE!</v>
      </c>
      <c r="M1441">
        <v>13.29</v>
      </c>
      <c r="N1441" s="154" t="e">
        <f t="shared" si="208"/>
        <v>#VALUE!</v>
      </c>
      <c r="O1441">
        <v>13.29</v>
      </c>
      <c r="P1441" s="154" t="e">
        <f t="shared" si="209"/>
        <v>#VALUE!</v>
      </c>
      <c r="Q1441">
        <v>13.29</v>
      </c>
      <c r="R1441" s="154" t="e">
        <f t="shared" si="210"/>
        <v>#VALUE!</v>
      </c>
      <c r="S1441">
        <v>13.29</v>
      </c>
      <c r="T1441" s="154" t="e">
        <f t="shared" si="211"/>
        <v>#VALUE!</v>
      </c>
      <c r="U1441">
        <v>13.29</v>
      </c>
      <c r="V1441" s="154" t="e">
        <f t="shared" si="212"/>
        <v>#VALUE!</v>
      </c>
      <c r="W1441">
        <v>13.29</v>
      </c>
      <c r="X1441" s="157" t="e">
        <f t="shared" si="213"/>
        <v>#VALUE!</v>
      </c>
      <c r="Y1441">
        <v>13.29</v>
      </c>
      <c r="Z1441" s="154" t="e">
        <f t="shared" si="214"/>
        <v>#VALUE!</v>
      </c>
      <c r="AA1441">
        <v>13.29</v>
      </c>
      <c r="AB1441" s="154" t="e">
        <f t="shared" si="215"/>
        <v>#VALUE!</v>
      </c>
      <c r="AC1441">
        <v>13.29</v>
      </c>
      <c r="AD1441" s="154" t="e">
        <f t="shared" si="216"/>
        <v>#VALUE!</v>
      </c>
      <c r="AE1441">
        <v>13.29</v>
      </c>
    </row>
    <row r="1442" spans="12:31" ht="15" x14ac:dyDescent="0.2">
      <c r="L1442" s="154" t="e">
        <f t="shared" si="207"/>
        <v>#VALUE!</v>
      </c>
      <c r="M1442">
        <v>13.3</v>
      </c>
      <c r="N1442" s="154" t="e">
        <f t="shared" si="208"/>
        <v>#VALUE!</v>
      </c>
      <c r="O1442">
        <v>13.3</v>
      </c>
      <c r="P1442" s="154" t="e">
        <f t="shared" si="209"/>
        <v>#VALUE!</v>
      </c>
      <c r="Q1442">
        <v>13.3</v>
      </c>
      <c r="R1442" s="154" t="e">
        <f t="shared" si="210"/>
        <v>#VALUE!</v>
      </c>
      <c r="S1442">
        <v>13.3</v>
      </c>
      <c r="T1442" s="154" t="e">
        <f t="shared" si="211"/>
        <v>#VALUE!</v>
      </c>
      <c r="U1442">
        <v>13.3</v>
      </c>
      <c r="V1442" s="154" t="e">
        <f t="shared" si="212"/>
        <v>#VALUE!</v>
      </c>
      <c r="W1442">
        <v>13.3</v>
      </c>
      <c r="X1442" s="157" t="e">
        <f t="shared" si="213"/>
        <v>#VALUE!</v>
      </c>
      <c r="Y1442">
        <v>13.3</v>
      </c>
      <c r="Z1442" s="154" t="e">
        <f t="shared" si="214"/>
        <v>#VALUE!</v>
      </c>
      <c r="AA1442">
        <v>13.3</v>
      </c>
      <c r="AB1442" s="154" t="e">
        <f t="shared" si="215"/>
        <v>#VALUE!</v>
      </c>
      <c r="AC1442">
        <v>13.3</v>
      </c>
      <c r="AD1442" s="154" t="e">
        <f t="shared" si="216"/>
        <v>#VALUE!</v>
      </c>
      <c r="AE1442">
        <v>13.3</v>
      </c>
    </row>
    <row r="1443" spans="12:31" ht="15" x14ac:dyDescent="0.2">
      <c r="L1443" s="154" t="e">
        <f t="shared" si="207"/>
        <v>#VALUE!</v>
      </c>
      <c r="M1443">
        <v>13.31</v>
      </c>
      <c r="N1443" s="154" t="e">
        <f t="shared" si="208"/>
        <v>#VALUE!</v>
      </c>
      <c r="O1443">
        <v>13.31</v>
      </c>
      <c r="P1443" s="154" t="e">
        <f t="shared" si="209"/>
        <v>#VALUE!</v>
      </c>
      <c r="Q1443">
        <v>13.31</v>
      </c>
      <c r="R1443" s="154" t="e">
        <f t="shared" si="210"/>
        <v>#VALUE!</v>
      </c>
      <c r="S1443">
        <v>13.31</v>
      </c>
      <c r="T1443" s="154" t="e">
        <f t="shared" si="211"/>
        <v>#VALUE!</v>
      </c>
      <c r="U1443">
        <v>13.31</v>
      </c>
      <c r="V1443" s="154" t="e">
        <f t="shared" si="212"/>
        <v>#VALUE!</v>
      </c>
      <c r="W1443">
        <v>13.31</v>
      </c>
      <c r="X1443" s="157" t="e">
        <f t="shared" si="213"/>
        <v>#VALUE!</v>
      </c>
      <c r="Y1443">
        <v>13.31</v>
      </c>
      <c r="Z1443" s="154" t="e">
        <f t="shared" si="214"/>
        <v>#VALUE!</v>
      </c>
      <c r="AA1443">
        <v>13.31</v>
      </c>
      <c r="AB1443" s="154" t="e">
        <f t="shared" si="215"/>
        <v>#VALUE!</v>
      </c>
      <c r="AC1443">
        <v>13.31</v>
      </c>
      <c r="AD1443" s="154" t="e">
        <f t="shared" si="216"/>
        <v>#VALUE!</v>
      </c>
      <c r="AE1443">
        <v>13.31</v>
      </c>
    </row>
    <row r="1444" spans="12:31" ht="15" x14ac:dyDescent="0.2">
      <c r="L1444" s="154" t="e">
        <f t="shared" si="207"/>
        <v>#VALUE!</v>
      </c>
      <c r="M1444">
        <v>13.32</v>
      </c>
      <c r="N1444" s="154" t="e">
        <f t="shared" si="208"/>
        <v>#VALUE!</v>
      </c>
      <c r="O1444">
        <v>13.32</v>
      </c>
      <c r="P1444" s="154" t="e">
        <f t="shared" si="209"/>
        <v>#VALUE!</v>
      </c>
      <c r="Q1444">
        <v>13.32</v>
      </c>
      <c r="R1444" s="154" t="e">
        <f t="shared" si="210"/>
        <v>#VALUE!</v>
      </c>
      <c r="S1444">
        <v>13.32</v>
      </c>
      <c r="T1444" s="154" t="e">
        <f t="shared" si="211"/>
        <v>#VALUE!</v>
      </c>
      <c r="U1444">
        <v>13.32</v>
      </c>
      <c r="V1444" s="154" t="e">
        <f t="shared" si="212"/>
        <v>#VALUE!</v>
      </c>
      <c r="W1444">
        <v>13.32</v>
      </c>
      <c r="X1444" s="157" t="e">
        <f t="shared" si="213"/>
        <v>#VALUE!</v>
      </c>
      <c r="Y1444">
        <v>13.32</v>
      </c>
      <c r="Z1444" s="154" t="e">
        <f t="shared" si="214"/>
        <v>#VALUE!</v>
      </c>
      <c r="AA1444">
        <v>13.32</v>
      </c>
      <c r="AB1444" s="154" t="e">
        <f t="shared" si="215"/>
        <v>#VALUE!</v>
      </c>
      <c r="AC1444">
        <v>13.32</v>
      </c>
      <c r="AD1444" s="154" t="e">
        <f t="shared" si="216"/>
        <v>#VALUE!</v>
      </c>
      <c r="AE1444">
        <v>13.32</v>
      </c>
    </row>
    <row r="1445" spans="12:31" ht="15" x14ac:dyDescent="0.2">
      <c r="L1445" s="154" t="e">
        <f t="shared" si="207"/>
        <v>#VALUE!</v>
      </c>
      <c r="M1445">
        <v>13.33</v>
      </c>
      <c r="N1445" s="154" t="e">
        <f t="shared" si="208"/>
        <v>#VALUE!</v>
      </c>
      <c r="O1445">
        <v>13.33</v>
      </c>
      <c r="P1445" s="154" t="e">
        <f t="shared" si="209"/>
        <v>#VALUE!</v>
      </c>
      <c r="Q1445">
        <v>13.33</v>
      </c>
      <c r="R1445" s="154" t="e">
        <f t="shared" si="210"/>
        <v>#VALUE!</v>
      </c>
      <c r="S1445">
        <v>13.33</v>
      </c>
      <c r="T1445" s="154" t="e">
        <f t="shared" si="211"/>
        <v>#VALUE!</v>
      </c>
      <c r="U1445">
        <v>13.33</v>
      </c>
      <c r="V1445" s="154" t="e">
        <f t="shared" si="212"/>
        <v>#VALUE!</v>
      </c>
      <c r="W1445">
        <v>13.33</v>
      </c>
      <c r="X1445" s="157" t="e">
        <f t="shared" si="213"/>
        <v>#VALUE!</v>
      </c>
      <c r="Y1445">
        <v>13.33</v>
      </c>
      <c r="Z1445" s="154" t="e">
        <f t="shared" si="214"/>
        <v>#VALUE!</v>
      </c>
      <c r="AA1445">
        <v>13.33</v>
      </c>
      <c r="AB1445" s="154" t="e">
        <f t="shared" si="215"/>
        <v>#VALUE!</v>
      </c>
      <c r="AC1445">
        <v>13.33</v>
      </c>
      <c r="AD1445" s="154" t="e">
        <f t="shared" si="216"/>
        <v>#VALUE!</v>
      </c>
      <c r="AE1445">
        <v>13.33</v>
      </c>
    </row>
    <row r="1446" spans="12:31" ht="15" x14ac:dyDescent="0.2">
      <c r="L1446" s="154" t="e">
        <f t="shared" si="207"/>
        <v>#VALUE!</v>
      </c>
      <c r="M1446">
        <v>13.34</v>
      </c>
      <c r="N1446" s="154" t="e">
        <f t="shared" si="208"/>
        <v>#VALUE!</v>
      </c>
      <c r="O1446">
        <v>13.34</v>
      </c>
      <c r="P1446" s="154" t="e">
        <f t="shared" si="209"/>
        <v>#VALUE!</v>
      </c>
      <c r="Q1446">
        <v>13.34</v>
      </c>
      <c r="R1446" s="154" t="e">
        <f t="shared" si="210"/>
        <v>#VALUE!</v>
      </c>
      <c r="S1446">
        <v>13.34</v>
      </c>
      <c r="T1446" s="154" t="e">
        <f t="shared" si="211"/>
        <v>#VALUE!</v>
      </c>
      <c r="U1446">
        <v>13.34</v>
      </c>
      <c r="V1446" s="154" t="e">
        <f t="shared" si="212"/>
        <v>#VALUE!</v>
      </c>
      <c r="W1446">
        <v>13.34</v>
      </c>
      <c r="X1446" s="157" t="e">
        <f t="shared" si="213"/>
        <v>#VALUE!</v>
      </c>
      <c r="Y1446">
        <v>13.34</v>
      </c>
      <c r="Z1446" s="154" t="e">
        <f t="shared" si="214"/>
        <v>#VALUE!</v>
      </c>
      <c r="AA1446">
        <v>13.34</v>
      </c>
      <c r="AB1446" s="154" t="e">
        <f t="shared" si="215"/>
        <v>#VALUE!</v>
      </c>
      <c r="AC1446">
        <v>13.34</v>
      </c>
      <c r="AD1446" s="154" t="e">
        <f t="shared" si="216"/>
        <v>#VALUE!</v>
      </c>
      <c r="AE1446">
        <v>13.34</v>
      </c>
    </row>
    <row r="1447" spans="12:31" ht="15" x14ac:dyDescent="0.2">
      <c r="L1447" s="154" t="e">
        <f t="shared" si="207"/>
        <v>#VALUE!</v>
      </c>
      <c r="M1447">
        <v>13.35</v>
      </c>
      <c r="N1447" s="154" t="e">
        <f t="shared" si="208"/>
        <v>#VALUE!</v>
      </c>
      <c r="O1447">
        <v>13.35</v>
      </c>
      <c r="P1447" s="154" t="e">
        <f t="shared" si="209"/>
        <v>#VALUE!</v>
      </c>
      <c r="Q1447">
        <v>13.35</v>
      </c>
      <c r="R1447" s="154" t="e">
        <f t="shared" si="210"/>
        <v>#VALUE!</v>
      </c>
      <c r="S1447">
        <v>13.35</v>
      </c>
      <c r="T1447" s="154" t="e">
        <f t="shared" si="211"/>
        <v>#VALUE!</v>
      </c>
      <c r="U1447">
        <v>13.35</v>
      </c>
      <c r="V1447" s="154" t="e">
        <f t="shared" si="212"/>
        <v>#VALUE!</v>
      </c>
      <c r="W1447">
        <v>13.35</v>
      </c>
      <c r="X1447" s="157" t="e">
        <f t="shared" si="213"/>
        <v>#VALUE!</v>
      </c>
      <c r="Y1447">
        <v>13.35</v>
      </c>
      <c r="Z1447" s="154" t="e">
        <f t="shared" si="214"/>
        <v>#VALUE!</v>
      </c>
      <c r="AA1447">
        <v>13.35</v>
      </c>
      <c r="AB1447" s="154" t="e">
        <f t="shared" si="215"/>
        <v>#VALUE!</v>
      </c>
      <c r="AC1447">
        <v>13.35</v>
      </c>
      <c r="AD1447" s="154" t="e">
        <f t="shared" si="216"/>
        <v>#VALUE!</v>
      </c>
      <c r="AE1447">
        <v>13.35</v>
      </c>
    </row>
    <row r="1448" spans="12:31" ht="15" x14ac:dyDescent="0.2">
      <c r="L1448" s="154" t="e">
        <f t="shared" si="207"/>
        <v>#VALUE!</v>
      </c>
      <c r="M1448">
        <v>13.36</v>
      </c>
      <c r="N1448" s="154" t="e">
        <f t="shared" si="208"/>
        <v>#VALUE!</v>
      </c>
      <c r="O1448">
        <v>13.36</v>
      </c>
      <c r="P1448" s="154" t="e">
        <f t="shared" si="209"/>
        <v>#VALUE!</v>
      </c>
      <c r="Q1448">
        <v>13.36</v>
      </c>
      <c r="R1448" s="154" t="e">
        <f t="shared" si="210"/>
        <v>#VALUE!</v>
      </c>
      <c r="S1448">
        <v>13.36</v>
      </c>
      <c r="T1448" s="154" t="e">
        <f t="shared" si="211"/>
        <v>#VALUE!</v>
      </c>
      <c r="U1448">
        <v>13.36</v>
      </c>
      <c r="V1448" s="154" t="e">
        <f t="shared" si="212"/>
        <v>#VALUE!</v>
      </c>
      <c r="W1448">
        <v>13.36</v>
      </c>
      <c r="X1448" s="157" t="e">
        <f t="shared" si="213"/>
        <v>#VALUE!</v>
      </c>
      <c r="Y1448">
        <v>13.36</v>
      </c>
      <c r="Z1448" s="154" t="e">
        <f t="shared" si="214"/>
        <v>#VALUE!</v>
      </c>
      <c r="AA1448">
        <v>13.36</v>
      </c>
      <c r="AB1448" s="154" t="e">
        <f t="shared" si="215"/>
        <v>#VALUE!</v>
      </c>
      <c r="AC1448">
        <v>13.36</v>
      </c>
      <c r="AD1448" s="154" t="e">
        <f t="shared" si="216"/>
        <v>#VALUE!</v>
      </c>
      <c r="AE1448">
        <v>13.36</v>
      </c>
    </row>
    <row r="1449" spans="12:31" ht="15" x14ac:dyDescent="0.2">
      <c r="L1449" s="154" t="e">
        <f t="shared" si="207"/>
        <v>#VALUE!</v>
      </c>
      <c r="M1449">
        <v>13.37</v>
      </c>
      <c r="N1449" s="154" t="e">
        <f t="shared" si="208"/>
        <v>#VALUE!</v>
      </c>
      <c r="O1449">
        <v>13.37</v>
      </c>
      <c r="P1449" s="154" t="e">
        <f t="shared" si="209"/>
        <v>#VALUE!</v>
      </c>
      <c r="Q1449">
        <v>13.37</v>
      </c>
      <c r="R1449" s="154" t="e">
        <f t="shared" si="210"/>
        <v>#VALUE!</v>
      </c>
      <c r="S1449">
        <v>13.37</v>
      </c>
      <c r="T1449" s="154" t="e">
        <f t="shared" si="211"/>
        <v>#VALUE!</v>
      </c>
      <c r="U1449">
        <v>13.37</v>
      </c>
      <c r="V1449" s="154" t="e">
        <f t="shared" si="212"/>
        <v>#VALUE!</v>
      </c>
      <c r="W1449">
        <v>13.37</v>
      </c>
      <c r="X1449" s="157" t="e">
        <f t="shared" si="213"/>
        <v>#VALUE!</v>
      </c>
      <c r="Y1449">
        <v>13.37</v>
      </c>
      <c r="Z1449" s="154" t="e">
        <f t="shared" si="214"/>
        <v>#VALUE!</v>
      </c>
      <c r="AA1449">
        <v>13.37</v>
      </c>
      <c r="AB1449" s="154" t="e">
        <f t="shared" si="215"/>
        <v>#VALUE!</v>
      </c>
      <c r="AC1449">
        <v>13.37</v>
      </c>
      <c r="AD1449" s="154" t="e">
        <f t="shared" si="216"/>
        <v>#VALUE!</v>
      </c>
      <c r="AE1449">
        <v>13.37</v>
      </c>
    </row>
    <row r="1450" spans="12:31" ht="15" x14ac:dyDescent="0.2">
      <c r="L1450" s="154" t="e">
        <f t="shared" si="207"/>
        <v>#VALUE!</v>
      </c>
      <c r="M1450">
        <v>13.38</v>
      </c>
      <c r="N1450" s="154" t="e">
        <f t="shared" si="208"/>
        <v>#VALUE!</v>
      </c>
      <c r="O1450">
        <v>13.38</v>
      </c>
      <c r="P1450" s="154" t="e">
        <f t="shared" si="209"/>
        <v>#VALUE!</v>
      </c>
      <c r="Q1450">
        <v>13.38</v>
      </c>
      <c r="R1450" s="154" t="e">
        <f t="shared" si="210"/>
        <v>#VALUE!</v>
      </c>
      <c r="S1450">
        <v>13.38</v>
      </c>
      <c r="T1450" s="154" t="e">
        <f t="shared" si="211"/>
        <v>#VALUE!</v>
      </c>
      <c r="U1450">
        <v>13.38</v>
      </c>
      <c r="V1450" s="154" t="e">
        <f t="shared" si="212"/>
        <v>#VALUE!</v>
      </c>
      <c r="W1450">
        <v>13.38</v>
      </c>
      <c r="X1450" s="157" t="e">
        <f t="shared" si="213"/>
        <v>#VALUE!</v>
      </c>
      <c r="Y1450">
        <v>13.38</v>
      </c>
      <c r="Z1450" s="154" t="e">
        <f t="shared" si="214"/>
        <v>#VALUE!</v>
      </c>
      <c r="AA1450">
        <v>13.38</v>
      </c>
      <c r="AB1450" s="154" t="e">
        <f t="shared" si="215"/>
        <v>#VALUE!</v>
      </c>
      <c r="AC1450">
        <v>13.38</v>
      </c>
      <c r="AD1450" s="154" t="e">
        <f t="shared" si="216"/>
        <v>#VALUE!</v>
      </c>
      <c r="AE1450">
        <v>13.38</v>
      </c>
    </row>
    <row r="1451" spans="12:31" ht="15" x14ac:dyDescent="0.2">
      <c r="L1451" s="154" t="e">
        <f t="shared" si="207"/>
        <v>#VALUE!</v>
      </c>
      <c r="M1451">
        <v>13.39</v>
      </c>
      <c r="N1451" s="154" t="e">
        <f t="shared" si="208"/>
        <v>#VALUE!</v>
      </c>
      <c r="O1451">
        <v>13.39</v>
      </c>
      <c r="P1451" s="154" t="e">
        <f t="shared" si="209"/>
        <v>#VALUE!</v>
      </c>
      <c r="Q1451">
        <v>13.39</v>
      </c>
      <c r="R1451" s="154" t="e">
        <f t="shared" si="210"/>
        <v>#VALUE!</v>
      </c>
      <c r="S1451">
        <v>13.39</v>
      </c>
      <c r="T1451" s="154" t="e">
        <f t="shared" si="211"/>
        <v>#VALUE!</v>
      </c>
      <c r="U1451">
        <v>13.39</v>
      </c>
      <c r="V1451" s="154" t="e">
        <f t="shared" si="212"/>
        <v>#VALUE!</v>
      </c>
      <c r="W1451">
        <v>13.39</v>
      </c>
      <c r="X1451" s="157" t="e">
        <f t="shared" si="213"/>
        <v>#VALUE!</v>
      </c>
      <c r="Y1451">
        <v>13.39</v>
      </c>
      <c r="Z1451" s="154" t="e">
        <f t="shared" si="214"/>
        <v>#VALUE!</v>
      </c>
      <c r="AA1451">
        <v>13.39</v>
      </c>
      <c r="AB1451" s="154" t="e">
        <f t="shared" si="215"/>
        <v>#VALUE!</v>
      </c>
      <c r="AC1451">
        <v>13.39</v>
      </c>
      <c r="AD1451" s="154" t="e">
        <f t="shared" si="216"/>
        <v>#VALUE!</v>
      </c>
      <c r="AE1451">
        <v>13.39</v>
      </c>
    </row>
    <row r="1452" spans="12:31" ht="15" x14ac:dyDescent="0.2">
      <c r="L1452" s="154" t="e">
        <f t="shared" si="207"/>
        <v>#VALUE!</v>
      </c>
      <c r="M1452">
        <v>13.4</v>
      </c>
      <c r="N1452" s="154" t="e">
        <f t="shared" si="208"/>
        <v>#VALUE!</v>
      </c>
      <c r="O1452">
        <v>13.4</v>
      </c>
      <c r="P1452" s="154" t="e">
        <f t="shared" si="209"/>
        <v>#VALUE!</v>
      </c>
      <c r="Q1452">
        <v>13.4</v>
      </c>
      <c r="R1452" s="154" t="e">
        <f t="shared" si="210"/>
        <v>#VALUE!</v>
      </c>
      <c r="S1452">
        <v>13.4</v>
      </c>
      <c r="T1452" s="154" t="e">
        <f t="shared" si="211"/>
        <v>#VALUE!</v>
      </c>
      <c r="U1452">
        <v>13.4</v>
      </c>
      <c r="V1452" s="154" t="e">
        <f t="shared" si="212"/>
        <v>#VALUE!</v>
      </c>
      <c r="W1452">
        <v>13.4</v>
      </c>
      <c r="X1452" s="157" t="e">
        <f t="shared" si="213"/>
        <v>#VALUE!</v>
      </c>
      <c r="Y1452">
        <v>13.4</v>
      </c>
      <c r="Z1452" s="154" t="e">
        <f t="shared" si="214"/>
        <v>#VALUE!</v>
      </c>
      <c r="AA1452">
        <v>13.4</v>
      </c>
      <c r="AB1452" s="154" t="e">
        <f t="shared" si="215"/>
        <v>#VALUE!</v>
      </c>
      <c r="AC1452">
        <v>13.4</v>
      </c>
      <c r="AD1452" s="154" t="e">
        <f t="shared" si="216"/>
        <v>#VALUE!</v>
      </c>
      <c r="AE1452">
        <v>13.4</v>
      </c>
    </row>
    <row r="1453" spans="12:31" ht="15" x14ac:dyDescent="0.2">
      <c r="L1453" s="154" t="e">
        <f t="shared" si="207"/>
        <v>#VALUE!</v>
      </c>
      <c r="M1453">
        <v>13.41</v>
      </c>
      <c r="N1453" s="154" t="e">
        <f t="shared" si="208"/>
        <v>#VALUE!</v>
      </c>
      <c r="O1453">
        <v>13.41</v>
      </c>
      <c r="P1453" s="154" t="e">
        <f t="shared" si="209"/>
        <v>#VALUE!</v>
      </c>
      <c r="Q1453">
        <v>13.41</v>
      </c>
      <c r="R1453" s="154" t="e">
        <f t="shared" si="210"/>
        <v>#VALUE!</v>
      </c>
      <c r="S1453">
        <v>13.41</v>
      </c>
      <c r="T1453" s="154" t="e">
        <f t="shared" si="211"/>
        <v>#VALUE!</v>
      </c>
      <c r="U1453">
        <v>13.41</v>
      </c>
      <c r="V1453" s="154" t="e">
        <f t="shared" si="212"/>
        <v>#VALUE!</v>
      </c>
      <c r="W1453">
        <v>13.41</v>
      </c>
      <c r="X1453" s="157" t="e">
        <f t="shared" si="213"/>
        <v>#VALUE!</v>
      </c>
      <c r="Y1453">
        <v>13.41</v>
      </c>
      <c r="Z1453" s="154" t="e">
        <f t="shared" si="214"/>
        <v>#VALUE!</v>
      </c>
      <c r="AA1453">
        <v>13.41</v>
      </c>
      <c r="AB1453" s="154" t="e">
        <f t="shared" si="215"/>
        <v>#VALUE!</v>
      </c>
      <c r="AC1453">
        <v>13.41</v>
      </c>
      <c r="AD1453" s="154" t="e">
        <f t="shared" si="216"/>
        <v>#VALUE!</v>
      </c>
      <c r="AE1453">
        <v>13.41</v>
      </c>
    </row>
    <row r="1454" spans="12:31" ht="15" x14ac:dyDescent="0.2">
      <c r="L1454" s="154" t="e">
        <f t="shared" si="207"/>
        <v>#VALUE!</v>
      </c>
      <c r="M1454">
        <v>13.42</v>
      </c>
      <c r="N1454" s="154" t="e">
        <f t="shared" si="208"/>
        <v>#VALUE!</v>
      </c>
      <c r="O1454">
        <v>13.42</v>
      </c>
      <c r="P1454" s="154" t="e">
        <f t="shared" si="209"/>
        <v>#VALUE!</v>
      </c>
      <c r="Q1454">
        <v>13.42</v>
      </c>
      <c r="R1454" s="154" t="e">
        <f t="shared" si="210"/>
        <v>#VALUE!</v>
      </c>
      <c r="S1454">
        <v>13.42</v>
      </c>
      <c r="T1454" s="154" t="e">
        <f t="shared" si="211"/>
        <v>#VALUE!</v>
      </c>
      <c r="U1454">
        <v>13.42</v>
      </c>
      <c r="V1454" s="154" t="e">
        <f t="shared" si="212"/>
        <v>#VALUE!</v>
      </c>
      <c r="W1454">
        <v>13.42</v>
      </c>
      <c r="X1454" s="157" t="e">
        <f t="shared" si="213"/>
        <v>#VALUE!</v>
      </c>
      <c r="Y1454">
        <v>13.42</v>
      </c>
      <c r="Z1454" s="154" t="e">
        <f t="shared" si="214"/>
        <v>#VALUE!</v>
      </c>
      <c r="AA1454">
        <v>13.42</v>
      </c>
      <c r="AB1454" s="154" t="e">
        <f t="shared" si="215"/>
        <v>#VALUE!</v>
      </c>
      <c r="AC1454">
        <v>13.42</v>
      </c>
      <c r="AD1454" s="154" t="e">
        <f t="shared" si="216"/>
        <v>#VALUE!</v>
      </c>
      <c r="AE1454">
        <v>13.42</v>
      </c>
    </row>
    <row r="1455" spans="12:31" ht="15" x14ac:dyDescent="0.2">
      <c r="L1455" s="154" t="e">
        <f t="shared" si="207"/>
        <v>#VALUE!</v>
      </c>
      <c r="M1455">
        <v>13.43</v>
      </c>
      <c r="N1455" s="154" t="e">
        <f t="shared" si="208"/>
        <v>#VALUE!</v>
      </c>
      <c r="O1455">
        <v>13.43</v>
      </c>
      <c r="P1455" s="154" t="e">
        <f t="shared" si="209"/>
        <v>#VALUE!</v>
      </c>
      <c r="Q1455">
        <v>13.43</v>
      </c>
      <c r="R1455" s="154" t="e">
        <f t="shared" si="210"/>
        <v>#VALUE!</v>
      </c>
      <c r="S1455">
        <v>13.43</v>
      </c>
      <c r="T1455" s="154" t="e">
        <f t="shared" si="211"/>
        <v>#VALUE!</v>
      </c>
      <c r="U1455">
        <v>13.43</v>
      </c>
      <c r="V1455" s="154" t="e">
        <f t="shared" si="212"/>
        <v>#VALUE!</v>
      </c>
      <c r="W1455">
        <v>13.43</v>
      </c>
      <c r="X1455" s="157" t="e">
        <f t="shared" si="213"/>
        <v>#VALUE!</v>
      </c>
      <c r="Y1455">
        <v>13.43</v>
      </c>
      <c r="Z1455" s="154" t="e">
        <f t="shared" si="214"/>
        <v>#VALUE!</v>
      </c>
      <c r="AA1455">
        <v>13.43</v>
      </c>
      <c r="AB1455" s="154" t="e">
        <f t="shared" si="215"/>
        <v>#VALUE!</v>
      </c>
      <c r="AC1455">
        <v>13.43</v>
      </c>
      <c r="AD1455" s="154" t="e">
        <f t="shared" si="216"/>
        <v>#VALUE!</v>
      </c>
      <c r="AE1455">
        <v>13.43</v>
      </c>
    </row>
    <row r="1456" spans="12:31" ht="15" x14ac:dyDescent="0.2">
      <c r="L1456" s="154" t="e">
        <f t="shared" si="207"/>
        <v>#VALUE!</v>
      </c>
      <c r="M1456">
        <v>13.44</v>
      </c>
      <c r="N1456" s="154" t="e">
        <f t="shared" si="208"/>
        <v>#VALUE!</v>
      </c>
      <c r="O1456">
        <v>13.44</v>
      </c>
      <c r="P1456" s="154" t="e">
        <f t="shared" si="209"/>
        <v>#VALUE!</v>
      </c>
      <c r="Q1456">
        <v>13.44</v>
      </c>
      <c r="R1456" s="154" t="e">
        <f t="shared" si="210"/>
        <v>#VALUE!</v>
      </c>
      <c r="S1456">
        <v>13.44</v>
      </c>
      <c r="T1456" s="154" t="e">
        <f t="shared" si="211"/>
        <v>#VALUE!</v>
      </c>
      <c r="U1456">
        <v>13.44</v>
      </c>
      <c r="V1456" s="154" t="e">
        <f t="shared" si="212"/>
        <v>#VALUE!</v>
      </c>
      <c r="W1456">
        <v>13.44</v>
      </c>
      <c r="X1456" s="157" t="e">
        <f t="shared" si="213"/>
        <v>#VALUE!</v>
      </c>
      <c r="Y1456">
        <v>13.44</v>
      </c>
      <c r="Z1456" s="154" t="e">
        <f t="shared" si="214"/>
        <v>#VALUE!</v>
      </c>
      <c r="AA1456">
        <v>13.44</v>
      </c>
      <c r="AB1456" s="154" t="e">
        <f t="shared" si="215"/>
        <v>#VALUE!</v>
      </c>
      <c r="AC1456">
        <v>13.44</v>
      </c>
      <c r="AD1456" s="154" t="e">
        <f t="shared" si="216"/>
        <v>#VALUE!</v>
      </c>
      <c r="AE1456">
        <v>13.44</v>
      </c>
    </row>
    <row r="1457" spans="12:31" ht="15" x14ac:dyDescent="0.2">
      <c r="L1457" s="154" t="e">
        <f t="shared" ref="L1457:L1520" si="217">((1.486/$D$33)*((((PI()*($D$46/12)^2)/4)-((($D$46/12)/2)^2*((2*ACOS(((($D$46/12)/2)-(($D$46/12)-(M1457/12)))/(($D$46/12)/2)))-SIN(2*ACOS(((($D$46/12)/2)-(($D$46/12)-(M1457/12)))/(($D$46/12)/2))))/2))/((PI()*($D$46/12))-((2*ACOS(((($D$46/12)/2)-(($D$46/12)-(M1457/12)))/(($D$46/12)/2)))*(($D$46/12)/2))))^(2/3)*$H$17^0.5)*(((PI()*($D$46/12)^2)/4)-((($D$46/12)/2)^2*((2*ACOS(((($D$46/12)/2)-(($D$46/12)-(M1457/12)))/(($D$46/12)/2)))-SIN(2*ACOS(((($D$46/12)/2)-(($D$46/12)-(M1457/12)))/(($D$46/12)/2))))/2))</f>
        <v>#VALUE!</v>
      </c>
      <c r="M1457">
        <v>13.45</v>
      </c>
      <c r="N1457" s="154" t="e">
        <f t="shared" ref="N1457:N1520" si="218">((1.486/$D$34)*((((PI()*($D$47/12)^2)/4)-((($D$47/12)/2)^2*((2*ACOS(((($D$47/12)/2)-(($D$47/12)-(O1457/12)))/(($D$47/12)/2)))-SIN(2*ACOS(((($D$47/12)/2)-(($D$47/12)-(O1457/12)))/(($D$47/12)/2))))/2))/((PI()*($D$47/12))-((2*ACOS(((($D$47/12)/2)-(($D$47/12)-(O1457/12)))/(($D$47/12)/2)))*(($D$47/12)/2))))^(2/3)*$H$18^0.5)*(((PI()*($D$47/12)^2)/4)-((($D$47/12)/2)^2*((2*ACOS(((($D$47/12)/2)-(($D$47/12)-(O1457/12)))/(($D$47/12)/2)))-SIN(2*ACOS(((($D$47/12)/2)-(($D$47/12)-(O1457/12)))/(($D$47/12)/2))))/2))</f>
        <v>#VALUE!</v>
      </c>
      <c r="O1457">
        <v>13.45</v>
      </c>
      <c r="P1457" s="154" t="e">
        <f t="shared" ref="P1457:P1520" si="219">((1.486/$D$35)*((((PI()*($D$48/12)^2)/4)-((($D$48/12)/2)^2*((2*ACOS(((($D$48/12)/2)-(($D$48/12)-(Q1457/12)))/(($D$48/12)/2)))-SIN(2*ACOS(((($D$48/12)/2)-(($D$48/12)-(Q1457/12)))/(($D$48/12)/2))))/2))/((PI()*($D$48/12))-((2*ACOS(((($D$48/12)/2)-(($D$48/12)-(Q1457/12)))/(($D$48/12)/2)))*(($D$48/12)/2))))^(2/3)*$H$19^0.5)*(((PI()*($D$48/12)^2)/4)-((($D$48/12)/2)^2*((2*ACOS(((($D$48/12)/2)-(($D$48/12)-(Q1457/12)))/(($D$48/12)/2)))-SIN(2*ACOS(((($D$48/12)/2)-(($D$48/12)-(Q1457/12)))/(($D$48/12)/2))))/2))</f>
        <v>#VALUE!</v>
      </c>
      <c r="Q1457">
        <v>13.45</v>
      </c>
      <c r="R1457" s="154" t="e">
        <f t="shared" ref="R1457:R1520" si="220">((1.486/$D$36)*((((PI()*($D$49/12)^2)/4)-((($D$49/12)/2)^2*((2*ACOS(((($D$49/12)/2)-(($D$49/12)-(S1457/12)))/(($D$49/12)/2)))-SIN(2*ACOS(((($D$49/12)/2)-(($D$49/12)-(S1457/12)))/(($D$49/12)/2))))/2))/((PI()*($D$49/12))-((2*ACOS(((($D$49/12)/2)-(($D$49/12)-(S1457/12)))/(($D$49/12)/2)))*(($D$49/12)/2))))^(2/3)*$H$20^0.5)*(((PI()*($D$49/12)^2)/4)-((($D$49/12)/2)^2*((2*ACOS(((($D$49/12)/2)-(($D$49/12)-(S1457/12)))/(($D$49/12)/2)))-SIN(2*ACOS(((($D$49/12)/2)-(($D$49/12)-(S1457/12)))/(($D$49/12)/2))))/2))</f>
        <v>#VALUE!</v>
      </c>
      <c r="S1457">
        <v>13.45</v>
      </c>
      <c r="T1457" s="154" t="e">
        <f t="shared" ref="T1457:T1520" si="221">((1.486/$D$37)*((((PI()*($D$50/12)^2)/4)-((($D$50/12)/2)^2*((2*ACOS(((($D$50/12)/2)-(($D$50/12)-(U1457/12)))/(($D$50/12)/2)))-SIN(2*ACOS(((($D$50/12)/2)-(($D$50/12)-(U1457/12)))/(($D$50/12)/2))))/2))/((PI()*($D$50/12))-((2*ACOS(((($D$50/12)/2)-(($D$50/12)-(U1457/12)))/(($D$50/12)/2)))*(($D$50/12)/2))))^(2/3)*$H$21^0.5)*(((PI()*($D$50/12)^2)/4)-((($D$50/12)/2)^2*((2*ACOS(((($D$50/12)/2)-(($D$50/12)-(U1457/12)))/(($D$50/12)/2)))-SIN(2*ACOS(((($D$50/12)/2)-(($D$50/12)-(U1457/12)))/(($D$50/12)/2))))/2))</f>
        <v>#VALUE!</v>
      </c>
      <c r="U1457">
        <v>13.45</v>
      </c>
      <c r="V1457" s="154" t="e">
        <f t="shared" ref="V1457:V1520" si="222">((1.486/$D$38)*((((PI()*($D$51/12)^2)/4)-((($D$51/12)/2)^2*((2*ACOS(((($D$51/12)/2)-(($D$51/12)-(W1457/12)))/(($D$51/12)/2)))-SIN(2*ACOS(((($D$51/12)/2)-(($D$51/12)-(W1457/12)))/(($D$51/12)/2))))/2))/((PI()*($D$51/12))-((2*ACOS(((($D$51/12)/2)-(($D$51/12)-(W1457/12)))/(($D$51/12)/2)))*(($D$51/12)/2))))^(2/3)*$H$22^0.5)*(((PI()*($D$51/12)^2)/4)-((($D$51/12)/2)^2*((2*ACOS(((($D$51/12)/2)-(($D$51/12)-(W1457/12)))/(($D$51/12)/2)))-SIN(2*ACOS(((($D$51/12)/2)-(($D$51/12)-(W1457/12)))/(($D$51/12)/2))))/2))</f>
        <v>#VALUE!</v>
      </c>
      <c r="W1457">
        <v>13.45</v>
      </c>
      <c r="X1457" s="157" t="e">
        <f t="shared" ref="X1457:X1520" si="223">((1.486/$D$39)*((((PI()*($D$52/12)^2)/4)-((($D$52/12)/2)^2*((2*ACOS(((($D$52/12)/2)-(($D$52/12)-(Y1457/12)))/(($D$52/12)/2)))-SIN(2*ACOS(((($D$52/12)/2)-(($D$52/12)-(Y1457/12)))/(($D$52/12)/2))))/2))/((PI()*($D$52/12))-((2*ACOS(((($D$52/12)/2)-(($D$52/12)-(Y1457/12)))/(($D$52/12)/2)))*(($D$52/12)/2))))^(2/3)*$H$23^0.5)*(((PI()*($D$52/12)^2)/4)-((($D$52/12)/2)^2*((2*ACOS(((($D$52/12)/2)-(($D$52/12)-(Y1457/12)))/(($D$52/12)/2)))-SIN(2*ACOS(((($D$52/12)/2)-(($D$52/12)-(Y1457/12)))/(($D$52/12)/2))))/2))</f>
        <v>#VALUE!</v>
      </c>
      <c r="Y1457">
        <v>13.45</v>
      </c>
      <c r="Z1457" s="154" t="e">
        <f t="shared" ref="Z1457:Z1520" si="224">((1.486/$D$40)*((((PI()*($D$53/12)^2)/4)-((($D$53/12)/2)^2*((2*ACOS(((($D$53/12)/2)-(($D$53/12)-(AA1457/12)))/(($D$53/12)/2)))-SIN(2*ACOS(((($D$53/12)/2)-(($D$53/12)-(AA1457/12)))/(($D$53/12)/2))))/2))/((PI()*($D$53/12))-((2*ACOS(((($D$53/12)/2)-(($D$53/12)-(AA1457/12)))/(($D$53/12)/2)))*(($D$53/12)/2))))^(2/3)*$H$24^0.5)*(((PI()*($D$53/12)^2)/4)-((($D$53/12)/2)^2*((2*ACOS(((($D$53/12)/2)-(($D$53/12)-(AA1457/12)))/(($D$53/12)/2)))-SIN(2*ACOS(((($D$53/12)/2)-(($D$53/12)-(AA1457/12)))/(($D$53/12)/2))))/2))</f>
        <v>#VALUE!</v>
      </c>
      <c r="AA1457">
        <v>13.45</v>
      </c>
      <c r="AB1457" s="154" t="e">
        <f t="shared" ref="AB1457:AB1520" si="225">((1.486/$D$41)*((((PI()*($D$54/12)^2)/4)-((($D$54/12)/2)^2*((2*ACOS(((($D$54/12)/2)-(($D$54/12)-(AC1457/12)))/(($D$54/12)/2)))-SIN(2*ACOS(((($D$54/12)/2)-(($D$54/12)-(AC1457/12)))/(($D$54/12)/2))))/2))/((PI()*($D$54/12))-((2*ACOS(((($D$54/12)/2)-(($D$54/12)-(AC1457/12)))/(($D$54/12)/2)))*(($D$54/12)/2))))^(2/3)*$H$25^0.5)*(((PI()*($D$54/12)^2)/4)-((($D$54/12)/2)^2*((2*ACOS(((($D$54/12)/2)-(($D$54/12)-(AC1457/12)))/(($D$54/12)/2)))-SIN(2*ACOS(((($D$54/12)/2)-(($D$54/12)-(AC1457/12)))/(($D$54/12)/2))))/2))</f>
        <v>#VALUE!</v>
      </c>
      <c r="AC1457">
        <v>13.45</v>
      </c>
      <c r="AD1457" s="154" t="e">
        <f t="shared" ref="AD1457:AD1520" si="226">((1.486/$D$42)*((((PI()*($D$55/12)^2)/4)-((($D$55/12)/2)^2*((2*ACOS(((($D$55/12)/2)-(($D$55/12)-(AE1457/12)))/(($D$55/12)/2)))-SIN(2*ACOS(((($D$55/12)/2)-(($D$55/12)-(AE1457/12)))/(($D$55/12)/2))))/2))/((PI()*($D$55/12))-((2*ACOS(((($D$55/12)/2)-(($D$55/12)-(AE1457/12)))/(($D$55/12)/2)))*(($D$55/12)/2))))^(2/3)*$H$26^0.5)*(((PI()*($D$55/12)^2)/4)-((($D$55/12)/2)^2*((2*ACOS(((($D$55/12)/2)-(($D$55/12)-(AE1457/12)))/(($D$55/12)/2)))-SIN(2*ACOS(((($D$55/12)/2)-(($D$55/12)-(AE1457/12)))/(($D$55/12)/2))))/2))</f>
        <v>#VALUE!</v>
      </c>
      <c r="AE1457">
        <v>13.45</v>
      </c>
    </row>
    <row r="1458" spans="12:31" ht="15" x14ac:dyDescent="0.2">
      <c r="L1458" s="154" t="e">
        <f t="shared" si="217"/>
        <v>#VALUE!</v>
      </c>
      <c r="M1458">
        <v>13.46</v>
      </c>
      <c r="N1458" s="154" t="e">
        <f t="shared" si="218"/>
        <v>#VALUE!</v>
      </c>
      <c r="O1458">
        <v>13.46</v>
      </c>
      <c r="P1458" s="154" t="e">
        <f t="shared" si="219"/>
        <v>#VALUE!</v>
      </c>
      <c r="Q1458">
        <v>13.46</v>
      </c>
      <c r="R1458" s="154" t="e">
        <f t="shared" si="220"/>
        <v>#VALUE!</v>
      </c>
      <c r="S1458">
        <v>13.46</v>
      </c>
      <c r="T1458" s="154" t="e">
        <f t="shared" si="221"/>
        <v>#VALUE!</v>
      </c>
      <c r="U1458">
        <v>13.46</v>
      </c>
      <c r="V1458" s="154" t="e">
        <f t="shared" si="222"/>
        <v>#VALUE!</v>
      </c>
      <c r="W1458">
        <v>13.46</v>
      </c>
      <c r="X1458" s="157" t="e">
        <f t="shared" si="223"/>
        <v>#VALUE!</v>
      </c>
      <c r="Y1458">
        <v>13.46</v>
      </c>
      <c r="Z1458" s="154" t="e">
        <f t="shared" si="224"/>
        <v>#VALUE!</v>
      </c>
      <c r="AA1458">
        <v>13.46</v>
      </c>
      <c r="AB1458" s="154" t="e">
        <f t="shared" si="225"/>
        <v>#VALUE!</v>
      </c>
      <c r="AC1458">
        <v>13.46</v>
      </c>
      <c r="AD1458" s="154" t="e">
        <f t="shared" si="226"/>
        <v>#VALUE!</v>
      </c>
      <c r="AE1458">
        <v>13.46</v>
      </c>
    </row>
    <row r="1459" spans="12:31" ht="15" x14ac:dyDescent="0.2">
      <c r="L1459" s="154" t="e">
        <f t="shared" si="217"/>
        <v>#VALUE!</v>
      </c>
      <c r="M1459">
        <v>13.47</v>
      </c>
      <c r="N1459" s="154" t="e">
        <f t="shared" si="218"/>
        <v>#VALUE!</v>
      </c>
      <c r="O1459">
        <v>13.47</v>
      </c>
      <c r="P1459" s="154" t="e">
        <f t="shared" si="219"/>
        <v>#VALUE!</v>
      </c>
      <c r="Q1459">
        <v>13.47</v>
      </c>
      <c r="R1459" s="154" t="e">
        <f t="shared" si="220"/>
        <v>#VALUE!</v>
      </c>
      <c r="S1459">
        <v>13.47</v>
      </c>
      <c r="T1459" s="154" t="e">
        <f t="shared" si="221"/>
        <v>#VALUE!</v>
      </c>
      <c r="U1459">
        <v>13.47</v>
      </c>
      <c r="V1459" s="154" t="e">
        <f t="shared" si="222"/>
        <v>#VALUE!</v>
      </c>
      <c r="W1459">
        <v>13.47</v>
      </c>
      <c r="X1459" s="157" t="e">
        <f t="shared" si="223"/>
        <v>#VALUE!</v>
      </c>
      <c r="Y1459">
        <v>13.47</v>
      </c>
      <c r="Z1459" s="154" t="e">
        <f t="shared" si="224"/>
        <v>#VALUE!</v>
      </c>
      <c r="AA1459">
        <v>13.47</v>
      </c>
      <c r="AB1459" s="154" t="e">
        <f t="shared" si="225"/>
        <v>#VALUE!</v>
      </c>
      <c r="AC1459">
        <v>13.47</v>
      </c>
      <c r="AD1459" s="154" t="e">
        <f t="shared" si="226"/>
        <v>#VALUE!</v>
      </c>
      <c r="AE1459">
        <v>13.47</v>
      </c>
    </row>
    <row r="1460" spans="12:31" ht="15" x14ac:dyDescent="0.2">
      <c r="L1460" s="154" t="e">
        <f t="shared" si="217"/>
        <v>#VALUE!</v>
      </c>
      <c r="M1460">
        <v>13.48</v>
      </c>
      <c r="N1460" s="154" t="e">
        <f t="shared" si="218"/>
        <v>#VALUE!</v>
      </c>
      <c r="O1460">
        <v>13.48</v>
      </c>
      <c r="P1460" s="154" t="e">
        <f t="shared" si="219"/>
        <v>#VALUE!</v>
      </c>
      <c r="Q1460">
        <v>13.48</v>
      </c>
      <c r="R1460" s="154" t="e">
        <f t="shared" si="220"/>
        <v>#VALUE!</v>
      </c>
      <c r="S1460">
        <v>13.48</v>
      </c>
      <c r="T1460" s="154" t="e">
        <f t="shared" si="221"/>
        <v>#VALUE!</v>
      </c>
      <c r="U1460">
        <v>13.48</v>
      </c>
      <c r="V1460" s="154" t="e">
        <f t="shared" si="222"/>
        <v>#VALUE!</v>
      </c>
      <c r="W1460">
        <v>13.48</v>
      </c>
      <c r="X1460" s="157" t="e">
        <f t="shared" si="223"/>
        <v>#VALUE!</v>
      </c>
      <c r="Y1460">
        <v>13.48</v>
      </c>
      <c r="Z1460" s="154" t="e">
        <f t="shared" si="224"/>
        <v>#VALUE!</v>
      </c>
      <c r="AA1460">
        <v>13.48</v>
      </c>
      <c r="AB1460" s="154" t="e">
        <f t="shared" si="225"/>
        <v>#VALUE!</v>
      </c>
      <c r="AC1460">
        <v>13.48</v>
      </c>
      <c r="AD1460" s="154" t="e">
        <f t="shared" si="226"/>
        <v>#VALUE!</v>
      </c>
      <c r="AE1460">
        <v>13.48</v>
      </c>
    </row>
    <row r="1461" spans="12:31" ht="15" x14ac:dyDescent="0.2">
      <c r="L1461" s="154" t="e">
        <f t="shared" si="217"/>
        <v>#VALUE!</v>
      </c>
      <c r="M1461">
        <v>13.49</v>
      </c>
      <c r="N1461" s="154" t="e">
        <f t="shared" si="218"/>
        <v>#VALUE!</v>
      </c>
      <c r="O1461">
        <v>13.49</v>
      </c>
      <c r="P1461" s="154" t="e">
        <f t="shared" si="219"/>
        <v>#VALUE!</v>
      </c>
      <c r="Q1461">
        <v>13.49</v>
      </c>
      <c r="R1461" s="154" t="e">
        <f t="shared" si="220"/>
        <v>#VALUE!</v>
      </c>
      <c r="S1461">
        <v>13.49</v>
      </c>
      <c r="T1461" s="154" t="e">
        <f t="shared" si="221"/>
        <v>#VALUE!</v>
      </c>
      <c r="U1461">
        <v>13.49</v>
      </c>
      <c r="V1461" s="154" t="e">
        <f t="shared" si="222"/>
        <v>#VALUE!</v>
      </c>
      <c r="W1461">
        <v>13.49</v>
      </c>
      <c r="X1461" s="157" t="e">
        <f t="shared" si="223"/>
        <v>#VALUE!</v>
      </c>
      <c r="Y1461">
        <v>13.49</v>
      </c>
      <c r="Z1461" s="154" t="e">
        <f t="shared" si="224"/>
        <v>#VALUE!</v>
      </c>
      <c r="AA1461">
        <v>13.49</v>
      </c>
      <c r="AB1461" s="154" t="e">
        <f t="shared" si="225"/>
        <v>#VALUE!</v>
      </c>
      <c r="AC1461">
        <v>13.49</v>
      </c>
      <c r="AD1461" s="154" t="e">
        <f t="shared" si="226"/>
        <v>#VALUE!</v>
      </c>
      <c r="AE1461">
        <v>13.49</v>
      </c>
    </row>
    <row r="1462" spans="12:31" ht="15" x14ac:dyDescent="0.2">
      <c r="L1462" s="154" t="e">
        <f t="shared" si="217"/>
        <v>#VALUE!</v>
      </c>
      <c r="M1462">
        <v>13.5</v>
      </c>
      <c r="N1462" s="154" t="e">
        <f t="shared" si="218"/>
        <v>#VALUE!</v>
      </c>
      <c r="O1462">
        <v>13.5</v>
      </c>
      <c r="P1462" s="154" t="e">
        <f t="shared" si="219"/>
        <v>#VALUE!</v>
      </c>
      <c r="Q1462">
        <v>13.5</v>
      </c>
      <c r="R1462" s="154" t="e">
        <f t="shared" si="220"/>
        <v>#VALUE!</v>
      </c>
      <c r="S1462">
        <v>13.5</v>
      </c>
      <c r="T1462" s="154" t="e">
        <f t="shared" si="221"/>
        <v>#VALUE!</v>
      </c>
      <c r="U1462">
        <v>13.5</v>
      </c>
      <c r="V1462" s="154" t="e">
        <f t="shared" si="222"/>
        <v>#VALUE!</v>
      </c>
      <c r="W1462">
        <v>13.5</v>
      </c>
      <c r="X1462" s="157" t="e">
        <f t="shared" si="223"/>
        <v>#VALUE!</v>
      </c>
      <c r="Y1462">
        <v>13.5</v>
      </c>
      <c r="Z1462" s="154" t="e">
        <f t="shared" si="224"/>
        <v>#VALUE!</v>
      </c>
      <c r="AA1462">
        <v>13.5</v>
      </c>
      <c r="AB1462" s="154" t="e">
        <f t="shared" si="225"/>
        <v>#VALUE!</v>
      </c>
      <c r="AC1462">
        <v>13.5</v>
      </c>
      <c r="AD1462" s="154" t="e">
        <f t="shared" si="226"/>
        <v>#VALUE!</v>
      </c>
      <c r="AE1462">
        <v>13.5</v>
      </c>
    </row>
    <row r="1463" spans="12:31" ht="15" x14ac:dyDescent="0.2">
      <c r="L1463" s="154" t="e">
        <f t="shared" si="217"/>
        <v>#VALUE!</v>
      </c>
      <c r="M1463">
        <v>13.51</v>
      </c>
      <c r="N1463" s="154" t="e">
        <f t="shared" si="218"/>
        <v>#VALUE!</v>
      </c>
      <c r="O1463">
        <v>13.51</v>
      </c>
      <c r="P1463" s="154" t="e">
        <f t="shared" si="219"/>
        <v>#VALUE!</v>
      </c>
      <c r="Q1463">
        <v>13.51</v>
      </c>
      <c r="R1463" s="154" t="e">
        <f t="shared" si="220"/>
        <v>#VALUE!</v>
      </c>
      <c r="S1463">
        <v>13.51</v>
      </c>
      <c r="T1463" s="154" t="e">
        <f t="shared" si="221"/>
        <v>#VALUE!</v>
      </c>
      <c r="U1463">
        <v>13.51</v>
      </c>
      <c r="V1463" s="154" t="e">
        <f t="shared" si="222"/>
        <v>#VALUE!</v>
      </c>
      <c r="W1463">
        <v>13.51</v>
      </c>
      <c r="X1463" s="157" t="e">
        <f t="shared" si="223"/>
        <v>#VALUE!</v>
      </c>
      <c r="Y1463">
        <v>13.51</v>
      </c>
      <c r="Z1463" s="154" t="e">
        <f t="shared" si="224"/>
        <v>#VALUE!</v>
      </c>
      <c r="AA1463">
        <v>13.51</v>
      </c>
      <c r="AB1463" s="154" t="e">
        <f t="shared" si="225"/>
        <v>#VALUE!</v>
      </c>
      <c r="AC1463">
        <v>13.51</v>
      </c>
      <c r="AD1463" s="154" t="e">
        <f t="shared" si="226"/>
        <v>#VALUE!</v>
      </c>
      <c r="AE1463">
        <v>13.51</v>
      </c>
    </row>
    <row r="1464" spans="12:31" ht="15" x14ac:dyDescent="0.2">
      <c r="L1464" s="154" t="e">
        <f t="shared" si="217"/>
        <v>#VALUE!</v>
      </c>
      <c r="M1464">
        <v>13.52</v>
      </c>
      <c r="N1464" s="154" t="e">
        <f t="shared" si="218"/>
        <v>#VALUE!</v>
      </c>
      <c r="O1464">
        <v>13.52</v>
      </c>
      <c r="P1464" s="154" t="e">
        <f t="shared" si="219"/>
        <v>#VALUE!</v>
      </c>
      <c r="Q1464">
        <v>13.52</v>
      </c>
      <c r="R1464" s="154" t="e">
        <f t="shared" si="220"/>
        <v>#VALUE!</v>
      </c>
      <c r="S1464">
        <v>13.52</v>
      </c>
      <c r="T1464" s="154" t="e">
        <f t="shared" si="221"/>
        <v>#VALUE!</v>
      </c>
      <c r="U1464">
        <v>13.52</v>
      </c>
      <c r="V1464" s="154" t="e">
        <f t="shared" si="222"/>
        <v>#VALUE!</v>
      </c>
      <c r="W1464">
        <v>13.52</v>
      </c>
      <c r="X1464" s="157" t="e">
        <f t="shared" si="223"/>
        <v>#VALUE!</v>
      </c>
      <c r="Y1464">
        <v>13.52</v>
      </c>
      <c r="Z1464" s="154" t="e">
        <f t="shared" si="224"/>
        <v>#VALUE!</v>
      </c>
      <c r="AA1464">
        <v>13.52</v>
      </c>
      <c r="AB1464" s="154" t="e">
        <f t="shared" si="225"/>
        <v>#VALUE!</v>
      </c>
      <c r="AC1464">
        <v>13.52</v>
      </c>
      <c r="AD1464" s="154" t="e">
        <f t="shared" si="226"/>
        <v>#VALUE!</v>
      </c>
      <c r="AE1464">
        <v>13.52</v>
      </c>
    </row>
    <row r="1465" spans="12:31" ht="15" x14ac:dyDescent="0.2">
      <c r="L1465" s="154" t="e">
        <f t="shared" si="217"/>
        <v>#VALUE!</v>
      </c>
      <c r="M1465">
        <v>13.53</v>
      </c>
      <c r="N1465" s="154" t="e">
        <f t="shared" si="218"/>
        <v>#VALUE!</v>
      </c>
      <c r="O1465">
        <v>13.53</v>
      </c>
      <c r="P1465" s="154" t="e">
        <f t="shared" si="219"/>
        <v>#VALUE!</v>
      </c>
      <c r="Q1465">
        <v>13.53</v>
      </c>
      <c r="R1465" s="154" t="e">
        <f t="shared" si="220"/>
        <v>#VALUE!</v>
      </c>
      <c r="S1465">
        <v>13.53</v>
      </c>
      <c r="T1465" s="154" t="e">
        <f t="shared" si="221"/>
        <v>#VALUE!</v>
      </c>
      <c r="U1465">
        <v>13.53</v>
      </c>
      <c r="V1465" s="154" t="e">
        <f t="shared" si="222"/>
        <v>#VALUE!</v>
      </c>
      <c r="W1465">
        <v>13.53</v>
      </c>
      <c r="X1465" s="157" t="e">
        <f t="shared" si="223"/>
        <v>#VALUE!</v>
      </c>
      <c r="Y1465">
        <v>13.53</v>
      </c>
      <c r="Z1465" s="154" t="e">
        <f t="shared" si="224"/>
        <v>#VALUE!</v>
      </c>
      <c r="AA1465">
        <v>13.53</v>
      </c>
      <c r="AB1465" s="154" t="e">
        <f t="shared" si="225"/>
        <v>#VALUE!</v>
      </c>
      <c r="AC1465">
        <v>13.53</v>
      </c>
      <c r="AD1465" s="154" t="e">
        <f t="shared" si="226"/>
        <v>#VALUE!</v>
      </c>
      <c r="AE1465">
        <v>13.53</v>
      </c>
    </row>
    <row r="1466" spans="12:31" ht="15" x14ac:dyDescent="0.2">
      <c r="L1466" s="154" t="e">
        <f t="shared" si="217"/>
        <v>#VALUE!</v>
      </c>
      <c r="M1466">
        <v>13.54</v>
      </c>
      <c r="N1466" s="154" t="e">
        <f t="shared" si="218"/>
        <v>#VALUE!</v>
      </c>
      <c r="O1466">
        <v>13.54</v>
      </c>
      <c r="P1466" s="154" t="e">
        <f t="shared" si="219"/>
        <v>#VALUE!</v>
      </c>
      <c r="Q1466">
        <v>13.54</v>
      </c>
      <c r="R1466" s="154" t="e">
        <f t="shared" si="220"/>
        <v>#VALUE!</v>
      </c>
      <c r="S1466">
        <v>13.54</v>
      </c>
      <c r="T1466" s="154" t="e">
        <f t="shared" si="221"/>
        <v>#VALUE!</v>
      </c>
      <c r="U1466">
        <v>13.54</v>
      </c>
      <c r="V1466" s="154" t="e">
        <f t="shared" si="222"/>
        <v>#VALUE!</v>
      </c>
      <c r="W1466">
        <v>13.54</v>
      </c>
      <c r="X1466" s="157" t="e">
        <f t="shared" si="223"/>
        <v>#VALUE!</v>
      </c>
      <c r="Y1466">
        <v>13.54</v>
      </c>
      <c r="Z1466" s="154" t="e">
        <f t="shared" si="224"/>
        <v>#VALUE!</v>
      </c>
      <c r="AA1466">
        <v>13.54</v>
      </c>
      <c r="AB1466" s="154" t="e">
        <f t="shared" si="225"/>
        <v>#VALUE!</v>
      </c>
      <c r="AC1466">
        <v>13.54</v>
      </c>
      <c r="AD1466" s="154" t="e">
        <f t="shared" si="226"/>
        <v>#VALUE!</v>
      </c>
      <c r="AE1466">
        <v>13.54</v>
      </c>
    </row>
    <row r="1467" spans="12:31" ht="15" x14ac:dyDescent="0.2">
      <c r="L1467" s="154" t="e">
        <f t="shared" si="217"/>
        <v>#VALUE!</v>
      </c>
      <c r="M1467">
        <v>13.55</v>
      </c>
      <c r="N1467" s="154" t="e">
        <f t="shared" si="218"/>
        <v>#VALUE!</v>
      </c>
      <c r="O1467">
        <v>13.55</v>
      </c>
      <c r="P1467" s="154" t="e">
        <f t="shared" si="219"/>
        <v>#VALUE!</v>
      </c>
      <c r="Q1467">
        <v>13.55</v>
      </c>
      <c r="R1467" s="154" t="e">
        <f t="shared" si="220"/>
        <v>#VALUE!</v>
      </c>
      <c r="S1467">
        <v>13.55</v>
      </c>
      <c r="T1467" s="154" t="e">
        <f t="shared" si="221"/>
        <v>#VALUE!</v>
      </c>
      <c r="U1467">
        <v>13.55</v>
      </c>
      <c r="V1467" s="154" t="e">
        <f t="shared" si="222"/>
        <v>#VALUE!</v>
      </c>
      <c r="W1467">
        <v>13.55</v>
      </c>
      <c r="X1467" s="157" t="e">
        <f t="shared" si="223"/>
        <v>#VALUE!</v>
      </c>
      <c r="Y1467">
        <v>13.55</v>
      </c>
      <c r="Z1467" s="154" t="e">
        <f t="shared" si="224"/>
        <v>#VALUE!</v>
      </c>
      <c r="AA1467">
        <v>13.55</v>
      </c>
      <c r="AB1467" s="154" t="e">
        <f t="shared" si="225"/>
        <v>#VALUE!</v>
      </c>
      <c r="AC1467">
        <v>13.55</v>
      </c>
      <c r="AD1467" s="154" t="e">
        <f t="shared" si="226"/>
        <v>#VALUE!</v>
      </c>
      <c r="AE1467">
        <v>13.55</v>
      </c>
    </row>
    <row r="1468" spans="12:31" ht="15" x14ac:dyDescent="0.2">
      <c r="L1468" s="154" t="e">
        <f t="shared" si="217"/>
        <v>#VALUE!</v>
      </c>
      <c r="M1468">
        <v>13.56</v>
      </c>
      <c r="N1468" s="154" t="e">
        <f t="shared" si="218"/>
        <v>#VALUE!</v>
      </c>
      <c r="O1468">
        <v>13.56</v>
      </c>
      <c r="P1468" s="154" t="e">
        <f t="shared" si="219"/>
        <v>#VALUE!</v>
      </c>
      <c r="Q1468">
        <v>13.56</v>
      </c>
      <c r="R1468" s="154" t="e">
        <f t="shared" si="220"/>
        <v>#VALUE!</v>
      </c>
      <c r="S1468">
        <v>13.56</v>
      </c>
      <c r="T1468" s="154" t="e">
        <f t="shared" si="221"/>
        <v>#VALUE!</v>
      </c>
      <c r="U1468">
        <v>13.56</v>
      </c>
      <c r="V1468" s="154" t="e">
        <f t="shared" si="222"/>
        <v>#VALUE!</v>
      </c>
      <c r="W1468">
        <v>13.56</v>
      </c>
      <c r="X1468" s="157" t="e">
        <f t="shared" si="223"/>
        <v>#VALUE!</v>
      </c>
      <c r="Y1468">
        <v>13.56</v>
      </c>
      <c r="Z1468" s="154" t="e">
        <f t="shared" si="224"/>
        <v>#VALUE!</v>
      </c>
      <c r="AA1468">
        <v>13.56</v>
      </c>
      <c r="AB1468" s="154" t="e">
        <f t="shared" si="225"/>
        <v>#VALUE!</v>
      </c>
      <c r="AC1468">
        <v>13.56</v>
      </c>
      <c r="AD1468" s="154" t="e">
        <f t="shared" si="226"/>
        <v>#VALUE!</v>
      </c>
      <c r="AE1468">
        <v>13.56</v>
      </c>
    </row>
    <row r="1469" spans="12:31" ht="15" x14ac:dyDescent="0.2">
      <c r="L1469" s="154" t="e">
        <f t="shared" si="217"/>
        <v>#VALUE!</v>
      </c>
      <c r="M1469">
        <v>13.57</v>
      </c>
      <c r="N1469" s="154" t="e">
        <f t="shared" si="218"/>
        <v>#VALUE!</v>
      </c>
      <c r="O1469">
        <v>13.57</v>
      </c>
      <c r="P1469" s="154" t="e">
        <f t="shared" si="219"/>
        <v>#VALUE!</v>
      </c>
      <c r="Q1469">
        <v>13.57</v>
      </c>
      <c r="R1469" s="154" t="e">
        <f t="shared" si="220"/>
        <v>#VALUE!</v>
      </c>
      <c r="S1469">
        <v>13.57</v>
      </c>
      <c r="T1469" s="154" t="e">
        <f t="shared" si="221"/>
        <v>#VALUE!</v>
      </c>
      <c r="U1469">
        <v>13.57</v>
      </c>
      <c r="V1469" s="154" t="e">
        <f t="shared" si="222"/>
        <v>#VALUE!</v>
      </c>
      <c r="W1469">
        <v>13.57</v>
      </c>
      <c r="X1469" s="157" t="e">
        <f t="shared" si="223"/>
        <v>#VALUE!</v>
      </c>
      <c r="Y1469">
        <v>13.57</v>
      </c>
      <c r="Z1469" s="154" t="e">
        <f t="shared" si="224"/>
        <v>#VALUE!</v>
      </c>
      <c r="AA1469">
        <v>13.57</v>
      </c>
      <c r="AB1469" s="154" t="e">
        <f t="shared" si="225"/>
        <v>#VALUE!</v>
      </c>
      <c r="AC1469">
        <v>13.57</v>
      </c>
      <c r="AD1469" s="154" t="e">
        <f t="shared" si="226"/>
        <v>#VALUE!</v>
      </c>
      <c r="AE1469">
        <v>13.57</v>
      </c>
    </row>
    <row r="1470" spans="12:31" ht="15" x14ac:dyDescent="0.2">
      <c r="L1470" s="154" t="e">
        <f t="shared" si="217"/>
        <v>#VALUE!</v>
      </c>
      <c r="M1470">
        <v>13.58</v>
      </c>
      <c r="N1470" s="154" t="e">
        <f t="shared" si="218"/>
        <v>#VALUE!</v>
      </c>
      <c r="O1470">
        <v>13.58</v>
      </c>
      <c r="P1470" s="154" t="e">
        <f t="shared" si="219"/>
        <v>#VALUE!</v>
      </c>
      <c r="Q1470">
        <v>13.58</v>
      </c>
      <c r="R1470" s="154" t="e">
        <f t="shared" si="220"/>
        <v>#VALUE!</v>
      </c>
      <c r="S1470">
        <v>13.58</v>
      </c>
      <c r="T1470" s="154" t="e">
        <f t="shared" si="221"/>
        <v>#VALUE!</v>
      </c>
      <c r="U1470">
        <v>13.58</v>
      </c>
      <c r="V1470" s="154" t="e">
        <f t="shared" si="222"/>
        <v>#VALUE!</v>
      </c>
      <c r="W1470">
        <v>13.58</v>
      </c>
      <c r="X1470" s="157" t="e">
        <f t="shared" si="223"/>
        <v>#VALUE!</v>
      </c>
      <c r="Y1470">
        <v>13.58</v>
      </c>
      <c r="Z1470" s="154" t="e">
        <f t="shared" si="224"/>
        <v>#VALUE!</v>
      </c>
      <c r="AA1470">
        <v>13.58</v>
      </c>
      <c r="AB1470" s="154" t="e">
        <f t="shared" si="225"/>
        <v>#VALUE!</v>
      </c>
      <c r="AC1470">
        <v>13.58</v>
      </c>
      <c r="AD1470" s="154" t="e">
        <f t="shared" si="226"/>
        <v>#VALUE!</v>
      </c>
      <c r="AE1470">
        <v>13.58</v>
      </c>
    </row>
    <row r="1471" spans="12:31" ht="15" x14ac:dyDescent="0.2">
      <c r="L1471" s="154" t="e">
        <f t="shared" si="217"/>
        <v>#VALUE!</v>
      </c>
      <c r="M1471">
        <v>13.59</v>
      </c>
      <c r="N1471" s="154" t="e">
        <f t="shared" si="218"/>
        <v>#VALUE!</v>
      </c>
      <c r="O1471">
        <v>13.59</v>
      </c>
      <c r="P1471" s="154" t="e">
        <f t="shared" si="219"/>
        <v>#VALUE!</v>
      </c>
      <c r="Q1471">
        <v>13.59</v>
      </c>
      <c r="R1471" s="154" t="e">
        <f t="shared" si="220"/>
        <v>#VALUE!</v>
      </c>
      <c r="S1471">
        <v>13.59</v>
      </c>
      <c r="T1471" s="154" t="e">
        <f t="shared" si="221"/>
        <v>#VALUE!</v>
      </c>
      <c r="U1471">
        <v>13.59</v>
      </c>
      <c r="V1471" s="154" t="e">
        <f t="shared" si="222"/>
        <v>#VALUE!</v>
      </c>
      <c r="W1471">
        <v>13.59</v>
      </c>
      <c r="X1471" s="157" t="e">
        <f t="shared" si="223"/>
        <v>#VALUE!</v>
      </c>
      <c r="Y1471">
        <v>13.59</v>
      </c>
      <c r="Z1471" s="154" t="e">
        <f t="shared" si="224"/>
        <v>#VALUE!</v>
      </c>
      <c r="AA1471">
        <v>13.59</v>
      </c>
      <c r="AB1471" s="154" t="e">
        <f t="shared" si="225"/>
        <v>#VALUE!</v>
      </c>
      <c r="AC1471">
        <v>13.59</v>
      </c>
      <c r="AD1471" s="154" t="e">
        <f t="shared" si="226"/>
        <v>#VALUE!</v>
      </c>
      <c r="AE1471">
        <v>13.59</v>
      </c>
    </row>
    <row r="1472" spans="12:31" ht="15" x14ac:dyDescent="0.2">
      <c r="L1472" s="154" t="e">
        <f t="shared" si="217"/>
        <v>#VALUE!</v>
      </c>
      <c r="M1472">
        <v>13.6</v>
      </c>
      <c r="N1472" s="154" t="e">
        <f t="shared" si="218"/>
        <v>#VALUE!</v>
      </c>
      <c r="O1472">
        <v>13.6</v>
      </c>
      <c r="P1472" s="154" t="e">
        <f t="shared" si="219"/>
        <v>#VALUE!</v>
      </c>
      <c r="Q1472">
        <v>13.6</v>
      </c>
      <c r="R1472" s="154" t="e">
        <f t="shared" si="220"/>
        <v>#VALUE!</v>
      </c>
      <c r="S1472">
        <v>13.6</v>
      </c>
      <c r="T1472" s="154" t="e">
        <f t="shared" si="221"/>
        <v>#VALUE!</v>
      </c>
      <c r="U1472">
        <v>13.6</v>
      </c>
      <c r="V1472" s="154" t="e">
        <f t="shared" si="222"/>
        <v>#VALUE!</v>
      </c>
      <c r="W1472">
        <v>13.6</v>
      </c>
      <c r="X1472" s="157" t="e">
        <f t="shared" si="223"/>
        <v>#VALUE!</v>
      </c>
      <c r="Y1472">
        <v>13.6</v>
      </c>
      <c r="Z1472" s="154" t="e">
        <f t="shared" si="224"/>
        <v>#VALUE!</v>
      </c>
      <c r="AA1472">
        <v>13.6</v>
      </c>
      <c r="AB1472" s="154" t="e">
        <f t="shared" si="225"/>
        <v>#VALUE!</v>
      </c>
      <c r="AC1472">
        <v>13.6</v>
      </c>
      <c r="AD1472" s="154" t="e">
        <f t="shared" si="226"/>
        <v>#VALUE!</v>
      </c>
      <c r="AE1472">
        <v>13.6</v>
      </c>
    </row>
    <row r="1473" spans="12:31" ht="15" x14ac:dyDescent="0.2">
      <c r="L1473" s="154" t="e">
        <f t="shared" si="217"/>
        <v>#VALUE!</v>
      </c>
      <c r="M1473">
        <v>13.61</v>
      </c>
      <c r="N1473" s="154" t="e">
        <f t="shared" si="218"/>
        <v>#VALUE!</v>
      </c>
      <c r="O1473">
        <v>13.61</v>
      </c>
      <c r="P1473" s="154" t="e">
        <f t="shared" si="219"/>
        <v>#VALUE!</v>
      </c>
      <c r="Q1473">
        <v>13.61</v>
      </c>
      <c r="R1473" s="154" t="e">
        <f t="shared" si="220"/>
        <v>#VALUE!</v>
      </c>
      <c r="S1473">
        <v>13.61</v>
      </c>
      <c r="T1473" s="154" t="e">
        <f t="shared" si="221"/>
        <v>#VALUE!</v>
      </c>
      <c r="U1473">
        <v>13.61</v>
      </c>
      <c r="V1473" s="154" t="e">
        <f t="shared" si="222"/>
        <v>#VALUE!</v>
      </c>
      <c r="W1473">
        <v>13.61</v>
      </c>
      <c r="X1473" s="157" t="e">
        <f t="shared" si="223"/>
        <v>#VALUE!</v>
      </c>
      <c r="Y1473">
        <v>13.61</v>
      </c>
      <c r="Z1473" s="154" t="e">
        <f t="shared" si="224"/>
        <v>#VALUE!</v>
      </c>
      <c r="AA1473">
        <v>13.61</v>
      </c>
      <c r="AB1473" s="154" t="e">
        <f t="shared" si="225"/>
        <v>#VALUE!</v>
      </c>
      <c r="AC1473">
        <v>13.61</v>
      </c>
      <c r="AD1473" s="154" t="e">
        <f t="shared" si="226"/>
        <v>#VALUE!</v>
      </c>
      <c r="AE1473">
        <v>13.61</v>
      </c>
    </row>
    <row r="1474" spans="12:31" ht="15" x14ac:dyDescent="0.2">
      <c r="L1474" s="154" t="e">
        <f t="shared" si="217"/>
        <v>#VALUE!</v>
      </c>
      <c r="M1474">
        <v>13.62</v>
      </c>
      <c r="N1474" s="154" t="e">
        <f t="shared" si="218"/>
        <v>#VALUE!</v>
      </c>
      <c r="O1474">
        <v>13.62</v>
      </c>
      <c r="P1474" s="154" t="e">
        <f t="shared" si="219"/>
        <v>#VALUE!</v>
      </c>
      <c r="Q1474">
        <v>13.62</v>
      </c>
      <c r="R1474" s="154" t="e">
        <f t="shared" si="220"/>
        <v>#VALUE!</v>
      </c>
      <c r="S1474">
        <v>13.62</v>
      </c>
      <c r="T1474" s="154" t="e">
        <f t="shared" si="221"/>
        <v>#VALUE!</v>
      </c>
      <c r="U1474">
        <v>13.62</v>
      </c>
      <c r="V1474" s="154" t="e">
        <f t="shared" si="222"/>
        <v>#VALUE!</v>
      </c>
      <c r="W1474">
        <v>13.62</v>
      </c>
      <c r="X1474" s="157" t="e">
        <f t="shared" si="223"/>
        <v>#VALUE!</v>
      </c>
      <c r="Y1474">
        <v>13.62</v>
      </c>
      <c r="Z1474" s="154" t="e">
        <f t="shared" si="224"/>
        <v>#VALUE!</v>
      </c>
      <c r="AA1474">
        <v>13.62</v>
      </c>
      <c r="AB1474" s="154" t="e">
        <f t="shared" si="225"/>
        <v>#VALUE!</v>
      </c>
      <c r="AC1474">
        <v>13.62</v>
      </c>
      <c r="AD1474" s="154" t="e">
        <f t="shared" si="226"/>
        <v>#VALUE!</v>
      </c>
      <c r="AE1474">
        <v>13.62</v>
      </c>
    </row>
    <row r="1475" spans="12:31" ht="15" x14ac:dyDescent="0.2">
      <c r="L1475" s="154" t="e">
        <f t="shared" si="217"/>
        <v>#VALUE!</v>
      </c>
      <c r="M1475">
        <v>13.63</v>
      </c>
      <c r="N1475" s="154" t="e">
        <f t="shared" si="218"/>
        <v>#VALUE!</v>
      </c>
      <c r="O1475">
        <v>13.63</v>
      </c>
      <c r="P1475" s="154" t="e">
        <f t="shared" si="219"/>
        <v>#VALUE!</v>
      </c>
      <c r="Q1475">
        <v>13.63</v>
      </c>
      <c r="R1475" s="154" t="e">
        <f t="shared" si="220"/>
        <v>#VALUE!</v>
      </c>
      <c r="S1475">
        <v>13.63</v>
      </c>
      <c r="T1475" s="154" t="e">
        <f t="shared" si="221"/>
        <v>#VALUE!</v>
      </c>
      <c r="U1475">
        <v>13.63</v>
      </c>
      <c r="V1475" s="154" t="e">
        <f t="shared" si="222"/>
        <v>#VALUE!</v>
      </c>
      <c r="W1475">
        <v>13.63</v>
      </c>
      <c r="X1475" s="157" t="e">
        <f t="shared" si="223"/>
        <v>#VALUE!</v>
      </c>
      <c r="Y1475">
        <v>13.63</v>
      </c>
      <c r="Z1475" s="154" t="e">
        <f t="shared" si="224"/>
        <v>#VALUE!</v>
      </c>
      <c r="AA1475">
        <v>13.63</v>
      </c>
      <c r="AB1475" s="154" t="e">
        <f t="shared" si="225"/>
        <v>#VALUE!</v>
      </c>
      <c r="AC1475">
        <v>13.63</v>
      </c>
      <c r="AD1475" s="154" t="e">
        <f t="shared" si="226"/>
        <v>#VALUE!</v>
      </c>
      <c r="AE1475">
        <v>13.63</v>
      </c>
    </row>
    <row r="1476" spans="12:31" ht="15" x14ac:dyDescent="0.2">
      <c r="L1476" s="154" t="e">
        <f t="shared" si="217"/>
        <v>#VALUE!</v>
      </c>
      <c r="M1476">
        <v>13.64</v>
      </c>
      <c r="N1476" s="154" t="e">
        <f t="shared" si="218"/>
        <v>#VALUE!</v>
      </c>
      <c r="O1476">
        <v>13.64</v>
      </c>
      <c r="P1476" s="154" t="e">
        <f t="shared" si="219"/>
        <v>#VALUE!</v>
      </c>
      <c r="Q1476">
        <v>13.64</v>
      </c>
      <c r="R1476" s="154" t="e">
        <f t="shared" si="220"/>
        <v>#VALUE!</v>
      </c>
      <c r="S1476">
        <v>13.64</v>
      </c>
      <c r="T1476" s="154" t="e">
        <f t="shared" si="221"/>
        <v>#VALUE!</v>
      </c>
      <c r="U1476">
        <v>13.64</v>
      </c>
      <c r="V1476" s="154" t="e">
        <f t="shared" si="222"/>
        <v>#VALUE!</v>
      </c>
      <c r="W1476">
        <v>13.64</v>
      </c>
      <c r="X1476" s="157" t="e">
        <f t="shared" si="223"/>
        <v>#VALUE!</v>
      </c>
      <c r="Y1476">
        <v>13.64</v>
      </c>
      <c r="Z1476" s="154" t="e">
        <f t="shared" si="224"/>
        <v>#VALUE!</v>
      </c>
      <c r="AA1476">
        <v>13.64</v>
      </c>
      <c r="AB1476" s="154" t="e">
        <f t="shared" si="225"/>
        <v>#VALUE!</v>
      </c>
      <c r="AC1476">
        <v>13.64</v>
      </c>
      <c r="AD1476" s="154" t="e">
        <f t="shared" si="226"/>
        <v>#VALUE!</v>
      </c>
      <c r="AE1476">
        <v>13.64</v>
      </c>
    </row>
    <row r="1477" spans="12:31" ht="15" x14ac:dyDescent="0.2">
      <c r="L1477" s="154" t="e">
        <f t="shared" si="217"/>
        <v>#VALUE!</v>
      </c>
      <c r="M1477">
        <v>13.65</v>
      </c>
      <c r="N1477" s="154" t="e">
        <f t="shared" si="218"/>
        <v>#VALUE!</v>
      </c>
      <c r="O1477">
        <v>13.65</v>
      </c>
      <c r="P1477" s="154" t="e">
        <f t="shared" si="219"/>
        <v>#VALUE!</v>
      </c>
      <c r="Q1477">
        <v>13.65</v>
      </c>
      <c r="R1477" s="154" t="e">
        <f t="shared" si="220"/>
        <v>#VALUE!</v>
      </c>
      <c r="S1477">
        <v>13.65</v>
      </c>
      <c r="T1477" s="154" t="e">
        <f t="shared" si="221"/>
        <v>#VALUE!</v>
      </c>
      <c r="U1477">
        <v>13.65</v>
      </c>
      <c r="V1477" s="154" t="e">
        <f t="shared" si="222"/>
        <v>#VALUE!</v>
      </c>
      <c r="W1477">
        <v>13.65</v>
      </c>
      <c r="X1477" s="157" t="e">
        <f t="shared" si="223"/>
        <v>#VALUE!</v>
      </c>
      <c r="Y1477">
        <v>13.65</v>
      </c>
      <c r="Z1477" s="154" t="e">
        <f t="shared" si="224"/>
        <v>#VALUE!</v>
      </c>
      <c r="AA1477">
        <v>13.65</v>
      </c>
      <c r="AB1477" s="154" t="e">
        <f t="shared" si="225"/>
        <v>#VALUE!</v>
      </c>
      <c r="AC1477">
        <v>13.65</v>
      </c>
      <c r="AD1477" s="154" t="e">
        <f t="shared" si="226"/>
        <v>#VALUE!</v>
      </c>
      <c r="AE1477">
        <v>13.65</v>
      </c>
    </row>
    <row r="1478" spans="12:31" ht="15" x14ac:dyDescent="0.2">
      <c r="L1478" s="154" t="e">
        <f t="shared" si="217"/>
        <v>#VALUE!</v>
      </c>
      <c r="M1478">
        <v>13.66</v>
      </c>
      <c r="N1478" s="154" t="e">
        <f t="shared" si="218"/>
        <v>#VALUE!</v>
      </c>
      <c r="O1478">
        <v>13.66</v>
      </c>
      <c r="P1478" s="154" t="e">
        <f t="shared" si="219"/>
        <v>#VALUE!</v>
      </c>
      <c r="Q1478">
        <v>13.66</v>
      </c>
      <c r="R1478" s="154" t="e">
        <f t="shared" si="220"/>
        <v>#VALUE!</v>
      </c>
      <c r="S1478">
        <v>13.66</v>
      </c>
      <c r="T1478" s="154" t="e">
        <f t="shared" si="221"/>
        <v>#VALUE!</v>
      </c>
      <c r="U1478">
        <v>13.66</v>
      </c>
      <c r="V1478" s="154" t="e">
        <f t="shared" si="222"/>
        <v>#VALUE!</v>
      </c>
      <c r="W1478">
        <v>13.66</v>
      </c>
      <c r="X1478" s="157" t="e">
        <f t="shared" si="223"/>
        <v>#VALUE!</v>
      </c>
      <c r="Y1478">
        <v>13.66</v>
      </c>
      <c r="Z1478" s="154" t="e">
        <f t="shared" si="224"/>
        <v>#VALUE!</v>
      </c>
      <c r="AA1478">
        <v>13.66</v>
      </c>
      <c r="AB1478" s="154" t="e">
        <f t="shared" si="225"/>
        <v>#VALUE!</v>
      </c>
      <c r="AC1478">
        <v>13.66</v>
      </c>
      <c r="AD1478" s="154" t="e">
        <f t="shared" si="226"/>
        <v>#VALUE!</v>
      </c>
      <c r="AE1478">
        <v>13.66</v>
      </c>
    </row>
    <row r="1479" spans="12:31" ht="15" x14ac:dyDescent="0.2">
      <c r="L1479" s="154" t="e">
        <f t="shared" si="217"/>
        <v>#VALUE!</v>
      </c>
      <c r="M1479">
        <v>13.67</v>
      </c>
      <c r="N1479" s="154" t="e">
        <f t="shared" si="218"/>
        <v>#VALUE!</v>
      </c>
      <c r="O1479">
        <v>13.67</v>
      </c>
      <c r="P1479" s="154" t="e">
        <f t="shared" si="219"/>
        <v>#VALUE!</v>
      </c>
      <c r="Q1479">
        <v>13.67</v>
      </c>
      <c r="R1479" s="154" t="e">
        <f t="shared" si="220"/>
        <v>#VALUE!</v>
      </c>
      <c r="S1479">
        <v>13.67</v>
      </c>
      <c r="T1479" s="154" t="e">
        <f t="shared" si="221"/>
        <v>#VALUE!</v>
      </c>
      <c r="U1479">
        <v>13.67</v>
      </c>
      <c r="V1479" s="154" t="e">
        <f t="shared" si="222"/>
        <v>#VALUE!</v>
      </c>
      <c r="W1479">
        <v>13.67</v>
      </c>
      <c r="X1479" s="157" t="e">
        <f t="shared" si="223"/>
        <v>#VALUE!</v>
      </c>
      <c r="Y1479">
        <v>13.67</v>
      </c>
      <c r="Z1479" s="154" t="e">
        <f t="shared" si="224"/>
        <v>#VALUE!</v>
      </c>
      <c r="AA1479">
        <v>13.67</v>
      </c>
      <c r="AB1479" s="154" t="e">
        <f t="shared" si="225"/>
        <v>#VALUE!</v>
      </c>
      <c r="AC1479">
        <v>13.67</v>
      </c>
      <c r="AD1479" s="154" t="e">
        <f t="shared" si="226"/>
        <v>#VALUE!</v>
      </c>
      <c r="AE1479">
        <v>13.67</v>
      </c>
    </row>
    <row r="1480" spans="12:31" ht="15" x14ac:dyDescent="0.2">
      <c r="L1480" s="154" t="e">
        <f t="shared" si="217"/>
        <v>#VALUE!</v>
      </c>
      <c r="M1480">
        <v>13.68</v>
      </c>
      <c r="N1480" s="154" t="e">
        <f t="shared" si="218"/>
        <v>#VALUE!</v>
      </c>
      <c r="O1480">
        <v>13.68</v>
      </c>
      <c r="P1480" s="154" t="e">
        <f t="shared" si="219"/>
        <v>#VALUE!</v>
      </c>
      <c r="Q1480">
        <v>13.68</v>
      </c>
      <c r="R1480" s="154" t="e">
        <f t="shared" si="220"/>
        <v>#VALUE!</v>
      </c>
      <c r="S1480">
        <v>13.68</v>
      </c>
      <c r="T1480" s="154" t="e">
        <f t="shared" si="221"/>
        <v>#VALUE!</v>
      </c>
      <c r="U1480">
        <v>13.68</v>
      </c>
      <c r="V1480" s="154" t="e">
        <f t="shared" si="222"/>
        <v>#VALUE!</v>
      </c>
      <c r="W1480">
        <v>13.68</v>
      </c>
      <c r="X1480" s="157" t="e">
        <f t="shared" si="223"/>
        <v>#VALUE!</v>
      </c>
      <c r="Y1480">
        <v>13.68</v>
      </c>
      <c r="Z1480" s="154" t="e">
        <f t="shared" si="224"/>
        <v>#VALUE!</v>
      </c>
      <c r="AA1480">
        <v>13.68</v>
      </c>
      <c r="AB1480" s="154" t="e">
        <f t="shared" si="225"/>
        <v>#VALUE!</v>
      </c>
      <c r="AC1480">
        <v>13.68</v>
      </c>
      <c r="AD1480" s="154" t="e">
        <f t="shared" si="226"/>
        <v>#VALUE!</v>
      </c>
      <c r="AE1480">
        <v>13.68</v>
      </c>
    </row>
    <row r="1481" spans="12:31" ht="15" x14ac:dyDescent="0.2">
      <c r="L1481" s="154" t="e">
        <f t="shared" si="217"/>
        <v>#VALUE!</v>
      </c>
      <c r="M1481">
        <v>13.69</v>
      </c>
      <c r="N1481" s="154" t="e">
        <f t="shared" si="218"/>
        <v>#VALUE!</v>
      </c>
      <c r="O1481">
        <v>13.69</v>
      </c>
      <c r="P1481" s="154" t="e">
        <f t="shared" si="219"/>
        <v>#VALUE!</v>
      </c>
      <c r="Q1481">
        <v>13.69</v>
      </c>
      <c r="R1481" s="154" t="e">
        <f t="shared" si="220"/>
        <v>#VALUE!</v>
      </c>
      <c r="S1481">
        <v>13.69</v>
      </c>
      <c r="T1481" s="154" t="e">
        <f t="shared" si="221"/>
        <v>#VALUE!</v>
      </c>
      <c r="U1481">
        <v>13.69</v>
      </c>
      <c r="V1481" s="154" t="e">
        <f t="shared" si="222"/>
        <v>#VALUE!</v>
      </c>
      <c r="W1481">
        <v>13.69</v>
      </c>
      <c r="X1481" s="157" t="e">
        <f t="shared" si="223"/>
        <v>#VALUE!</v>
      </c>
      <c r="Y1481">
        <v>13.69</v>
      </c>
      <c r="Z1481" s="154" t="e">
        <f t="shared" si="224"/>
        <v>#VALUE!</v>
      </c>
      <c r="AA1481">
        <v>13.69</v>
      </c>
      <c r="AB1481" s="154" t="e">
        <f t="shared" si="225"/>
        <v>#VALUE!</v>
      </c>
      <c r="AC1481">
        <v>13.69</v>
      </c>
      <c r="AD1481" s="154" t="e">
        <f t="shared" si="226"/>
        <v>#VALUE!</v>
      </c>
      <c r="AE1481">
        <v>13.69</v>
      </c>
    </row>
    <row r="1482" spans="12:31" ht="15" x14ac:dyDescent="0.2">
      <c r="L1482" s="154" t="e">
        <f t="shared" si="217"/>
        <v>#VALUE!</v>
      </c>
      <c r="M1482">
        <v>13.7</v>
      </c>
      <c r="N1482" s="154" t="e">
        <f t="shared" si="218"/>
        <v>#VALUE!</v>
      </c>
      <c r="O1482">
        <v>13.7</v>
      </c>
      <c r="P1482" s="154" t="e">
        <f t="shared" si="219"/>
        <v>#VALUE!</v>
      </c>
      <c r="Q1482">
        <v>13.7</v>
      </c>
      <c r="R1482" s="154" t="e">
        <f t="shared" si="220"/>
        <v>#VALUE!</v>
      </c>
      <c r="S1482">
        <v>13.7</v>
      </c>
      <c r="T1482" s="154" t="e">
        <f t="shared" si="221"/>
        <v>#VALUE!</v>
      </c>
      <c r="U1482">
        <v>13.7</v>
      </c>
      <c r="V1482" s="154" t="e">
        <f t="shared" si="222"/>
        <v>#VALUE!</v>
      </c>
      <c r="W1482">
        <v>13.7</v>
      </c>
      <c r="X1482" s="157" t="e">
        <f t="shared" si="223"/>
        <v>#VALUE!</v>
      </c>
      <c r="Y1482">
        <v>13.7</v>
      </c>
      <c r="Z1482" s="154" t="e">
        <f t="shared" si="224"/>
        <v>#VALUE!</v>
      </c>
      <c r="AA1482">
        <v>13.7</v>
      </c>
      <c r="AB1482" s="154" t="e">
        <f t="shared" si="225"/>
        <v>#VALUE!</v>
      </c>
      <c r="AC1482">
        <v>13.7</v>
      </c>
      <c r="AD1482" s="154" t="e">
        <f t="shared" si="226"/>
        <v>#VALUE!</v>
      </c>
      <c r="AE1482">
        <v>13.7</v>
      </c>
    </row>
    <row r="1483" spans="12:31" ht="15" x14ac:dyDescent="0.2">
      <c r="L1483" s="154" t="e">
        <f t="shared" si="217"/>
        <v>#VALUE!</v>
      </c>
      <c r="M1483">
        <v>13.71</v>
      </c>
      <c r="N1483" s="154" t="e">
        <f t="shared" si="218"/>
        <v>#VALUE!</v>
      </c>
      <c r="O1483">
        <v>13.71</v>
      </c>
      <c r="P1483" s="154" t="e">
        <f t="shared" si="219"/>
        <v>#VALUE!</v>
      </c>
      <c r="Q1483">
        <v>13.71</v>
      </c>
      <c r="R1483" s="154" t="e">
        <f t="shared" si="220"/>
        <v>#VALUE!</v>
      </c>
      <c r="S1483">
        <v>13.71</v>
      </c>
      <c r="T1483" s="154" t="e">
        <f t="shared" si="221"/>
        <v>#VALUE!</v>
      </c>
      <c r="U1483">
        <v>13.71</v>
      </c>
      <c r="V1483" s="154" t="e">
        <f t="shared" si="222"/>
        <v>#VALUE!</v>
      </c>
      <c r="W1483">
        <v>13.71</v>
      </c>
      <c r="X1483" s="157" t="e">
        <f t="shared" si="223"/>
        <v>#VALUE!</v>
      </c>
      <c r="Y1483">
        <v>13.71</v>
      </c>
      <c r="Z1483" s="154" t="e">
        <f t="shared" si="224"/>
        <v>#VALUE!</v>
      </c>
      <c r="AA1483">
        <v>13.71</v>
      </c>
      <c r="AB1483" s="154" t="e">
        <f t="shared" si="225"/>
        <v>#VALUE!</v>
      </c>
      <c r="AC1483">
        <v>13.71</v>
      </c>
      <c r="AD1483" s="154" t="e">
        <f t="shared" si="226"/>
        <v>#VALUE!</v>
      </c>
      <c r="AE1483">
        <v>13.71</v>
      </c>
    </row>
    <row r="1484" spans="12:31" ht="15" x14ac:dyDescent="0.2">
      <c r="L1484" s="154" t="e">
        <f t="shared" si="217"/>
        <v>#VALUE!</v>
      </c>
      <c r="M1484">
        <v>13.72</v>
      </c>
      <c r="N1484" s="154" t="e">
        <f t="shared" si="218"/>
        <v>#VALUE!</v>
      </c>
      <c r="O1484">
        <v>13.72</v>
      </c>
      <c r="P1484" s="154" t="e">
        <f t="shared" si="219"/>
        <v>#VALUE!</v>
      </c>
      <c r="Q1484">
        <v>13.72</v>
      </c>
      <c r="R1484" s="154" t="e">
        <f t="shared" si="220"/>
        <v>#VALUE!</v>
      </c>
      <c r="S1484">
        <v>13.72</v>
      </c>
      <c r="T1484" s="154" t="e">
        <f t="shared" si="221"/>
        <v>#VALUE!</v>
      </c>
      <c r="U1484">
        <v>13.72</v>
      </c>
      <c r="V1484" s="154" t="e">
        <f t="shared" si="222"/>
        <v>#VALUE!</v>
      </c>
      <c r="W1484">
        <v>13.72</v>
      </c>
      <c r="X1484" s="157" t="e">
        <f t="shared" si="223"/>
        <v>#VALUE!</v>
      </c>
      <c r="Y1484">
        <v>13.72</v>
      </c>
      <c r="Z1484" s="154" t="e">
        <f t="shared" si="224"/>
        <v>#VALUE!</v>
      </c>
      <c r="AA1484">
        <v>13.72</v>
      </c>
      <c r="AB1484" s="154" t="e">
        <f t="shared" si="225"/>
        <v>#VALUE!</v>
      </c>
      <c r="AC1484">
        <v>13.72</v>
      </c>
      <c r="AD1484" s="154" t="e">
        <f t="shared" si="226"/>
        <v>#VALUE!</v>
      </c>
      <c r="AE1484">
        <v>13.72</v>
      </c>
    </row>
    <row r="1485" spans="12:31" ht="15" x14ac:dyDescent="0.2">
      <c r="L1485" s="154" t="e">
        <f t="shared" si="217"/>
        <v>#VALUE!</v>
      </c>
      <c r="M1485">
        <v>13.73</v>
      </c>
      <c r="N1485" s="154" t="e">
        <f t="shared" si="218"/>
        <v>#VALUE!</v>
      </c>
      <c r="O1485">
        <v>13.73</v>
      </c>
      <c r="P1485" s="154" t="e">
        <f t="shared" si="219"/>
        <v>#VALUE!</v>
      </c>
      <c r="Q1485">
        <v>13.73</v>
      </c>
      <c r="R1485" s="154" t="e">
        <f t="shared" si="220"/>
        <v>#VALUE!</v>
      </c>
      <c r="S1485">
        <v>13.73</v>
      </c>
      <c r="T1485" s="154" t="e">
        <f t="shared" si="221"/>
        <v>#VALUE!</v>
      </c>
      <c r="U1485">
        <v>13.73</v>
      </c>
      <c r="V1485" s="154" t="e">
        <f t="shared" si="222"/>
        <v>#VALUE!</v>
      </c>
      <c r="W1485">
        <v>13.73</v>
      </c>
      <c r="X1485" s="157" t="e">
        <f t="shared" si="223"/>
        <v>#VALUE!</v>
      </c>
      <c r="Y1485">
        <v>13.73</v>
      </c>
      <c r="Z1485" s="154" t="e">
        <f t="shared" si="224"/>
        <v>#VALUE!</v>
      </c>
      <c r="AA1485">
        <v>13.73</v>
      </c>
      <c r="AB1485" s="154" t="e">
        <f t="shared" si="225"/>
        <v>#VALUE!</v>
      </c>
      <c r="AC1485">
        <v>13.73</v>
      </c>
      <c r="AD1485" s="154" t="e">
        <f t="shared" si="226"/>
        <v>#VALUE!</v>
      </c>
      <c r="AE1485">
        <v>13.73</v>
      </c>
    </row>
    <row r="1486" spans="12:31" ht="15" x14ac:dyDescent="0.2">
      <c r="L1486" s="154" t="e">
        <f t="shared" si="217"/>
        <v>#VALUE!</v>
      </c>
      <c r="M1486">
        <v>13.74</v>
      </c>
      <c r="N1486" s="154" t="e">
        <f t="shared" si="218"/>
        <v>#VALUE!</v>
      </c>
      <c r="O1486">
        <v>13.74</v>
      </c>
      <c r="P1486" s="154" t="e">
        <f t="shared" si="219"/>
        <v>#VALUE!</v>
      </c>
      <c r="Q1486">
        <v>13.74</v>
      </c>
      <c r="R1486" s="154" t="e">
        <f t="shared" si="220"/>
        <v>#VALUE!</v>
      </c>
      <c r="S1486">
        <v>13.74</v>
      </c>
      <c r="T1486" s="154" t="e">
        <f t="shared" si="221"/>
        <v>#VALUE!</v>
      </c>
      <c r="U1486">
        <v>13.74</v>
      </c>
      <c r="V1486" s="154" t="e">
        <f t="shared" si="222"/>
        <v>#VALUE!</v>
      </c>
      <c r="W1486">
        <v>13.74</v>
      </c>
      <c r="X1486" s="157" t="e">
        <f t="shared" si="223"/>
        <v>#VALUE!</v>
      </c>
      <c r="Y1486">
        <v>13.74</v>
      </c>
      <c r="Z1486" s="154" t="e">
        <f t="shared" si="224"/>
        <v>#VALUE!</v>
      </c>
      <c r="AA1486">
        <v>13.74</v>
      </c>
      <c r="AB1486" s="154" t="e">
        <f t="shared" si="225"/>
        <v>#VALUE!</v>
      </c>
      <c r="AC1486">
        <v>13.74</v>
      </c>
      <c r="AD1486" s="154" t="e">
        <f t="shared" si="226"/>
        <v>#VALUE!</v>
      </c>
      <c r="AE1486">
        <v>13.74</v>
      </c>
    </row>
    <row r="1487" spans="12:31" ht="15" x14ac:dyDescent="0.2">
      <c r="L1487" s="154" t="e">
        <f t="shared" si="217"/>
        <v>#VALUE!</v>
      </c>
      <c r="M1487">
        <v>13.75</v>
      </c>
      <c r="N1487" s="154" t="e">
        <f t="shared" si="218"/>
        <v>#VALUE!</v>
      </c>
      <c r="O1487">
        <v>13.75</v>
      </c>
      <c r="P1487" s="154" t="e">
        <f t="shared" si="219"/>
        <v>#VALUE!</v>
      </c>
      <c r="Q1487">
        <v>13.75</v>
      </c>
      <c r="R1487" s="154" t="e">
        <f t="shared" si="220"/>
        <v>#VALUE!</v>
      </c>
      <c r="S1487">
        <v>13.75</v>
      </c>
      <c r="T1487" s="154" t="e">
        <f t="shared" si="221"/>
        <v>#VALUE!</v>
      </c>
      <c r="U1487">
        <v>13.75</v>
      </c>
      <c r="V1487" s="154" t="e">
        <f t="shared" si="222"/>
        <v>#VALUE!</v>
      </c>
      <c r="W1487">
        <v>13.75</v>
      </c>
      <c r="X1487" s="157" t="e">
        <f t="shared" si="223"/>
        <v>#VALUE!</v>
      </c>
      <c r="Y1487">
        <v>13.75</v>
      </c>
      <c r="Z1487" s="154" t="e">
        <f t="shared" si="224"/>
        <v>#VALUE!</v>
      </c>
      <c r="AA1487">
        <v>13.75</v>
      </c>
      <c r="AB1487" s="154" t="e">
        <f t="shared" si="225"/>
        <v>#VALUE!</v>
      </c>
      <c r="AC1487">
        <v>13.75</v>
      </c>
      <c r="AD1487" s="154" t="e">
        <f t="shared" si="226"/>
        <v>#VALUE!</v>
      </c>
      <c r="AE1487">
        <v>13.75</v>
      </c>
    </row>
    <row r="1488" spans="12:31" ht="15" x14ac:dyDescent="0.2">
      <c r="L1488" s="154" t="e">
        <f t="shared" si="217"/>
        <v>#VALUE!</v>
      </c>
      <c r="M1488">
        <v>13.76</v>
      </c>
      <c r="N1488" s="154" t="e">
        <f t="shared" si="218"/>
        <v>#VALUE!</v>
      </c>
      <c r="O1488">
        <v>13.76</v>
      </c>
      <c r="P1488" s="154" t="e">
        <f t="shared" si="219"/>
        <v>#VALUE!</v>
      </c>
      <c r="Q1488">
        <v>13.76</v>
      </c>
      <c r="R1488" s="154" t="e">
        <f t="shared" si="220"/>
        <v>#VALUE!</v>
      </c>
      <c r="S1488">
        <v>13.76</v>
      </c>
      <c r="T1488" s="154" t="e">
        <f t="shared" si="221"/>
        <v>#VALUE!</v>
      </c>
      <c r="U1488">
        <v>13.76</v>
      </c>
      <c r="V1488" s="154" t="e">
        <f t="shared" si="222"/>
        <v>#VALUE!</v>
      </c>
      <c r="W1488">
        <v>13.76</v>
      </c>
      <c r="X1488" s="157" t="e">
        <f t="shared" si="223"/>
        <v>#VALUE!</v>
      </c>
      <c r="Y1488">
        <v>13.76</v>
      </c>
      <c r="Z1488" s="154" t="e">
        <f t="shared" si="224"/>
        <v>#VALUE!</v>
      </c>
      <c r="AA1488">
        <v>13.76</v>
      </c>
      <c r="AB1488" s="154" t="e">
        <f t="shared" si="225"/>
        <v>#VALUE!</v>
      </c>
      <c r="AC1488">
        <v>13.76</v>
      </c>
      <c r="AD1488" s="154" t="e">
        <f t="shared" si="226"/>
        <v>#VALUE!</v>
      </c>
      <c r="AE1488">
        <v>13.76</v>
      </c>
    </row>
    <row r="1489" spans="12:31" ht="15" x14ac:dyDescent="0.2">
      <c r="L1489" s="154" t="e">
        <f t="shared" si="217"/>
        <v>#VALUE!</v>
      </c>
      <c r="M1489">
        <v>13.77</v>
      </c>
      <c r="N1489" s="154" t="e">
        <f t="shared" si="218"/>
        <v>#VALUE!</v>
      </c>
      <c r="O1489">
        <v>13.77</v>
      </c>
      <c r="P1489" s="154" t="e">
        <f t="shared" si="219"/>
        <v>#VALUE!</v>
      </c>
      <c r="Q1489">
        <v>13.77</v>
      </c>
      <c r="R1489" s="154" t="e">
        <f t="shared" si="220"/>
        <v>#VALUE!</v>
      </c>
      <c r="S1489">
        <v>13.77</v>
      </c>
      <c r="T1489" s="154" t="e">
        <f t="shared" si="221"/>
        <v>#VALUE!</v>
      </c>
      <c r="U1489">
        <v>13.77</v>
      </c>
      <c r="V1489" s="154" t="e">
        <f t="shared" si="222"/>
        <v>#VALUE!</v>
      </c>
      <c r="W1489">
        <v>13.77</v>
      </c>
      <c r="X1489" s="157" t="e">
        <f t="shared" si="223"/>
        <v>#VALUE!</v>
      </c>
      <c r="Y1489">
        <v>13.77</v>
      </c>
      <c r="Z1489" s="154" t="e">
        <f t="shared" si="224"/>
        <v>#VALUE!</v>
      </c>
      <c r="AA1489">
        <v>13.77</v>
      </c>
      <c r="AB1489" s="154" t="e">
        <f t="shared" si="225"/>
        <v>#VALUE!</v>
      </c>
      <c r="AC1489">
        <v>13.77</v>
      </c>
      <c r="AD1489" s="154" t="e">
        <f t="shared" si="226"/>
        <v>#VALUE!</v>
      </c>
      <c r="AE1489">
        <v>13.77</v>
      </c>
    </row>
    <row r="1490" spans="12:31" ht="15" x14ac:dyDescent="0.2">
      <c r="L1490" s="154" t="e">
        <f t="shared" si="217"/>
        <v>#VALUE!</v>
      </c>
      <c r="M1490">
        <v>13.78</v>
      </c>
      <c r="N1490" s="154" t="e">
        <f t="shared" si="218"/>
        <v>#VALUE!</v>
      </c>
      <c r="O1490">
        <v>13.78</v>
      </c>
      <c r="P1490" s="154" t="e">
        <f t="shared" si="219"/>
        <v>#VALUE!</v>
      </c>
      <c r="Q1490">
        <v>13.78</v>
      </c>
      <c r="R1490" s="154" t="e">
        <f t="shared" si="220"/>
        <v>#VALUE!</v>
      </c>
      <c r="S1490">
        <v>13.78</v>
      </c>
      <c r="T1490" s="154" t="e">
        <f t="shared" si="221"/>
        <v>#VALUE!</v>
      </c>
      <c r="U1490">
        <v>13.78</v>
      </c>
      <c r="V1490" s="154" t="e">
        <f t="shared" si="222"/>
        <v>#VALUE!</v>
      </c>
      <c r="W1490">
        <v>13.78</v>
      </c>
      <c r="X1490" s="157" t="e">
        <f t="shared" si="223"/>
        <v>#VALUE!</v>
      </c>
      <c r="Y1490">
        <v>13.78</v>
      </c>
      <c r="Z1490" s="154" t="e">
        <f t="shared" si="224"/>
        <v>#VALUE!</v>
      </c>
      <c r="AA1490">
        <v>13.78</v>
      </c>
      <c r="AB1490" s="154" t="e">
        <f t="shared" si="225"/>
        <v>#VALUE!</v>
      </c>
      <c r="AC1490">
        <v>13.78</v>
      </c>
      <c r="AD1490" s="154" t="e">
        <f t="shared" si="226"/>
        <v>#VALUE!</v>
      </c>
      <c r="AE1490">
        <v>13.78</v>
      </c>
    </row>
    <row r="1491" spans="12:31" ht="15" x14ac:dyDescent="0.2">
      <c r="L1491" s="154" t="e">
        <f t="shared" si="217"/>
        <v>#VALUE!</v>
      </c>
      <c r="M1491">
        <v>13.79</v>
      </c>
      <c r="N1491" s="154" t="e">
        <f t="shared" si="218"/>
        <v>#VALUE!</v>
      </c>
      <c r="O1491">
        <v>13.79</v>
      </c>
      <c r="P1491" s="154" t="e">
        <f t="shared" si="219"/>
        <v>#VALUE!</v>
      </c>
      <c r="Q1491">
        <v>13.79</v>
      </c>
      <c r="R1491" s="154" t="e">
        <f t="shared" si="220"/>
        <v>#VALUE!</v>
      </c>
      <c r="S1491">
        <v>13.79</v>
      </c>
      <c r="T1491" s="154" t="e">
        <f t="shared" si="221"/>
        <v>#VALUE!</v>
      </c>
      <c r="U1491">
        <v>13.79</v>
      </c>
      <c r="V1491" s="154" t="e">
        <f t="shared" si="222"/>
        <v>#VALUE!</v>
      </c>
      <c r="W1491">
        <v>13.79</v>
      </c>
      <c r="X1491" s="157" t="e">
        <f t="shared" si="223"/>
        <v>#VALUE!</v>
      </c>
      <c r="Y1491">
        <v>13.79</v>
      </c>
      <c r="Z1491" s="154" t="e">
        <f t="shared" si="224"/>
        <v>#VALUE!</v>
      </c>
      <c r="AA1491">
        <v>13.79</v>
      </c>
      <c r="AB1491" s="154" t="e">
        <f t="shared" si="225"/>
        <v>#VALUE!</v>
      </c>
      <c r="AC1491">
        <v>13.79</v>
      </c>
      <c r="AD1491" s="154" t="e">
        <f t="shared" si="226"/>
        <v>#VALUE!</v>
      </c>
      <c r="AE1491">
        <v>13.79</v>
      </c>
    </row>
    <row r="1492" spans="12:31" ht="15" x14ac:dyDescent="0.2">
      <c r="L1492" s="154" t="e">
        <f t="shared" si="217"/>
        <v>#VALUE!</v>
      </c>
      <c r="M1492">
        <v>13.8</v>
      </c>
      <c r="N1492" s="154" t="e">
        <f t="shared" si="218"/>
        <v>#VALUE!</v>
      </c>
      <c r="O1492">
        <v>13.8</v>
      </c>
      <c r="P1492" s="154" t="e">
        <f t="shared" si="219"/>
        <v>#VALUE!</v>
      </c>
      <c r="Q1492">
        <v>13.8</v>
      </c>
      <c r="R1492" s="154" t="e">
        <f t="shared" si="220"/>
        <v>#VALUE!</v>
      </c>
      <c r="S1492">
        <v>13.8</v>
      </c>
      <c r="T1492" s="154" t="e">
        <f t="shared" si="221"/>
        <v>#VALUE!</v>
      </c>
      <c r="U1492">
        <v>13.8</v>
      </c>
      <c r="V1492" s="154" t="e">
        <f t="shared" si="222"/>
        <v>#VALUE!</v>
      </c>
      <c r="W1492">
        <v>13.8</v>
      </c>
      <c r="X1492" s="157" t="e">
        <f t="shared" si="223"/>
        <v>#VALUE!</v>
      </c>
      <c r="Y1492">
        <v>13.8</v>
      </c>
      <c r="Z1492" s="154" t="e">
        <f t="shared" si="224"/>
        <v>#VALUE!</v>
      </c>
      <c r="AA1492">
        <v>13.8</v>
      </c>
      <c r="AB1492" s="154" t="e">
        <f t="shared" si="225"/>
        <v>#VALUE!</v>
      </c>
      <c r="AC1492">
        <v>13.8</v>
      </c>
      <c r="AD1492" s="154" t="e">
        <f t="shared" si="226"/>
        <v>#VALUE!</v>
      </c>
      <c r="AE1492">
        <v>13.8</v>
      </c>
    </row>
    <row r="1493" spans="12:31" ht="15" x14ac:dyDescent="0.2">
      <c r="L1493" s="154" t="e">
        <f t="shared" si="217"/>
        <v>#VALUE!</v>
      </c>
      <c r="M1493">
        <v>13.81</v>
      </c>
      <c r="N1493" s="154" t="e">
        <f t="shared" si="218"/>
        <v>#VALUE!</v>
      </c>
      <c r="O1493">
        <v>13.81</v>
      </c>
      <c r="P1493" s="154" t="e">
        <f t="shared" si="219"/>
        <v>#VALUE!</v>
      </c>
      <c r="Q1493">
        <v>13.81</v>
      </c>
      <c r="R1493" s="154" t="e">
        <f t="shared" si="220"/>
        <v>#VALUE!</v>
      </c>
      <c r="S1493">
        <v>13.81</v>
      </c>
      <c r="T1493" s="154" t="e">
        <f t="shared" si="221"/>
        <v>#VALUE!</v>
      </c>
      <c r="U1493">
        <v>13.81</v>
      </c>
      <c r="V1493" s="154" t="e">
        <f t="shared" si="222"/>
        <v>#VALUE!</v>
      </c>
      <c r="W1493">
        <v>13.81</v>
      </c>
      <c r="X1493" s="157" t="e">
        <f t="shared" si="223"/>
        <v>#VALUE!</v>
      </c>
      <c r="Y1493">
        <v>13.81</v>
      </c>
      <c r="Z1493" s="154" t="e">
        <f t="shared" si="224"/>
        <v>#VALUE!</v>
      </c>
      <c r="AA1493">
        <v>13.81</v>
      </c>
      <c r="AB1493" s="154" t="e">
        <f t="shared" si="225"/>
        <v>#VALUE!</v>
      </c>
      <c r="AC1493">
        <v>13.81</v>
      </c>
      <c r="AD1493" s="154" t="e">
        <f t="shared" si="226"/>
        <v>#VALUE!</v>
      </c>
      <c r="AE1493">
        <v>13.81</v>
      </c>
    </row>
    <row r="1494" spans="12:31" ht="15" x14ac:dyDescent="0.2">
      <c r="L1494" s="154" t="e">
        <f t="shared" si="217"/>
        <v>#VALUE!</v>
      </c>
      <c r="M1494">
        <v>13.82</v>
      </c>
      <c r="N1494" s="154" t="e">
        <f t="shared" si="218"/>
        <v>#VALUE!</v>
      </c>
      <c r="O1494">
        <v>13.82</v>
      </c>
      <c r="P1494" s="154" t="e">
        <f t="shared" si="219"/>
        <v>#VALUE!</v>
      </c>
      <c r="Q1494">
        <v>13.82</v>
      </c>
      <c r="R1494" s="154" t="e">
        <f t="shared" si="220"/>
        <v>#VALUE!</v>
      </c>
      <c r="S1494">
        <v>13.82</v>
      </c>
      <c r="T1494" s="154" t="e">
        <f t="shared" si="221"/>
        <v>#VALUE!</v>
      </c>
      <c r="U1494">
        <v>13.82</v>
      </c>
      <c r="V1494" s="154" t="e">
        <f t="shared" si="222"/>
        <v>#VALUE!</v>
      </c>
      <c r="W1494">
        <v>13.82</v>
      </c>
      <c r="X1494" s="157" t="e">
        <f t="shared" si="223"/>
        <v>#VALUE!</v>
      </c>
      <c r="Y1494">
        <v>13.82</v>
      </c>
      <c r="Z1494" s="154" t="e">
        <f t="shared" si="224"/>
        <v>#VALUE!</v>
      </c>
      <c r="AA1494">
        <v>13.82</v>
      </c>
      <c r="AB1494" s="154" t="e">
        <f t="shared" si="225"/>
        <v>#VALUE!</v>
      </c>
      <c r="AC1494">
        <v>13.82</v>
      </c>
      <c r="AD1494" s="154" t="e">
        <f t="shared" si="226"/>
        <v>#VALUE!</v>
      </c>
      <c r="AE1494">
        <v>13.82</v>
      </c>
    </row>
    <row r="1495" spans="12:31" ht="15" x14ac:dyDescent="0.2">
      <c r="L1495" s="154" t="e">
        <f t="shared" si="217"/>
        <v>#VALUE!</v>
      </c>
      <c r="M1495">
        <v>13.83</v>
      </c>
      <c r="N1495" s="154" t="e">
        <f t="shared" si="218"/>
        <v>#VALUE!</v>
      </c>
      <c r="O1495">
        <v>13.83</v>
      </c>
      <c r="P1495" s="154" t="e">
        <f t="shared" si="219"/>
        <v>#VALUE!</v>
      </c>
      <c r="Q1495">
        <v>13.83</v>
      </c>
      <c r="R1495" s="154" t="e">
        <f t="shared" si="220"/>
        <v>#VALUE!</v>
      </c>
      <c r="S1495">
        <v>13.83</v>
      </c>
      <c r="T1495" s="154" t="e">
        <f t="shared" si="221"/>
        <v>#VALUE!</v>
      </c>
      <c r="U1495">
        <v>13.83</v>
      </c>
      <c r="V1495" s="154" t="e">
        <f t="shared" si="222"/>
        <v>#VALUE!</v>
      </c>
      <c r="W1495">
        <v>13.83</v>
      </c>
      <c r="X1495" s="157" t="e">
        <f t="shared" si="223"/>
        <v>#VALUE!</v>
      </c>
      <c r="Y1495">
        <v>13.83</v>
      </c>
      <c r="Z1495" s="154" t="e">
        <f t="shared" si="224"/>
        <v>#VALUE!</v>
      </c>
      <c r="AA1495">
        <v>13.83</v>
      </c>
      <c r="AB1495" s="154" t="e">
        <f t="shared" si="225"/>
        <v>#VALUE!</v>
      </c>
      <c r="AC1495">
        <v>13.83</v>
      </c>
      <c r="AD1495" s="154" t="e">
        <f t="shared" si="226"/>
        <v>#VALUE!</v>
      </c>
      <c r="AE1495">
        <v>13.83</v>
      </c>
    </row>
    <row r="1496" spans="12:31" ht="15" x14ac:dyDescent="0.2">
      <c r="L1496" s="154" t="e">
        <f t="shared" si="217"/>
        <v>#VALUE!</v>
      </c>
      <c r="M1496">
        <v>13.84</v>
      </c>
      <c r="N1496" s="154" t="e">
        <f t="shared" si="218"/>
        <v>#VALUE!</v>
      </c>
      <c r="O1496">
        <v>13.84</v>
      </c>
      <c r="P1496" s="154" t="e">
        <f t="shared" si="219"/>
        <v>#VALUE!</v>
      </c>
      <c r="Q1496">
        <v>13.84</v>
      </c>
      <c r="R1496" s="154" t="e">
        <f t="shared" si="220"/>
        <v>#VALUE!</v>
      </c>
      <c r="S1496">
        <v>13.84</v>
      </c>
      <c r="T1496" s="154" t="e">
        <f t="shared" si="221"/>
        <v>#VALUE!</v>
      </c>
      <c r="U1496">
        <v>13.84</v>
      </c>
      <c r="V1496" s="154" t="e">
        <f t="shared" si="222"/>
        <v>#VALUE!</v>
      </c>
      <c r="W1496">
        <v>13.84</v>
      </c>
      <c r="X1496" s="157" t="e">
        <f t="shared" si="223"/>
        <v>#VALUE!</v>
      </c>
      <c r="Y1496">
        <v>13.84</v>
      </c>
      <c r="Z1496" s="154" t="e">
        <f t="shared" si="224"/>
        <v>#VALUE!</v>
      </c>
      <c r="AA1496">
        <v>13.84</v>
      </c>
      <c r="AB1496" s="154" t="e">
        <f t="shared" si="225"/>
        <v>#VALUE!</v>
      </c>
      <c r="AC1496">
        <v>13.84</v>
      </c>
      <c r="AD1496" s="154" t="e">
        <f t="shared" si="226"/>
        <v>#VALUE!</v>
      </c>
      <c r="AE1496">
        <v>13.84</v>
      </c>
    </row>
    <row r="1497" spans="12:31" ht="15" x14ac:dyDescent="0.2">
      <c r="L1497" s="154" t="e">
        <f t="shared" si="217"/>
        <v>#VALUE!</v>
      </c>
      <c r="M1497">
        <v>13.85</v>
      </c>
      <c r="N1497" s="154" t="e">
        <f t="shared" si="218"/>
        <v>#VALUE!</v>
      </c>
      <c r="O1497">
        <v>13.85</v>
      </c>
      <c r="P1497" s="154" t="e">
        <f t="shared" si="219"/>
        <v>#VALUE!</v>
      </c>
      <c r="Q1497">
        <v>13.85</v>
      </c>
      <c r="R1497" s="154" t="e">
        <f t="shared" si="220"/>
        <v>#VALUE!</v>
      </c>
      <c r="S1497">
        <v>13.85</v>
      </c>
      <c r="T1497" s="154" t="e">
        <f t="shared" si="221"/>
        <v>#VALUE!</v>
      </c>
      <c r="U1497">
        <v>13.85</v>
      </c>
      <c r="V1497" s="154" t="e">
        <f t="shared" si="222"/>
        <v>#VALUE!</v>
      </c>
      <c r="W1497">
        <v>13.85</v>
      </c>
      <c r="X1497" s="157" t="e">
        <f t="shared" si="223"/>
        <v>#VALUE!</v>
      </c>
      <c r="Y1497">
        <v>13.85</v>
      </c>
      <c r="Z1497" s="154" t="e">
        <f t="shared" si="224"/>
        <v>#VALUE!</v>
      </c>
      <c r="AA1497">
        <v>13.85</v>
      </c>
      <c r="AB1497" s="154" t="e">
        <f t="shared" si="225"/>
        <v>#VALUE!</v>
      </c>
      <c r="AC1497">
        <v>13.85</v>
      </c>
      <c r="AD1497" s="154" t="e">
        <f t="shared" si="226"/>
        <v>#VALUE!</v>
      </c>
      <c r="AE1497">
        <v>13.85</v>
      </c>
    </row>
    <row r="1498" spans="12:31" ht="15" x14ac:dyDescent="0.2">
      <c r="L1498" s="154" t="e">
        <f t="shared" si="217"/>
        <v>#VALUE!</v>
      </c>
      <c r="M1498">
        <v>13.86</v>
      </c>
      <c r="N1498" s="154" t="e">
        <f t="shared" si="218"/>
        <v>#VALUE!</v>
      </c>
      <c r="O1498">
        <v>13.86</v>
      </c>
      <c r="P1498" s="154" t="e">
        <f t="shared" si="219"/>
        <v>#VALUE!</v>
      </c>
      <c r="Q1498">
        <v>13.86</v>
      </c>
      <c r="R1498" s="154" t="e">
        <f t="shared" si="220"/>
        <v>#VALUE!</v>
      </c>
      <c r="S1498">
        <v>13.86</v>
      </c>
      <c r="T1498" s="154" t="e">
        <f t="shared" si="221"/>
        <v>#VALUE!</v>
      </c>
      <c r="U1498">
        <v>13.86</v>
      </c>
      <c r="V1498" s="154" t="e">
        <f t="shared" si="222"/>
        <v>#VALUE!</v>
      </c>
      <c r="W1498">
        <v>13.86</v>
      </c>
      <c r="X1498" s="157" t="e">
        <f t="shared" si="223"/>
        <v>#VALUE!</v>
      </c>
      <c r="Y1498">
        <v>13.86</v>
      </c>
      <c r="Z1498" s="154" t="e">
        <f t="shared" si="224"/>
        <v>#VALUE!</v>
      </c>
      <c r="AA1498">
        <v>13.86</v>
      </c>
      <c r="AB1498" s="154" t="e">
        <f t="shared" si="225"/>
        <v>#VALUE!</v>
      </c>
      <c r="AC1498">
        <v>13.86</v>
      </c>
      <c r="AD1498" s="154" t="e">
        <f t="shared" si="226"/>
        <v>#VALUE!</v>
      </c>
      <c r="AE1498">
        <v>13.86</v>
      </c>
    </row>
    <row r="1499" spans="12:31" ht="15" x14ac:dyDescent="0.2">
      <c r="L1499" s="154" t="e">
        <f t="shared" si="217"/>
        <v>#VALUE!</v>
      </c>
      <c r="M1499">
        <v>13.87</v>
      </c>
      <c r="N1499" s="154" t="e">
        <f t="shared" si="218"/>
        <v>#VALUE!</v>
      </c>
      <c r="O1499">
        <v>13.87</v>
      </c>
      <c r="P1499" s="154" t="e">
        <f t="shared" si="219"/>
        <v>#VALUE!</v>
      </c>
      <c r="Q1499">
        <v>13.87</v>
      </c>
      <c r="R1499" s="154" t="e">
        <f t="shared" si="220"/>
        <v>#VALUE!</v>
      </c>
      <c r="S1499">
        <v>13.87</v>
      </c>
      <c r="T1499" s="154" t="e">
        <f t="shared" si="221"/>
        <v>#VALUE!</v>
      </c>
      <c r="U1499">
        <v>13.87</v>
      </c>
      <c r="V1499" s="154" t="e">
        <f t="shared" si="222"/>
        <v>#VALUE!</v>
      </c>
      <c r="W1499">
        <v>13.87</v>
      </c>
      <c r="X1499" s="157" t="e">
        <f t="shared" si="223"/>
        <v>#VALUE!</v>
      </c>
      <c r="Y1499">
        <v>13.87</v>
      </c>
      <c r="Z1499" s="154" t="e">
        <f t="shared" si="224"/>
        <v>#VALUE!</v>
      </c>
      <c r="AA1499">
        <v>13.87</v>
      </c>
      <c r="AB1499" s="154" t="e">
        <f t="shared" si="225"/>
        <v>#VALUE!</v>
      </c>
      <c r="AC1499">
        <v>13.87</v>
      </c>
      <c r="AD1499" s="154" t="e">
        <f t="shared" si="226"/>
        <v>#VALUE!</v>
      </c>
      <c r="AE1499">
        <v>13.87</v>
      </c>
    </row>
    <row r="1500" spans="12:31" ht="15" x14ac:dyDescent="0.2">
      <c r="L1500" s="154" t="e">
        <f t="shared" si="217"/>
        <v>#VALUE!</v>
      </c>
      <c r="M1500">
        <v>13.88</v>
      </c>
      <c r="N1500" s="154" t="e">
        <f t="shared" si="218"/>
        <v>#VALUE!</v>
      </c>
      <c r="O1500">
        <v>13.88</v>
      </c>
      <c r="P1500" s="154" t="e">
        <f t="shared" si="219"/>
        <v>#VALUE!</v>
      </c>
      <c r="Q1500">
        <v>13.88</v>
      </c>
      <c r="R1500" s="154" t="e">
        <f t="shared" si="220"/>
        <v>#VALUE!</v>
      </c>
      <c r="S1500">
        <v>13.88</v>
      </c>
      <c r="T1500" s="154" t="e">
        <f t="shared" si="221"/>
        <v>#VALUE!</v>
      </c>
      <c r="U1500">
        <v>13.88</v>
      </c>
      <c r="V1500" s="154" t="e">
        <f t="shared" si="222"/>
        <v>#VALUE!</v>
      </c>
      <c r="W1500">
        <v>13.88</v>
      </c>
      <c r="X1500" s="157" t="e">
        <f t="shared" si="223"/>
        <v>#VALUE!</v>
      </c>
      <c r="Y1500">
        <v>13.88</v>
      </c>
      <c r="Z1500" s="154" t="e">
        <f t="shared" si="224"/>
        <v>#VALUE!</v>
      </c>
      <c r="AA1500">
        <v>13.88</v>
      </c>
      <c r="AB1500" s="154" t="e">
        <f t="shared" si="225"/>
        <v>#VALUE!</v>
      </c>
      <c r="AC1500">
        <v>13.88</v>
      </c>
      <c r="AD1500" s="154" t="e">
        <f t="shared" si="226"/>
        <v>#VALUE!</v>
      </c>
      <c r="AE1500">
        <v>13.88</v>
      </c>
    </row>
    <row r="1501" spans="12:31" ht="15" x14ac:dyDescent="0.2">
      <c r="L1501" s="154" t="e">
        <f t="shared" si="217"/>
        <v>#VALUE!</v>
      </c>
      <c r="M1501">
        <v>13.89</v>
      </c>
      <c r="N1501" s="154" t="e">
        <f t="shared" si="218"/>
        <v>#VALUE!</v>
      </c>
      <c r="O1501">
        <v>13.89</v>
      </c>
      <c r="P1501" s="154" t="e">
        <f t="shared" si="219"/>
        <v>#VALUE!</v>
      </c>
      <c r="Q1501">
        <v>13.89</v>
      </c>
      <c r="R1501" s="154" t="e">
        <f t="shared" si="220"/>
        <v>#VALUE!</v>
      </c>
      <c r="S1501">
        <v>13.89</v>
      </c>
      <c r="T1501" s="154" t="e">
        <f t="shared" si="221"/>
        <v>#VALUE!</v>
      </c>
      <c r="U1501">
        <v>13.89</v>
      </c>
      <c r="V1501" s="154" t="e">
        <f t="shared" si="222"/>
        <v>#VALUE!</v>
      </c>
      <c r="W1501">
        <v>13.89</v>
      </c>
      <c r="X1501" s="157" t="e">
        <f t="shared" si="223"/>
        <v>#VALUE!</v>
      </c>
      <c r="Y1501">
        <v>13.89</v>
      </c>
      <c r="Z1501" s="154" t="e">
        <f t="shared" si="224"/>
        <v>#VALUE!</v>
      </c>
      <c r="AA1501">
        <v>13.89</v>
      </c>
      <c r="AB1501" s="154" t="e">
        <f t="shared" si="225"/>
        <v>#VALUE!</v>
      </c>
      <c r="AC1501">
        <v>13.89</v>
      </c>
      <c r="AD1501" s="154" t="e">
        <f t="shared" si="226"/>
        <v>#VALUE!</v>
      </c>
      <c r="AE1501">
        <v>13.89</v>
      </c>
    </row>
    <row r="1502" spans="12:31" ht="15" x14ac:dyDescent="0.2">
      <c r="L1502" s="154" t="e">
        <f t="shared" si="217"/>
        <v>#VALUE!</v>
      </c>
      <c r="M1502">
        <v>13.9</v>
      </c>
      <c r="N1502" s="154" t="e">
        <f t="shared" si="218"/>
        <v>#VALUE!</v>
      </c>
      <c r="O1502">
        <v>13.9</v>
      </c>
      <c r="P1502" s="154" t="e">
        <f t="shared" si="219"/>
        <v>#VALUE!</v>
      </c>
      <c r="Q1502">
        <v>13.9</v>
      </c>
      <c r="R1502" s="154" t="e">
        <f t="shared" si="220"/>
        <v>#VALUE!</v>
      </c>
      <c r="S1502">
        <v>13.9</v>
      </c>
      <c r="T1502" s="154" t="e">
        <f t="shared" si="221"/>
        <v>#VALUE!</v>
      </c>
      <c r="U1502">
        <v>13.9</v>
      </c>
      <c r="V1502" s="154" t="e">
        <f t="shared" si="222"/>
        <v>#VALUE!</v>
      </c>
      <c r="W1502">
        <v>13.9</v>
      </c>
      <c r="X1502" s="157" t="e">
        <f t="shared" si="223"/>
        <v>#VALUE!</v>
      </c>
      <c r="Y1502">
        <v>13.9</v>
      </c>
      <c r="Z1502" s="154" t="e">
        <f t="shared" si="224"/>
        <v>#VALUE!</v>
      </c>
      <c r="AA1502">
        <v>13.9</v>
      </c>
      <c r="AB1502" s="154" t="e">
        <f t="shared" si="225"/>
        <v>#VALUE!</v>
      </c>
      <c r="AC1502">
        <v>13.9</v>
      </c>
      <c r="AD1502" s="154" t="e">
        <f t="shared" si="226"/>
        <v>#VALUE!</v>
      </c>
      <c r="AE1502">
        <v>13.9</v>
      </c>
    </row>
    <row r="1503" spans="12:31" ht="15" x14ac:dyDescent="0.2">
      <c r="L1503" s="154" t="e">
        <f t="shared" si="217"/>
        <v>#VALUE!</v>
      </c>
      <c r="M1503">
        <v>13.91</v>
      </c>
      <c r="N1503" s="154" t="e">
        <f t="shared" si="218"/>
        <v>#VALUE!</v>
      </c>
      <c r="O1503">
        <v>13.91</v>
      </c>
      <c r="P1503" s="154" t="e">
        <f t="shared" si="219"/>
        <v>#VALUE!</v>
      </c>
      <c r="Q1503">
        <v>13.91</v>
      </c>
      <c r="R1503" s="154" t="e">
        <f t="shared" si="220"/>
        <v>#VALUE!</v>
      </c>
      <c r="S1503">
        <v>13.91</v>
      </c>
      <c r="T1503" s="154" t="e">
        <f t="shared" si="221"/>
        <v>#VALUE!</v>
      </c>
      <c r="U1503">
        <v>13.91</v>
      </c>
      <c r="V1503" s="154" t="e">
        <f t="shared" si="222"/>
        <v>#VALUE!</v>
      </c>
      <c r="W1503">
        <v>13.91</v>
      </c>
      <c r="X1503" s="157" t="e">
        <f t="shared" si="223"/>
        <v>#VALUE!</v>
      </c>
      <c r="Y1503">
        <v>13.91</v>
      </c>
      <c r="Z1503" s="154" t="e">
        <f t="shared" si="224"/>
        <v>#VALUE!</v>
      </c>
      <c r="AA1503">
        <v>13.91</v>
      </c>
      <c r="AB1503" s="154" t="e">
        <f t="shared" si="225"/>
        <v>#VALUE!</v>
      </c>
      <c r="AC1503">
        <v>13.91</v>
      </c>
      <c r="AD1503" s="154" t="e">
        <f t="shared" si="226"/>
        <v>#VALUE!</v>
      </c>
      <c r="AE1503">
        <v>13.91</v>
      </c>
    </row>
    <row r="1504" spans="12:31" ht="15" x14ac:dyDescent="0.2">
      <c r="L1504" s="154" t="e">
        <f t="shared" si="217"/>
        <v>#VALUE!</v>
      </c>
      <c r="M1504">
        <v>13.92</v>
      </c>
      <c r="N1504" s="154" t="e">
        <f t="shared" si="218"/>
        <v>#VALUE!</v>
      </c>
      <c r="O1504">
        <v>13.92</v>
      </c>
      <c r="P1504" s="154" t="e">
        <f t="shared" si="219"/>
        <v>#VALUE!</v>
      </c>
      <c r="Q1504">
        <v>13.92</v>
      </c>
      <c r="R1504" s="154" t="e">
        <f t="shared" si="220"/>
        <v>#VALUE!</v>
      </c>
      <c r="S1504">
        <v>13.92</v>
      </c>
      <c r="T1504" s="154" t="e">
        <f t="shared" si="221"/>
        <v>#VALUE!</v>
      </c>
      <c r="U1504">
        <v>13.92</v>
      </c>
      <c r="V1504" s="154" t="e">
        <f t="shared" si="222"/>
        <v>#VALUE!</v>
      </c>
      <c r="W1504">
        <v>13.92</v>
      </c>
      <c r="X1504" s="157" t="e">
        <f t="shared" si="223"/>
        <v>#VALUE!</v>
      </c>
      <c r="Y1504">
        <v>13.92</v>
      </c>
      <c r="Z1504" s="154" t="e">
        <f t="shared" si="224"/>
        <v>#VALUE!</v>
      </c>
      <c r="AA1504">
        <v>13.92</v>
      </c>
      <c r="AB1504" s="154" t="e">
        <f t="shared" si="225"/>
        <v>#VALUE!</v>
      </c>
      <c r="AC1504">
        <v>13.92</v>
      </c>
      <c r="AD1504" s="154" t="e">
        <f t="shared" si="226"/>
        <v>#VALUE!</v>
      </c>
      <c r="AE1504">
        <v>13.92</v>
      </c>
    </row>
    <row r="1505" spans="12:31" ht="15" x14ac:dyDescent="0.2">
      <c r="L1505" s="154" t="e">
        <f t="shared" si="217"/>
        <v>#VALUE!</v>
      </c>
      <c r="M1505">
        <v>13.93</v>
      </c>
      <c r="N1505" s="154" t="e">
        <f t="shared" si="218"/>
        <v>#VALUE!</v>
      </c>
      <c r="O1505">
        <v>13.93</v>
      </c>
      <c r="P1505" s="154" t="e">
        <f t="shared" si="219"/>
        <v>#VALUE!</v>
      </c>
      <c r="Q1505">
        <v>13.93</v>
      </c>
      <c r="R1505" s="154" t="e">
        <f t="shared" si="220"/>
        <v>#VALUE!</v>
      </c>
      <c r="S1505">
        <v>13.93</v>
      </c>
      <c r="T1505" s="154" t="e">
        <f t="shared" si="221"/>
        <v>#VALUE!</v>
      </c>
      <c r="U1505">
        <v>13.93</v>
      </c>
      <c r="V1505" s="154" t="e">
        <f t="shared" si="222"/>
        <v>#VALUE!</v>
      </c>
      <c r="W1505">
        <v>13.93</v>
      </c>
      <c r="X1505" s="157" t="e">
        <f t="shared" si="223"/>
        <v>#VALUE!</v>
      </c>
      <c r="Y1505">
        <v>13.93</v>
      </c>
      <c r="Z1505" s="154" t="e">
        <f t="shared" si="224"/>
        <v>#VALUE!</v>
      </c>
      <c r="AA1505">
        <v>13.93</v>
      </c>
      <c r="AB1505" s="154" t="e">
        <f t="shared" si="225"/>
        <v>#VALUE!</v>
      </c>
      <c r="AC1505">
        <v>13.93</v>
      </c>
      <c r="AD1505" s="154" t="e">
        <f t="shared" si="226"/>
        <v>#VALUE!</v>
      </c>
      <c r="AE1505">
        <v>13.93</v>
      </c>
    </row>
    <row r="1506" spans="12:31" ht="15" x14ac:dyDescent="0.2">
      <c r="L1506" s="154" t="e">
        <f t="shared" si="217"/>
        <v>#VALUE!</v>
      </c>
      <c r="M1506">
        <v>13.94</v>
      </c>
      <c r="N1506" s="154" t="e">
        <f t="shared" si="218"/>
        <v>#VALUE!</v>
      </c>
      <c r="O1506">
        <v>13.94</v>
      </c>
      <c r="P1506" s="154" t="e">
        <f t="shared" si="219"/>
        <v>#VALUE!</v>
      </c>
      <c r="Q1506">
        <v>13.94</v>
      </c>
      <c r="R1506" s="154" t="e">
        <f t="shared" si="220"/>
        <v>#VALUE!</v>
      </c>
      <c r="S1506">
        <v>13.94</v>
      </c>
      <c r="T1506" s="154" t="e">
        <f t="shared" si="221"/>
        <v>#VALUE!</v>
      </c>
      <c r="U1506">
        <v>13.94</v>
      </c>
      <c r="V1506" s="154" t="e">
        <f t="shared" si="222"/>
        <v>#VALUE!</v>
      </c>
      <c r="W1506">
        <v>13.94</v>
      </c>
      <c r="X1506" s="157" t="e">
        <f t="shared" si="223"/>
        <v>#VALUE!</v>
      </c>
      <c r="Y1506">
        <v>13.94</v>
      </c>
      <c r="Z1506" s="154" t="e">
        <f t="shared" si="224"/>
        <v>#VALUE!</v>
      </c>
      <c r="AA1506">
        <v>13.94</v>
      </c>
      <c r="AB1506" s="154" t="e">
        <f t="shared" si="225"/>
        <v>#VALUE!</v>
      </c>
      <c r="AC1506">
        <v>13.94</v>
      </c>
      <c r="AD1506" s="154" t="e">
        <f t="shared" si="226"/>
        <v>#VALUE!</v>
      </c>
      <c r="AE1506">
        <v>13.94</v>
      </c>
    </row>
    <row r="1507" spans="12:31" ht="15" x14ac:dyDescent="0.2">
      <c r="L1507" s="154" t="e">
        <f t="shared" si="217"/>
        <v>#VALUE!</v>
      </c>
      <c r="M1507">
        <v>13.95</v>
      </c>
      <c r="N1507" s="154" t="e">
        <f t="shared" si="218"/>
        <v>#VALUE!</v>
      </c>
      <c r="O1507">
        <v>13.95</v>
      </c>
      <c r="P1507" s="154" t="e">
        <f t="shared" si="219"/>
        <v>#VALUE!</v>
      </c>
      <c r="Q1507">
        <v>13.95</v>
      </c>
      <c r="R1507" s="154" t="e">
        <f t="shared" si="220"/>
        <v>#VALUE!</v>
      </c>
      <c r="S1507">
        <v>13.95</v>
      </c>
      <c r="T1507" s="154" t="e">
        <f t="shared" si="221"/>
        <v>#VALUE!</v>
      </c>
      <c r="U1507">
        <v>13.95</v>
      </c>
      <c r="V1507" s="154" t="e">
        <f t="shared" si="222"/>
        <v>#VALUE!</v>
      </c>
      <c r="W1507">
        <v>13.95</v>
      </c>
      <c r="X1507" s="157" t="e">
        <f t="shared" si="223"/>
        <v>#VALUE!</v>
      </c>
      <c r="Y1507">
        <v>13.95</v>
      </c>
      <c r="Z1507" s="154" t="e">
        <f t="shared" si="224"/>
        <v>#VALUE!</v>
      </c>
      <c r="AA1507">
        <v>13.95</v>
      </c>
      <c r="AB1507" s="154" t="e">
        <f t="shared" si="225"/>
        <v>#VALUE!</v>
      </c>
      <c r="AC1507">
        <v>13.95</v>
      </c>
      <c r="AD1507" s="154" t="e">
        <f t="shared" si="226"/>
        <v>#VALUE!</v>
      </c>
      <c r="AE1507">
        <v>13.95</v>
      </c>
    </row>
    <row r="1508" spans="12:31" ht="15" x14ac:dyDescent="0.2">
      <c r="L1508" s="154" t="e">
        <f t="shared" si="217"/>
        <v>#VALUE!</v>
      </c>
      <c r="M1508">
        <v>13.96</v>
      </c>
      <c r="N1508" s="154" t="e">
        <f t="shared" si="218"/>
        <v>#VALUE!</v>
      </c>
      <c r="O1508">
        <v>13.96</v>
      </c>
      <c r="P1508" s="154" t="e">
        <f t="shared" si="219"/>
        <v>#VALUE!</v>
      </c>
      <c r="Q1508">
        <v>13.96</v>
      </c>
      <c r="R1508" s="154" t="e">
        <f t="shared" si="220"/>
        <v>#VALUE!</v>
      </c>
      <c r="S1508">
        <v>13.96</v>
      </c>
      <c r="T1508" s="154" t="e">
        <f t="shared" si="221"/>
        <v>#VALUE!</v>
      </c>
      <c r="U1508">
        <v>13.96</v>
      </c>
      <c r="V1508" s="154" t="e">
        <f t="shared" si="222"/>
        <v>#VALUE!</v>
      </c>
      <c r="W1508">
        <v>13.96</v>
      </c>
      <c r="X1508" s="157" t="e">
        <f t="shared" si="223"/>
        <v>#VALUE!</v>
      </c>
      <c r="Y1508">
        <v>13.96</v>
      </c>
      <c r="Z1508" s="154" t="e">
        <f t="shared" si="224"/>
        <v>#VALUE!</v>
      </c>
      <c r="AA1508">
        <v>13.96</v>
      </c>
      <c r="AB1508" s="154" t="e">
        <f t="shared" si="225"/>
        <v>#VALUE!</v>
      </c>
      <c r="AC1508">
        <v>13.96</v>
      </c>
      <c r="AD1508" s="154" t="e">
        <f t="shared" si="226"/>
        <v>#VALUE!</v>
      </c>
      <c r="AE1508">
        <v>13.96</v>
      </c>
    </row>
    <row r="1509" spans="12:31" ht="15" x14ac:dyDescent="0.2">
      <c r="L1509" s="154" t="e">
        <f t="shared" si="217"/>
        <v>#VALUE!</v>
      </c>
      <c r="M1509">
        <v>13.97</v>
      </c>
      <c r="N1509" s="154" t="e">
        <f t="shared" si="218"/>
        <v>#VALUE!</v>
      </c>
      <c r="O1509">
        <v>13.97</v>
      </c>
      <c r="P1509" s="154" t="e">
        <f t="shared" si="219"/>
        <v>#VALUE!</v>
      </c>
      <c r="Q1509">
        <v>13.97</v>
      </c>
      <c r="R1509" s="154" t="e">
        <f t="shared" si="220"/>
        <v>#VALUE!</v>
      </c>
      <c r="S1509">
        <v>13.97</v>
      </c>
      <c r="T1509" s="154" t="e">
        <f t="shared" si="221"/>
        <v>#VALUE!</v>
      </c>
      <c r="U1509">
        <v>13.97</v>
      </c>
      <c r="V1509" s="154" t="e">
        <f t="shared" si="222"/>
        <v>#VALUE!</v>
      </c>
      <c r="W1509">
        <v>13.97</v>
      </c>
      <c r="X1509" s="157" t="e">
        <f t="shared" si="223"/>
        <v>#VALUE!</v>
      </c>
      <c r="Y1509">
        <v>13.97</v>
      </c>
      <c r="Z1509" s="154" t="e">
        <f t="shared" si="224"/>
        <v>#VALUE!</v>
      </c>
      <c r="AA1509">
        <v>13.97</v>
      </c>
      <c r="AB1509" s="154" t="e">
        <f t="shared" si="225"/>
        <v>#VALUE!</v>
      </c>
      <c r="AC1509">
        <v>13.97</v>
      </c>
      <c r="AD1509" s="154" t="e">
        <f t="shared" si="226"/>
        <v>#VALUE!</v>
      </c>
      <c r="AE1509">
        <v>13.97</v>
      </c>
    </row>
    <row r="1510" spans="12:31" ht="15" x14ac:dyDescent="0.2">
      <c r="L1510" s="154" t="e">
        <f t="shared" si="217"/>
        <v>#VALUE!</v>
      </c>
      <c r="M1510">
        <v>13.98</v>
      </c>
      <c r="N1510" s="154" t="e">
        <f t="shared" si="218"/>
        <v>#VALUE!</v>
      </c>
      <c r="O1510">
        <v>13.98</v>
      </c>
      <c r="P1510" s="154" t="e">
        <f t="shared" si="219"/>
        <v>#VALUE!</v>
      </c>
      <c r="Q1510">
        <v>13.98</v>
      </c>
      <c r="R1510" s="154" t="e">
        <f t="shared" si="220"/>
        <v>#VALUE!</v>
      </c>
      <c r="S1510">
        <v>13.98</v>
      </c>
      <c r="T1510" s="154" t="e">
        <f t="shared" si="221"/>
        <v>#VALUE!</v>
      </c>
      <c r="U1510">
        <v>13.98</v>
      </c>
      <c r="V1510" s="154" t="e">
        <f t="shared" si="222"/>
        <v>#VALUE!</v>
      </c>
      <c r="W1510">
        <v>13.98</v>
      </c>
      <c r="X1510" s="157" t="e">
        <f t="shared" si="223"/>
        <v>#VALUE!</v>
      </c>
      <c r="Y1510">
        <v>13.98</v>
      </c>
      <c r="Z1510" s="154" t="e">
        <f t="shared" si="224"/>
        <v>#VALUE!</v>
      </c>
      <c r="AA1510">
        <v>13.98</v>
      </c>
      <c r="AB1510" s="154" t="e">
        <f t="shared" si="225"/>
        <v>#VALUE!</v>
      </c>
      <c r="AC1510">
        <v>13.98</v>
      </c>
      <c r="AD1510" s="154" t="e">
        <f t="shared" si="226"/>
        <v>#VALUE!</v>
      </c>
      <c r="AE1510">
        <v>13.98</v>
      </c>
    </row>
    <row r="1511" spans="12:31" ht="15" x14ac:dyDescent="0.2">
      <c r="L1511" s="154" t="e">
        <f t="shared" si="217"/>
        <v>#VALUE!</v>
      </c>
      <c r="M1511">
        <v>13.99</v>
      </c>
      <c r="N1511" s="154" t="e">
        <f t="shared" si="218"/>
        <v>#VALUE!</v>
      </c>
      <c r="O1511">
        <v>13.99</v>
      </c>
      <c r="P1511" s="154" t="e">
        <f t="shared" si="219"/>
        <v>#VALUE!</v>
      </c>
      <c r="Q1511">
        <v>13.99</v>
      </c>
      <c r="R1511" s="154" t="e">
        <f t="shared" si="220"/>
        <v>#VALUE!</v>
      </c>
      <c r="S1511">
        <v>13.99</v>
      </c>
      <c r="T1511" s="154" t="e">
        <f t="shared" si="221"/>
        <v>#VALUE!</v>
      </c>
      <c r="U1511">
        <v>13.99</v>
      </c>
      <c r="V1511" s="154" t="e">
        <f t="shared" si="222"/>
        <v>#VALUE!</v>
      </c>
      <c r="W1511">
        <v>13.99</v>
      </c>
      <c r="X1511" s="157" t="e">
        <f t="shared" si="223"/>
        <v>#VALUE!</v>
      </c>
      <c r="Y1511">
        <v>13.99</v>
      </c>
      <c r="Z1511" s="154" t="e">
        <f t="shared" si="224"/>
        <v>#VALUE!</v>
      </c>
      <c r="AA1511">
        <v>13.99</v>
      </c>
      <c r="AB1511" s="154" t="e">
        <f t="shared" si="225"/>
        <v>#VALUE!</v>
      </c>
      <c r="AC1511">
        <v>13.99</v>
      </c>
      <c r="AD1511" s="154" t="e">
        <f t="shared" si="226"/>
        <v>#VALUE!</v>
      </c>
      <c r="AE1511">
        <v>13.99</v>
      </c>
    </row>
    <row r="1512" spans="12:31" ht="15" x14ac:dyDescent="0.2">
      <c r="L1512" s="154" t="e">
        <f t="shared" si="217"/>
        <v>#VALUE!</v>
      </c>
      <c r="M1512">
        <v>14</v>
      </c>
      <c r="N1512" s="154" t="e">
        <f t="shared" si="218"/>
        <v>#VALUE!</v>
      </c>
      <c r="O1512">
        <v>14</v>
      </c>
      <c r="P1512" s="154" t="e">
        <f t="shared" si="219"/>
        <v>#VALUE!</v>
      </c>
      <c r="Q1512">
        <v>14</v>
      </c>
      <c r="R1512" s="154" t="e">
        <f t="shared" si="220"/>
        <v>#VALUE!</v>
      </c>
      <c r="S1512">
        <v>14</v>
      </c>
      <c r="T1512" s="154" t="e">
        <f t="shared" si="221"/>
        <v>#VALUE!</v>
      </c>
      <c r="U1512">
        <v>14</v>
      </c>
      <c r="V1512" s="154" t="e">
        <f t="shared" si="222"/>
        <v>#VALUE!</v>
      </c>
      <c r="W1512">
        <v>14</v>
      </c>
      <c r="X1512" s="157" t="e">
        <f t="shared" si="223"/>
        <v>#VALUE!</v>
      </c>
      <c r="Y1512">
        <v>14</v>
      </c>
      <c r="Z1512" s="154" t="e">
        <f t="shared" si="224"/>
        <v>#VALUE!</v>
      </c>
      <c r="AA1512">
        <v>14</v>
      </c>
      <c r="AB1512" s="154" t="e">
        <f t="shared" si="225"/>
        <v>#VALUE!</v>
      </c>
      <c r="AC1512">
        <v>14</v>
      </c>
      <c r="AD1512" s="154" t="e">
        <f t="shared" si="226"/>
        <v>#VALUE!</v>
      </c>
      <c r="AE1512">
        <v>14</v>
      </c>
    </row>
    <row r="1513" spans="12:31" ht="15" x14ac:dyDescent="0.2">
      <c r="L1513" s="154" t="e">
        <f t="shared" si="217"/>
        <v>#VALUE!</v>
      </c>
      <c r="M1513">
        <v>14.01</v>
      </c>
      <c r="N1513" s="154" t="e">
        <f t="shared" si="218"/>
        <v>#VALUE!</v>
      </c>
      <c r="O1513">
        <v>14.01</v>
      </c>
      <c r="P1513" s="154" t="e">
        <f t="shared" si="219"/>
        <v>#VALUE!</v>
      </c>
      <c r="Q1513">
        <v>14.01</v>
      </c>
      <c r="R1513" s="154" t="e">
        <f t="shared" si="220"/>
        <v>#VALUE!</v>
      </c>
      <c r="S1513">
        <v>14.01</v>
      </c>
      <c r="T1513" s="154" t="e">
        <f t="shared" si="221"/>
        <v>#VALUE!</v>
      </c>
      <c r="U1513">
        <v>14.01</v>
      </c>
      <c r="V1513" s="154" t="e">
        <f t="shared" si="222"/>
        <v>#VALUE!</v>
      </c>
      <c r="W1513">
        <v>14.01</v>
      </c>
      <c r="X1513" s="157" t="e">
        <f t="shared" si="223"/>
        <v>#VALUE!</v>
      </c>
      <c r="Y1513">
        <v>14.01</v>
      </c>
      <c r="Z1513" s="154" t="e">
        <f t="shared" si="224"/>
        <v>#VALUE!</v>
      </c>
      <c r="AA1513">
        <v>14.01</v>
      </c>
      <c r="AB1513" s="154" t="e">
        <f t="shared" si="225"/>
        <v>#VALUE!</v>
      </c>
      <c r="AC1513">
        <v>14.01</v>
      </c>
      <c r="AD1513" s="154" t="e">
        <f t="shared" si="226"/>
        <v>#VALUE!</v>
      </c>
      <c r="AE1513">
        <v>14.01</v>
      </c>
    </row>
    <row r="1514" spans="12:31" ht="15" x14ac:dyDescent="0.2">
      <c r="L1514" s="154" t="e">
        <f t="shared" si="217"/>
        <v>#VALUE!</v>
      </c>
      <c r="M1514">
        <v>14.02</v>
      </c>
      <c r="N1514" s="154" t="e">
        <f t="shared" si="218"/>
        <v>#VALUE!</v>
      </c>
      <c r="O1514">
        <v>14.02</v>
      </c>
      <c r="P1514" s="154" t="e">
        <f t="shared" si="219"/>
        <v>#VALUE!</v>
      </c>
      <c r="Q1514">
        <v>14.02</v>
      </c>
      <c r="R1514" s="154" t="e">
        <f t="shared" si="220"/>
        <v>#VALUE!</v>
      </c>
      <c r="S1514">
        <v>14.02</v>
      </c>
      <c r="T1514" s="154" t="e">
        <f t="shared" si="221"/>
        <v>#VALUE!</v>
      </c>
      <c r="U1514">
        <v>14.02</v>
      </c>
      <c r="V1514" s="154" t="e">
        <f t="shared" si="222"/>
        <v>#VALUE!</v>
      </c>
      <c r="W1514">
        <v>14.02</v>
      </c>
      <c r="X1514" s="157" t="e">
        <f t="shared" si="223"/>
        <v>#VALUE!</v>
      </c>
      <c r="Y1514">
        <v>14.02</v>
      </c>
      <c r="Z1514" s="154" t="e">
        <f t="shared" si="224"/>
        <v>#VALUE!</v>
      </c>
      <c r="AA1514">
        <v>14.02</v>
      </c>
      <c r="AB1514" s="154" t="e">
        <f t="shared" si="225"/>
        <v>#VALUE!</v>
      </c>
      <c r="AC1514">
        <v>14.02</v>
      </c>
      <c r="AD1514" s="154" t="e">
        <f t="shared" si="226"/>
        <v>#VALUE!</v>
      </c>
      <c r="AE1514">
        <v>14.02</v>
      </c>
    </row>
    <row r="1515" spans="12:31" ht="15" x14ac:dyDescent="0.2">
      <c r="L1515" s="154" t="e">
        <f t="shared" si="217"/>
        <v>#VALUE!</v>
      </c>
      <c r="M1515">
        <v>14.03</v>
      </c>
      <c r="N1515" s="154" t="e">
        <f t="shared" si="218"/>
        <v>#VALUE!</v>
      </c>
      <c r="O1515">
        <v>14.03</v>
      </c>
      <c r="P1515" s="154" t="e">
        <f t="shared" si="219"/>
        <v>#VALUE!</v>
      </c>
      <c r="Q1515">
        <v>14.03</v>
      </c>
      <c r="R1515" s="154" t="e">
        <f t="shared" si="220"/>
        <v>#VALUE!</v>
      </c>
      <c r="S1515">
        <v>14.03</v>
      </c>
      <c r="T1515" s="154" t="e">
        <f t="shared" si="221"/>
        <v>#VALUE!</v>
      </c>
      <c r="U1515">
        <v>14.03</v>
      </c>
      <c r="V1515" s="154" t="e">
        <f t="shared" si="222"/>
        <v>#VALUE!</v>
      </c>
      <c r="W1515">
        <v>14.03</v>
      </c>
      <c r="X1515" s="157" t="e">
        <f t="shared" si="223"/>
        <v>#VALUE!</v>
      </c>
      <c r="Y1515">
        <v>14.03</v>
      </c>
      <c r="Z1515" s="154" t="e">
        <f t="shared" si="224"/>
        <v>#VALUE!</v>
      </c>
      <c r="AA1515">
        <v>14.03</v>
      </c>
      <c r="AB1515" s="154" t="e">
        <f t="shared" si="225"/>
        <v>#VALUE!</v>
      </c>
      <c r="AC1515">
        <v>14.03</v>
      </c>
      <c r="AD1515" s="154" t="e">
        <f t="shared" si="226"/>
        <v>#VALUE!</v>
      </c>
      <c r="AE1515">
        <v>14.03</v>
      </c>
    </row>
    <row r="1516" spans="12:31" ht="15" x14ac:dyDescent="0.2">
      <c r="L1516" s="154" t="e">
        <f t="shared" si="217"/>
        <v>#VALUE!</v>
      </c>
      <c r="M1516">
        <v>14.04</v>
      </c>
      <c r="N1516" s="154" t="e">
        <f t="shared" si="218"/>
        <v>#VALUE!</v>
      </c>
      <c r="O1516">
        <v>14.04</v>
      </c>
      <c r="P1516" s="154" t="e">
        <f t="shared" si="219"/>
        <v>#VALUE!</v>
      </c>
      <c r="Q1516">
        <v>14.04</v>
      </c>
      <c r="R1516" s="154" t="e">
        <f t="shared" si="220"/>
        <v>#VALUE!</v>
      </c>
      <c r="S1516">
        <v>14.04</v>
      </c>
      <c r="T1516" s="154" t="e">
        <f t="shared" si="221"/>
        <v>#VALUE!</v>
      </c>
      <c r="U1516">
        <v>14.04</v>
      </c>
      <c r="V1516" s="154" t="e">
        <f t="shared" si="222"/>
        <v>#VALUE!</v>
      </c>
      <c r="W1516">
        <v>14.04</v>
      </c>
      <c r="X1516" s="157" t="e">
        <f t="shared" si="223"/>
        <v>#VALUE!</v>
      </c>
      <c r="Y1516">
        <v>14.04</v>
      </c>
      <c r="Z1516" s="154" t="e">
        <f t="shared" si="224"/>
        <v>#VALUE!</v>
      </c>
      <c r="AA1516">
        <v>14.04</v>
      </c>
      <c r="AB1516" s="154" t="e">
        <f t="shared" si="225"/>
        <v>#VALUE!</v>
      </c>
      <c r="AC1516">
        <v>14.04</v>
      </c>
      <c r="AD1516" s="154" t="e">
        <f t="shared" si="226"/>
        <v>#VALUE!</v>
      </c>
      <c r="AE1516">
        <v>14.04</v>
      </c>
    </row>
    <row r="1517" spans="12:31" ht="15" x14ac:dyDescent="0.2">
      <c r="L1517" s="154" t="e">
        <f t="shared" si="217"/>
        <v>#VALUE!</v>
      </c>
      <c r="M1517">
        <v>14.05</v>
      </c>
      <c r="N1517" s="154" t="e">
        <f t="shared" si="218"/>
        <v>#VALUE!</v>
      </c>
      <c r="O1517">
        <v>14.05</v>
      </c>
      <c r="P1517" s="154" t="e">
        <f t="shared" si="219"/>
        <v>#VALUE!</v>
      </c>
      <c r="Q1517">
        <v>14.05</v>
      </c>
      <c r="R1517" s="154" t="e">
        <f t="shared" si="220"/>
        <v>#VALUE!</v>
      </c>
      <c r="S1517">
        <v>14.05</v>
      </c>
      <c r="T1517" s="154" t="e">
        <f t="shared" si="221"/>
        <v>#VALUE!</v>
      </c>
      <c r="U1517">
        <v>14.05</v>
      </c>
      <c r="V1517" s="154" t="e">
        <f t="shared" si="222"/>
        <v>#VALUE!</v>
      </c>
      <c r="W1517">
        <v>14.05</v>
      </c>
      <c r="X1517" s="157" t="e">
        <f t="shared" si="223"/>
        <v>#VALUE!</v>
      </c>
      <c r="Y1517">
        <v>14.05</v>
      </c>
      <c r="Z1517" s="154" t="e">
        <f t="shared" si="224"/>
        <v>#VALUE!</v>
      </c>
      <c r="AA1517">
        <v>14.05</v>
      </c>
      <c r="AB1517" s="154" t="e">
        <f t="shared" si="225"/>
        <v>#VALUE!</v>
      </c>
      <c r="AC1517">
        <v>14.05</v>
      </c>
      <c r="AD1517" s="154" t="e">
        <f t="shared" si="226"/>
        <v>#VALUE!</v>
      </c>
      <c r="AE1517">
        <v>14.05</v>
      </c>
    </row>
    <row r="1518" spans="12:31" ht="15" x14ac:dyDescent="0.2">
      <c r="L1518" s="154" t="e">
        <f t="shared" si="217"/>
        <v>#VALUE!</v>
      </c>
      <c r="M1518">
        <v>14.06</v>
      </c>
      <c r="N1518" s="154" t="e">
        <f t="shared" si="218"/>
        <v>#VALUE!</v>
      </c>
      <c r="O1518">
        <v>14.06</v>
      </c>
      <c r="P1518" s="154" t="e">
        <f t="shared" si="219"/>
        <v>#VALUE!</v>
      </c>
      <c r="Q1518">
        <v>14.06</v>
      </c>
      <c r="R1518" s="154" t="e">
        <f t="shared" si="220"/>
        <v>#VALUE!</v>
      </c>
      <c r="S1518">
        <v>14.06</v>
      </c>
      <c r="T1518" s="154" t="e">
        <f t="shared" si="221"/>
        <v>#VALUE!</v>
      </c>
      <c r="U1518">
        <v>14.06</v>
      </c>
      <c r="V1518" s="154" t="e">
        <f t="shared" si="222"/>
        <v>#VALUE!</v>
      </c>
      <c r="W1518">
        <v>14.06</v>
      </c>
      <c r="X1518" s="157" t="e">
        <f t="shared" si="223"/>
        <v>#VALUE!</v>
      </c>
      <c r="Y1518">
        <v>14.06</v>
      </c>
      <c r="Z1518" s="154" t="e">
        <f t="shared" si="224"/>
        <v>#VALUE!</v>
      </c>
      <c r="AA1518">
        <v>14.06</v>
      </c>
      <c r="AB1518" s="154" t="e">
        <f t="shared" si="225"/>
        <v>#VALUE!</v>
      </c>
      <c r="AC1518">
        <v>14.06</v>
      </c>
      <c r="AD1518" s="154" t="e">
        <f t="shared" si="226"/>
        <v>#VALUE!</v>
      </c>
      <c r="AE1518">
        <v>14.06</v>
      </c>
    </row>
    <row r="1519" spans="12:31" ht="15" x14ac:dyDescent="0.2">
      <c r="L1519" s="154" t="e">
        <f t="shared" si="217"/>
        <v>#VALUE!</v>
      </c>
      <c r="M1519">
        <v>14.07</v>
      </c>
      <c r="N1519" s="154" t="e">
        <f t="shared" si="218"/>
        <v>#VALUE!</v>
      </c>
      <c r="O1519">
        <v>14.07</v>
      </c>
      <c r="P1519" s="154" t="e">
        <f t="shared" si="219"/>
        <v>#VALUE!</v>
      </c>
      <c r="Q1519">
        <v>14.07</v>
      </c>
      <c r="R1519" s="154" t="e">
        <f t="shared" si="220"/>
        <v>#VALUE!</v>
      </c>
      <c r="S1519">
        <v>14.07</v>
      </c>
      <c r="T1519" s="154" t="e">
        <f t="shared" si="221"/>
        <v>#VALUE!</v>
      </c>
      <c r="U1519">
        <v>14.07</v>
      </c>
      <c r="V1519" s="154" t="e">
        <f t="shared" si="222"/>
        <v>#VALUE!</v>
      </c>
      <c r="W1519">
        <v>14.07</v>
      </c>
      <c r="X1519" s="157" t="e">
        <f t="shared" si="223"/>
        <v>#VALUE!</v>
      </c>
      <c r="Y1519">
        <v>14.07</v>
      </c>
      <c r="Z1519" s="154" t="e">
        <f t="shared" si="224"/>
        <v>#VALUE!</v>
      </c>
      <c r="AA1519">
        <v>14.07</v>
      </c>
      <c r="AB1519" s="154" t="e">
        <f t="shared" si="225"/>
        <v>#VALUE!</v>
      </c>
      <c r="AC1519">
        <v>14.07</v>
      </c>
      <c r="AD1519" s="154" t="e">
        <f t="shared" si="226"/>
        <v>#VALUE!</v>
      </c>
      <c r="AE1519">
        <v>14.07</v>
      </c>
    </row>
    <row r="1520" spans="12:31" ht="15" x14ac:dyDescent="0.2">
      <c r="L1520" s="154" t="e">
        <f t="shared" si="217"/>
        <v>#VALUE!</v>
      </c>
      <c r="M1520">
        <v>14.08</v>
      </c>
      <c r="N1520" s="154" t="e">
        <f t="shared" si="218"/>
        <v>#VALUE!</v>
      </c>
      <c r="O1520">
        <v>14.08</v>
      </c>
      <c r="P1520" s="154" t="e">
        <f t="shared" si="219"/>
        <v>#VALUE!</v>
      </c>
      <c r="Q1520">
        <v>14.08</v>
      </c>
      <c r="R1520" s="154" t="e">
        <f t="shared" si="220"/>
        <v>#VALUE!</v>
      </c>
      <c r="S1520">
        <v>14.08</v>
      </c>
      <c r="T1520" s="154" t="e">
        <f t="shared" si="221"/>
        <v>#VALUE!</v>
      </c>
      <c r="U1520">
        <v>14.08</v>
      </c>
      <c r="V1520" s="154" t="e">
        <f t="shared" si="222"/>
        <v>#VALUE!</v>
      </c>
      <c r="W1520">
        <v>14.08</v>
      </c>
      <c r="X1520" s="157" t="e">
        <f t="shared" si="223"/>
        <v>#VALUE!</v>
      </c>
      <c r="Y1520">
        <v>14.08</v>
      </c>
      <c r="Z1520" s="154" t="e">
        <f t="shared" si="224"/>
        <v>#VALUE!</v>
      </c>
      <c r="AA1520">
        <v>14.08</v>
      </c>
      <c r="AB1520" s="154" t="e">
        <f t="shared" si="225"/>
        <v>#VALUE!</v>
      </c>
      <c r="AC1520">
        <v>14.08</v>
      </c>
      <c r="AD1520" s="154" t="e">
        <f t="shared" si="226"/>
        <v>#VALUE!</v>
      </c>
      <c r="AE1520">
        <v>14.08</v>
      </c>
    </row>
    <row r="1521" spans="12:31" ht="15" x14ac:dyDescent="0.2">
      <c r="L1521" s="154" t="e">
        <f t="shared" ref="L1521:L1584" si="227">((1.486/$D$33)*((((PI()*($D$46/12)^2)/4)-((($D$46/12)/2)^2*((2*ACOS(((($D$46/12)/2)-(($D$46/12)-(M1521/12)))/(($D$46/12)/2)))-SIN(2*ACOS(((($D$46/12)/2)-(($D$46/12)-(M1521/12)))/(($D$46/12)/2))))/2))/((PI()*($D$46/12))-((2*ACOS(((($D$46/12)/2)-(($D$46/12)-(M1521/12)))/(($D$46/12)/2)))*(($D$46/12)/2))))^(2/3)*$H$17^0.5)*(((PI()*($D$46/12)^2)/4)-((($D$46/12)/2)^2*((2*ACOS(((($D$46/12)/2)-(($D$46/12)-(M1521/12)))/(($D$46/12)/2)))-SIN(2*ACOS(((($D$46/12)/2)-(($D$46/12)-(M1521/12)))/(($D$46/12)/2))))/2))</f>
        <v>#VALUE!</v>
      </c>
      <c r="M1521">
        <v>14.09</v>
      </c>
      <c r="N1521" s="154" t="e">
        <f t="shared" ref="N1521:N1584" si="228">((1.486/$D$34)*((((PI()*($D$47/12)^2)/4)-((($D$47/12)/2)^2*((2*ACOS(((($D$47/12)/2)-(($D$47/12)-(O1521/12)))/(($D$47/12)/2)))-SIN(2*ACOS(((($D$47/12)/2)-(($D$47/12)-(O1521/12)))/(($D$47/12)/2))))/2))/((PI()*($D$47/12))-((2*ACOS(((($D$47/12)/2)-(($D$47/12)-(O1521/12)))/(($D$47/12)/2)))*(($D$47/12)/2))))^(2/3)*$H$18^0.5)*(((PI()*($D$47/12)^2)/4)-((($D$47/12)/2)^2*((2*ACOS(((($D$47/12)/2)-(($D$47/12)-(O1521/12)))/(($D$47/12)/2)))-SIN(2*ACOS(((($D$47/12)/2)-(($D$47/12)-(O1521/12)))/(($D$47/12)/2))))/2))</f>
        <v>#VALUE!</v>
      </c>
      <c r="O1521">
        <v>14.09</v>
      </c>
      <c r="P1521" s="154" t="e">
        <f t="shared" ref="P1521:P1584" si="229">((1.486/$D$35)*((((PI()*($D$48/12)^2)/4)-((($D$48/12)/2)^2*((2*ACOS(((($D$48/12)/2)-(($D$48/12)-(Q1521/12)))/(($D$48/12)/2)))-SIN(2*ACOS(((($D$48/12)/2)-(($D$48/12)-(Q1521/12)))/(($D$48/12)/2))))/2))/((PI()*($D$48/12))-((2*ACOS(((($D$48/12)/2)-(($D$48/12)-(Q1521/12)))/(($D$48/12)/2)))*(($D$48/12)/2))))^(2/3)*$H$19^0.5)*(((PI()*($D$48/12)^2)/4)-((($D$48/12)/2)^2*((2*ACOS(((($D$48/12)/2)-(($D$48/12)-(Q1521/12)))/(($D$48/12)/2)))-SIN(2*ACOS(((($D$48/12)/2)-(($D$48/12)-(Q1521/12)))/(($D$48/12)/2))))/2))</f>
        <v>#VALUE!</v>
      </c>
      <c r="Q1521">
        <v>14.09</v>
      </c>
      <c r="R1521" s="154" t="e">
        <f t="shared" ref="R1521:R1584" si="230">((1.486/$D$36)*((((PI()*($D$49/12)^2)/4)-((($D$49/12)/2)^2*((2*ACOS(((($D$49/12)/2)-(($D$49/12)-(S1521/12)))/(($D$49/12)/2)))-SIN(2*ACOS(((($D$49/12)/2)-(($D$49/12)-(S1521/12)))/(($D$49/12)/2))))/2))/((PI()*($D$49/12))-((2*ACOS(((($D$49/12)/2)-(($D$49/12)-(S1521/12)))/(($D$49/12)/2)))*(($D$49/12)/2))))^(2/3)*$H$20^0.5)*(((PI()*($D$49/12)^2)/4)-((($D$49/12)/2)^2*((2*ACOS(((($D$49/12)/2)-(($D$49/12)-(S1521/12)))/(($D$49/12)/2)))-SIN(2*ACOS(((($D$49/12)/2)-(($D$49/12)-(S1521/12)))/(($D$49/12)/2))))/2))</f>
        <v>#VALUE!</v>
      </c>
      <c r="S1521">
        <v>14.09</v>
      </c>
      <c r="T1521" s="154" t="e">
        <f t="shared" ref="T1521:T1584" si="231">((1.486/$D$37)*((((PI()*($D$50/12)^2)/4)-((($D$50/12)/2)^2*((2*ACOS(((($D$50/12)/2)-(($D$50/12)-(U1521/12)))/(($D$50/12)/2)))-SIN(2*ACOS(((($D$50/12)/2)-(($D$50/12)-(U1521/12)))/(($D$50/12)/2))))/2))/((PI()*($D$50/12))-((2*ACOS(((($D$50/12)/2)-(($D$50/12)-(U1521/12)))/(($D$50/12)/2)))*(($D$50/12)/2))))^(2/3)*$H$21^0.5)*(((PI()*($D$50/12)^2)/4)-((($D$50/12)/2)^2*((2*ACOS(((($D$50/12)/2)-(($D$50/12)-(U1521/12)))/(($D$50/12)/2)))-SIN(2*ACOS(((($D$50/12)/2)-(($D$50/12)-(U1521/12)))/(($D$50/12)/2))))/2))</f>
        <v>#VALUE!</v>
      </c>
      <c r="U1521">
        <v>14.09</v>
      </c>
      <c r="V1521" s="154" t="e">
        <f t="shared" ref="V1521:V1584" si="232">((1.486/$D$38)*((((PI()*($D$51/12)^2)/4)-((($D$51/12)/2)^2*((2*ACOS(((($D$51/12)/2)-(($D$51/12)-(W1521/12)))/(($D$51/12)/2)))-SIN(2*ACOS(((($D$51/12)/2)-(($D$51/12)-(W1521/12)))/(($D$51/12)/2))))/2))/((PI()*($D$51/12))-((2*ACOS(((($D$51/12)/2)-(($D$51/12)-(W1521/12)))/(($D$51/12)/2)))*(($D$51/12)/2))))^(2/3)*$H$22^0.5)*(((PI()*($D$51/12)^2)/4)-((($D$51/12)/2)^2*((2*ACOS(((($D$51/12)/2)-(($D$51/12)-(W1521/12)))/(($D$51/12)/2)))-SIN(2*ACOS(((($D$51/12)/2)-(($D$51/12)-(W1521/12)))/(($D$51/12)/2))))/2))</f>
        <v>#VALUE!</v>
      </c>
      <c r="W1521">
        <v>14.09</v>
      </c>
      <c r="X1521" s="157" t="e">
        <f t="shared" ref="X1521:X1584" si="233">((1.486/$D$39)*((((PI()*($D$52/12)^2)/4)-((($D$52/12)/2)^2*((2*ACOS(((($D$52/12)/2)-(($D$52/12)-(Y1521/12)))/(($D$52/12)/2)))-SIN(2*ACOS(((($D$52/12)/2)-(($D$52/12)-(Y1521/12)))/(($D$52/12)/2))))/2))/((PI()*($D$52/12))-((2*ACOS(((($D$52/12)/2)-(($D$52/12)-(Y1521/12)))/(($D$52/12)/2)))*(($D$52/12)/2))))^(2/3)*$H$23^0.5)*(((PI()*($D$52/12)^2)/4)-((($D$52/12)/2)^2*((2*ACOS(((($D$52/12)/2)-(($D$52/12)-(Y1521/12)))/(($D$52/12)/2)))-SIN(2*ACOS(((($D$52/12)/2)-(($D$52/12)-(Y1521/12)))/(($D$52/12)/2))))/2))</f>
        <v>#VALUE!</v>
      </c>
      <c r="Y1521">
        <v>14.09</v>
      </c>
      <c r="Z1521" s="154" t="e">
        <f t="shared" ref="Z1521:Z1584" si="234">((1.486/$D$40)*((((PI()*($D$53/12)^2)/4)-((($D$53/12)/2)^2*((2*ACOS(((($D$53/12)/2)-(($D$53/12)-(AA1521/12)))/(($D$53/12)/2)))-SIN(2*ACOS(((($D$53/12)/2)-(($D$53/12)-(AA1521/12)))/(($D$53/12)/2))))/2))/((PI()*($D$53/12))-((2*ACOS(((($D$53/12)/2)-(($D$53/12)-(AA1521/12)))/(($D$53/12)/2)))*(($D$53/12)/2))))^(2/3)*$H$24^0.5)*(((PI()*($D$53/12)^2)/4)-((($D$53/12)/2)^2*((2*ACOS(((($D$53/12)/2)-(($D$53/12)-(AA1521/12)))/(($D$53/12)/2)))-SIN(2*ACOS(((($D$53/12)/2)-(($D$53/12)-(AA1521/12)))/(($D$53/12)/2))))/2))</f>
        <v>#VALUE!</v>
      </c>
      <c r="AA1521">
        <v>14.09</v>
      </c>
      <c r="AB1521" s="154" t="e">
        <f t="shared" ref="AB1521:AB1584" si="235">((1.486/$D$41)*((((PI()*($D$54/12)^2)/4)-((($D$54/12)/2)^2*((2*ACOS(((($D$54/12)/2)-(($D$54/12)-(AC1521/12)))/(($D$54/12)/2)))-SIN(2*ACOS(((($D$54/12)/2)-(($D$54/12)-(AC1521/12)))/(($D$54/12)/2))))/2))/((PI()*($D$54/12))-((2*ACOS(((($D$54/12)/2)-(($D$54/12)-(AC1521/12)))/(($D$54/12)/2)))*(($D$54/12)/2))))^(2/3)*$H$25^0.5)*(((PI()*($D$54/12)^2)/4)-((($D$54/12)/2)^2*((2*ACOS(((($D$54/12)/2)-(($D$54/12)-(AC1521/12)))/(($D$54/12)/2)))-SIN(2*ACOS(((($D$54/12)/2)-(($D$54/12)-(AC1521/12)))/(($D$54/12)/2))))/2))</f>
        <v>#VALUE!</v>
      </c>
      <c r="AC1521">
        <v>14.09</v>
      </c>
      <c r="AD1521" s="154" t="e">
        <f t="shared" ref="AD1521:AD1584" si="236">((1.486/$D$42)*((((PI()*($D$55/12)^2)/4)-((($D$55/12)/2)^2*((2*ACOS(((($D$55/12)/2)-(($D$55/12)-(AE1521/12)))/(($D$55/12)/2)))-SIN(2*ACOS(((($D$55/12)/2)-(($D$55/12)-(AE1521/12)))/(($D$55/12)/2))))/2))/((PI()*($D$55/12))-((2*ACOS(((($D$55/12)/2)-(($D$55/12)-(AE1521/12)))/(($D$55/12)/2)))*(($D$55/12)/2))))^(2/3)*$H$26^0.5)*(((PI()*($D$55/12)^2)/4)-((($D$55/12)/2)^2*((2*ACOS(((($D$55/12)/2)-(($D$55/12)-(AE1521/12)))/(($D$55/12)/2)))-SIN(2*ACOS(((($D$55/12)/2)-(($D$55/12)-(AE1521/12)))/(($D$55/12)/2))))/2))</f>
        <v>#VALUE!</v>
      </c>
      <c r="AE1521">
        <v>14.09</v>
      </c>
    </row>
    <row r="1522" spans="12:31" ht="15" x14ac:dyDescent="0.2">
      <c r="L1522" s="154" t="e">
        <f t="shared" si="227"/>
        <v>#VALUE!</v>
      </c>
      <c r="M1522">
        <v>14.1</v>
      </c>
      <c r="N1522" s="154" t="e">
        <f t="shared" si="228"/>
        <v>#VALUE!</v>
      </c>
      <c r="O1522">
        <v>14.1</v>
      </c>
      <c r="P1522" s="154" t="e">
        <f t="shared" si="229"/>
        <v>#VALUE!</v>
      </c>
      <c r="Q1522">
        <v>14.1</v>
      </c>
      <c r="R1522" s="154" t="e">
        <f t="shared" si="230"/>
        <v>#VALUE!</v>
      </c>
      <c r="S1522">
        <v>14.1</v>
      </c>
      <c r="T1522" s="154" t="e">
        <f t="shared" si="231"/>
        <v>#VALUE!</v>
      </c>
      <c r="U1522">
        <v>14.1</v>
      </c>
      <c r="V1522" s="154" t="e">
        <f t="shared" si="232"/>
        <v>#VALUE!</v>
      </c>
      <c r="W1522">
        <v>14.1</v>
      </c>
      <c r="X1522" s="157" t="e">
        <f t="shared" si="233"/>
        <v>#VALUE!</v>
      </c>
      <c r="Y1522">
        <v>14.1</v>
      </c>
      <c r="Z1522" s="154" t="e">
        <f t="shared" si="234"/>
        <v>#VALUE!</v>
      </c>
      <c r="AA1522">
        <v>14.1</v>
      </c>
      <c r="AB1522" s="154" t="e">
        <f t="shared" si="235"/>
        <v>#VALUE!</v>
      </c>
      <c r="AC1522">
        <v>14.1</v>
      </c>
      <c r="AD1522" s="154" t="e">
        <f t="shared" si="236"/>
        <v>#VALUE!</v>
      </c>
      <c r="AE1522">
        <v>14.1</v>
      </c>
    </row>
    <row r="1523" spans="12:31" ht="15" x14ac:dyDescent="0.2">
      <c r="L1523" s="154" t="e">
        <f t="shared" si="227"/>
        <v>#VALUE!</v>
      </c>
      <c r="M1523">
        <v>14.11</v>
      </c>
      <c r="N1523" s="154" t="e">
        <f t="shared" si="228"/>
        <v>#VALUE!</v>
      </c>
      <c r="O1523">
        <v>14.11</v>
      </c>
      <c r="P1523" s="154" t="e">
        <f t="shared" si="229"/>
        <v>#VALUE!</v>
      </c>
      <c r="Q1523">
        <v>14.11</v>
      </c>
      <c r="R1523" s="154" t="e">
        <f t="shared" si="230"/>
        <v>#VALUE!</v>
      </c>
      <c r="S1523">
        <v>14.11</v>
      </c>
      <c r="T1523" s="154" t="e">
        <f t="shared" si="231"/>
        <v>#VALUE!</v>
      </c>
      <c r="U1523">
        <v>14.11</v>
      </c>
      <c r="V1523" s="154" t="e">
        <f t="shared" si="232"/>
        <v>#VALUE!</v>
      </c>
      <c r="W1523">
        <v>14.11</v>
      </c>
      <c r="X1523" s="157" t="e">
        <f t="shared" si="233"/>
        <v>#VALUE!</v>
      </c>
      <c r="Y1523">
        <v>14.11</v>
      </c>
      <c r="Z1523" s="154" t="e">
        <f t="shared" si="234"/>
        <v>#VALUE!</v>
      </c>
      <c r="AA1523">
        <v>14.11</v>
      </c>
      <c r="AB1523" s="154" t="e">
        <f t="shared" si="235"/>
        <v>#VALUE!</v>
      </c>
      <c r="AC1523">
        <v>14.11</v>
      </c>
      <c r="AD1523" s="154" t="e">
        <f t="shared" si="236"/>
        <v>#VALUE!</v>
      </c>
      <c r="AE1523">
        <v>14.11</v>
      </c>
    </row>
    <row r="1524" spans="12:31" ht="15" x14ac:dyDescent="0.2">
      <c r="L1524" s="154" t="e">
        <f t="shared" si="227"/>
        <v>#VALUE!</v>
      </c>
      <c r="M1524">
        <v>14.12</v>
      </c>
      <c r="N1524" s="154" t="e">
        <f t="shared" si="228"/>
        <v>#VALUE!</v>
      </c>
      <c r="O1524">
        <v>14.12</v>
      </c>
      <c r="P1524" s="154" t="e">
        <f t="shared" si="229"/>
        <v>#VALUE!</v>
      </c>
      <c r="Q1524">
        <v>14.12</v>
      </c>
      <c r="R1524" s="154" t="e">
        <f t="shared" si="230"/>
        <v>#VALUE!</v>
      </c>
      <c r="S1524">
        <v>14.12</v>
      </c>
      <c r="T1524" s="154" t="e">
        <f t="shared" si="231"/>
        <v>#VALUE!</v>
      </c>
      <c r="U1524">
        <v>14.12</v>
      </c>
      <c r="V1524" s="154" t="e">
        <f t="shared" si="232"/>
        <v>#VALUE!</v>
      </c>
      <c r="W1524">
        <v>14.12</v>
      </c>
      <c r="X1524" s="157" t="e">
        <f t="shared" si="233"/>
        <v>#VALUE!</v>
      </c>
      <c r="Y1524">
        <v>14.12</v>
      </c>
      <c r="Z1524" s="154" t="e">
        <f t="shared" si="234"/>
        <v>#VALUE!</v>
      </c>
      <c r="AA1524">
        <v>14.12</v>
      </c>
      <c r="AB1524" s="154" t="e">
        <f t="shared" si="235"/>
        <v>#VALUE!</v>
      </c>
      <c r="AC1524">
        <v>14.12</v>
      </c>
      <c r="AD1524" s="154" t="e">
        <f t="shared" si="236"/>
        <v>#VALUE!</v>
      </c>
      <c r="AE1524">
        <v>14.12</v>
      </c>
    </row>
    <row r="1525" spans="12:31" ht="15" x14ac:dyDescent="0.2">
      <c r="L1525" s="154" t="e">
        <f t="shared" si="227"/>
        <v>#VALUE!</v>
      </c>
      <c r="M1525">
        <v>14.13</v>
      </c>
      <c r="N1525" s="154" t="e">
        <f t="shared" si="228"/>
        <v>#VALUE!</v>
      </c>
      <c r="O1525">
        <v>14.13</v>
      </c>
      <c r="P1525" s="154" t="e">
        <f t="shared" si="229"/>
        <v>#VALUE!</v>
      </c>
      <c r="Q1525">
        <v>14.13</v>
      </c>
      <c r="R1525" s="154" t="e">
        <f t="shared" si="230"/>
        <v>#VALUE!</v>
      </c>
      <c r="S1525">
        <v>14.13</v>
      </c>
      <c r="T1525" s="154" t="e">
        <f t="shared" si="231"/>
        <v>#VALUE!</v>
      </c>
      <c r="U1525">
        <v>14.13</v>
      </c>
      <c r="V1525" s="154" t="e">
        <f t="shared" si="232"/>
        <v>#VALUE!</v>
      </c>
      <c r="W1525">
        <v>14.13</v>
      </c>
      <c r="X1525" s="157" t="e">
        <f t="shared" si="233"/>
        <v>#VALUE!</v>
      </c>
      <c r="Y1525">
        <v>14.13</v>
      </c>
      <c r="Z1525" s="154" t="e">
        <f t="shared" si="234"/>
        <v>#VALUE!</v>
      </c>
      <c r="AA1525">
        <v>14.13</v>
      </c>
      <c r="AB1525" s="154" t="e">
        <f t="shared" si="235"/>
        <v>#VALUE!</v>
      </c>
      <c r="AC1525">
        <v>14.13</v>
      </c>
      <c r="AD1525" s="154" t="e">
        <f t="shared" si="236"/>
        <v>#VALUE!</v>
      </c>
      <c r="AE1525">
        <v>14.13</v>
      </c>
    </row>
    <row r="1526" spans="12:31" ht="15" x14ac:dyDescent="0.2">
      <c r="L1526" s="154" t="e">
        <f t="shared" si="227"/>
        <v>#VALUE!</v>
      </c>
      <c r="M1526">
        <v>14.14</v>
      </c>
      <c r="N1526" s="154" t="e">
        <f t="shared" si="228"/>
        <v>#VALUE!</v>
      </c>
      <c r="O1526">
        <v>14.14</v>
      </c>
      <c r="P1526" s="154" t="e">
        <f t="shared" si="229"/>
        <v>#VALUE!</v>
      </c>
      <c r="Q1526">
        <v>14.14</v>
      </c>
      <c r="R1526" s="154" t="e">
        <f t="shared" si="230"/>
        <v>#VALUE!</v>
      </c>
      <c r="S1526">
        <v>14.14</v>
      </c>
      <c r="T1526" s="154" t="e">
        <f t="shared" si="231"/>
        <v>#VALUE!</v>
      </c>
      <c r="U1526">
        <v>14.14</v>
      </c>
      <c r="V1526" s="154" t="e">
        <f t="shared" si="232"/>
        <v>#VALUE!</v>
      </c>
      <c r="W1526">
        <v>14.14</v>
      </c>
      <c r="X1526" s="157" t="e">
        <f t="shared" si="233"/>
        <v>#VALUE!</v>
      </c>
      <c r="Y1526">
        <v>14.14</v>
      </c>
      <c r="Z1526" s="154" t="e">
        <f t="shared" si="234"/>
        <v>#VALUE!</v>
      </c>
      <c r="AA1526">
        <v>14.14</v>
      </c>
      <c r="AB1526" s="154" t="e">
        <f t="shared" si="235"/>
        <v>#VALUE!</v>
      </c>
      <c r="AC1526">
        <v>14.14</v>
      </c>
      <c r="AD1526" s="154" t="e">
        <f t="shared" si="236"/>
        <v>#VALUE!</v>
      </c>
      <c r="AE1526">
        <v>14.14</v>
      </c>
    </row>
    <row r="1527" spans="12:31" ht="15" x14ac:dyDescent="0.2">
      <c r="L1527" s="154" t="e">
        <f t="shared" si="227"/>
        <v>#VALUE!</v>
      </c>
      <c r="M1527">
        <v>14.15</v>
      </c>
      <c r="N1527" s="154" t="e">
        <f t="shared" si="228"/>
        <v>#VALUE!</v>
      </c>
      <c r="O1527">
        <v>14.15</v>
      </c>
      <c r="P1527" s="154" t="e">
        <f t="shared" si="229"/>
        <v>#VALUE!</v>
      </c>
      <c r="Q1527">
        <v>14.15</v>
      </c>
      <c r="R1527" s="154" t="e">
        <f t="shared" si="230"/>
        <v>#VALUE!</v>
      </c>
      <c r="S1527">
        <v>14.15</v>
      </c>
      <c r="T1527" s="154" t="e">
        <f t="shared" si="231"/>
        <v>#VALUE!</v>
      </c>
      <c r="U1527">
        <v>14.15</v>
      </c>
      <c r="V1527" s="154" t="e">
        <f t="shared" si="232"/>
        <v>#VALUE!</v>
      </c>
      <c r="W1527">
        <v>14.15</v>
      </c>
      <c r="X1527" s="157" t="e">
        <f t="shared" si="233"/>
        <v>#VALUE!</v>
      </c>
      <c r="Y1527">
        <v>14.15</v>
      </c>
      <c r="Z1527" s="154" t="e">
        <f t="shared" si="234"/>
        <v>#VALUE!</v>
      </c>
      <c r="AA1527">
        <v>14.15</v>
      </c>
      <c r="AB1527" s="154" t="e">
        <f t="shared" si="235"/>
        <v>#VALUE!</v>
      </c>
      <c r="AC1527">
        <v>14.15</v>
      </c>
      <c r="AD1527" s="154" t="e">
        <f t="shared" si="236"/>
        <v>#VALUE!</v>
      </c>
      <c r="AE1527">
        <v>14.15</v>
      </c>
    </row>
    <row r="1528" spans="12:31" ht="15" x14ac:dyDescent="0.2">
      <c r="L1528" s="154" t="e">
        <f t="shared" si="227"/>
        <v>#VALUE!</v>
      </c>
      <c r="M1528">
        <v>14.16</v>
      </c>
      <c r="N1528" s="154" t="e">
        <f t="shared" si="228"/>
        <v>#VALUE!</v>
      </c>
      <c r="O1528">
        <v>14.16</v>
      </c>
      <c r="P1528" s="154" t="e">
        <f t="shared" si="229"/>
        <v>#VALUE!</v>
      </c>
      <c r="Q1528">
        <v>14.16</v>
      </c>
      <c r="R1528" s="154" t="e">
        <f t="shared" si="230"/>
        <v>#VALUE!</v>
      </c>
      <c r="S1528">
        <v>14.16</v>
      </c>
      <c r="T1528" s="154" t="e">
        <f t="shared" si="231"/>
        <v>#VALUE!</v>
      </c>
      <c r="U1528">
        <v>14.16</v>
      </c>
      <c r="V1528" s="154" t="e">
        <f t="shared" si="232"/>
        <v>#VALUE!</v>
      </c>
      <c r="W1528">
        <v>14.16</v>
      </c>
      <c r="X1528" s="157" t="e">
        <f t="shared" si="233"/>
        <v>#VALUE!</v>
      </c>
      <c r="Y1528">
        <v>14.16</v>
      </c>
      <c r="Z1528" s="154" t="e">
        <f t="shared" si="234"/>
        <v>#VALUE!</v>
      </c>
      <c r="AA1528">
        <v>14.16</v>
      </c>
      <c r="AB1528" s="154" t="e">
        <f t="shared" si="235"/>
        <v>#VALUE!</v>
      </c>
      <c r="AC1528">
        <v>14.16</v>
      </c>
      <c r="AD1528" s="154" t="e">
        <f t="shared" si="236"/>
        <v>#VALUE!</v>
      </c>
      <c r="AE1528">
        <v>14.16</v>
      </c>
    </row>
    <row r="1529" spans="12:31" ht="15" x14ac:dyDescent="0.2">
      <c r="L1529" s="154" t="e">
        <f t="shared" si="227"/>
        <v>#VALUE!</v>
      </c>
      <c r="M1529">
        <v>14.17</v>
      </c>
      <c r="N1529" s="154" t="e">
        <f t="shared" si="228"/>
        <v>#VALUE!</v>
      </c>
      <c r="O1529">
        <v>14.17</v>
      </c>
      <c r="P1529" s="154" t="e">
        <f t="shared" si="229"/>
        <v>#VALUE!</v>
      </c>
      <c r="Q1529">
        <v>14.17</v>
      </c>
      <c r="R1529" s="154" t="e">
        <f t="shared" si="230"/>
        <v>#VALUE!</v>
      </c>
      <c r="S1529">
        <v>14.17</v>
      </c>
      <c r="T1529" s="154" t="e">
        <f t="shared" si="231"/>
        <v>#VALUE!</v>
      </c>
      <c r="U1529">
        <v>14.17</v>
      </c>
      <c r="V1529" s="154" t="e">
        <f t="shared" si="232"/>
        <v>#VALUE!</v>
      </c>
      <c r="W1529">
        <v>14.17</v>
      </c>
      <c r="X1529" s="157" t="e">
        <f t="shared" si="233"/>
        <v>#VALUE!</v>
      </c>
      <c r="Y1529">
        <v>14.17</v>
      </c>
      <c r="Z1529" s="154" t="e">
        <f t="shared" si="234"/>
        <v>#VALUE!</v>
      </c>
      <c r="AA1529">
        <v>14.17</v>
      </c>
      <c r="AB1529" s="154" t="e">
        <f t="shared" si="235"/>
        <v>#VALUE!</v>
      </c>
      <c r="AC1529">
        <v>14.17</v>
      </c>
      <c r="AD1529" s="154" t="e">
        <f t="shared" si="236"/>
        <v>#VALUE!</v>
      </c>
      <c r="AE1529">
        <v>14.17</v>
      </c>
    </row>
    <row r="1530" spans="12:31" ht="15" x14ac:dyDescent="0.2">
      <c r="L1530" s="154" t="e">
        <f t="shared" si="227"/>
        <v>#VALUE!</v>
      </c>
      <c r="M1530">
        <v>14.18</v>
      </c>
      <c r="N1530" s="154" t="e">
        <f t="shared" si="228"/>
        <v>#VALUE!</v>
      </c>
      <c r="O1530">
        <v>14.18</v>
      </c>
      <c r="P1530" s="154" t="e">
        <f t="shared" si="229"/>
        <v>#VALUE!</v>
      </c>
      <c r="Q1530">
        <v>14.18</v>
      </c>
      <c r="R1530" s="154" t="e">
        <f t="shared" si="230"/>
        <v>#VALUE!</v>
      </c>
      <c r="S1530">
        <v>14.18</v>
      </c>
      <c r="T1530" s="154" t="e">
        <f t="shared" si="231"/>
        <v>#VALUE!</v>
      </c>
      <c r="U1530">
        <v>14.18</v>
      </c>
      <c r="V1530" s="154" t="e">
        <f t="shared" si="232"/>
        <v>#VALUE!</v>
      </c>
      <c r="W1530">
        <v>14.18</v>
      </c>
      <c r="X1530" s="157" t="e">
        <f t="shared" si="233"/>
        <v>#VALUE!</v>
      </c>
      <c r="Y1530">
        <v>14.18</v>
      </c>
      <c r="Z1530" s="154" t="e">
        <f t="shared" si="234"/>
        <v>#VALUE!</v>
      </c>
      <c r="AA1530">
        <v>14.18</v>
      </c>
      <c r="AB1530" s="154" t="e">
        <f t="shared" si="235"/>
        <v>#VALUE!</v>
      </c>
      <c r="AC1530">
        <v>14.18</v>
      </c>
      <c r="AD1530" s="154" t="e">
        <f t="shared" si="236"/>
        <v>#VALUE!</v>
      </c>
      <c r="AE1530">
        <v>14.18</v>
      </c>
    </row>
    <row r="1531" spans="12:31" ht="15" x14ac:dyDescent="0.2">
      <c r="L1531" s="154" t="e">
        <f t="shared" si="227"/>
        <v>#VALUE!</v>
      </c>
      <c r="M1531">
        <v>14.19</v>
      </c>
      <c r="N1531" s="154" t="e">
        <f t="shared" si="228"/>
        <v>#VALUE!</v>
      </c>
      <c r="O1531">
        <v>14.19</v>
      </c>
      <c r="P1531" s="154" t="e">
        <f t="shared" si="229"/>
        <v>#VALUE!</v>
      </c>
      <c r="Q1531">
        <v>14.19</v>
      </c>
      <c r="R1531" s="154" t="e">
        <f t="shared" si="230"/>
        <v>#VALUE!</v>
      </c>
      <c r="S1531">
        <v>14.19</v>
      </c>
      <c r="T1531" s="154" t="e">
        <f t="shared" si="231"/>
        <v>#VALUE!</v>
      </c>
      <c r="U1531">
        <v>14.19</v>
      </c>
      <c r="V1531" s="154" t="e">
        <f t="shared" si="232"/>
        <v>#VALUE!</v>
      </c>
      <c r="W1531">
        <v>14.19</v>
      </c>
      <c r="X1531" s="157" t="e">
        <f t="shared" si="233"/>
        <v>#VALUE!</v>
      </c>
      <c r="Y1531">
        <v>14.19</v>
      </c>
      <c r="Z1531" s="154" t="e">
        <f t="shared" si="234"/>
        <v>#VALUE!</v>
      </c>
      <c r="AA1531">
        <v>14.19</v>
      </c>
      <c r="AB1531" s="154" t="e">
        <f t="shared" si="235"/>
        <v>#VALUE!</v>
      </c>
      <c r="AC1531">
        <v>14.19</v>
      </c>
      <c r="AD1531" s="154" t="e">
        <f t="shared" si="236"/>
        <v>#VALUE!</v>
      </c>
      <c r="AE1531">
        <v>14.19</v>
      </c>
    </row>
    <row r="1532" spans="12:31" ht="15" x14ac:dyDescent="0.2">
      <c r="L1532" s="154" t="e">
        <f t="shared" si="227"/>
        <v>#VALUE!</v>
      </c>
      <c r="M1532">
        <v>14.2</v>
      </c>
      <c r="N1532" s="154" t="e">
        <f t="shared" si="228"/>
        <v>#VALUE!</v>
      </c>
      <c r="O1532">
        <v>14.2</v>
      </c>
      <c r="P1532" s="154" t="e">
        <f t="shared" si="229"/>
        <v>#VALUE!</v>
      </c>
      <c r="Q1532">
        <v>14.2</v>
      </c>
      <c r="R1532" s="154" t="e">
        <f t="shared" si="230"/>
        <v>#VALUE!</v>
      </c>
      <c r="S1532">
        <v>14.2</v>
      </c>
      <c r="T1532" s="154" t="e">
        <f t="shared" si="231"/>
        <v>#VALUE!</v>
      </c>
      <c r="U1532">
        <v>14.2</v>
      </c>
      <c r="V1532" s="154" t="e">
        <f t="shared" si="232"/>
        <v>#VALUE!</v>
      </c>
      <c r="W1532">
        <v>14.2</v>
      </c>
      <c r="X1532" s="157" t="e">
        <f t="shared" si="233"/>
        <v>#VALUE!</v>
      </c>
      <c r="Y1532">
        <v>14.2</v>
      </c>
      <c r="Z1532" s="154" t="e">
        <f t="shared" si="234"/>
        <v>#VALUE!</v>
      </c>
      <c r="AA1532">
        <v>14.2</v>
      </c>
      <c r="AB1532" s="154" t="e">
        <f t="shared" si="235"/>
        <v>#VALUE!</v>
      </c>
      <c r="AC1532">
        <v>14.2</v>
      </c>
      <c r="AD1532" s="154" t="e">
        <f t="shared" si="236"/>
        <v>#VALUE!</v>
      </c>
      <c r="AE1532">
        <v>14.2</v>
      </c>
    </row>
    <row r="1533" spans="12:31" ht="15" x14ac:dyDescent="0.2">
      <c r="L1533" s="154" t="e">
        <f t="shared" si="227"/>
        <v>#VALUE!</v>
      </c>
      <c r="M1533">
        <v>14.21</v>
      </c>
      <c r="N1533" s="154" t="e">
        <f t="shared" si="228"/>
        <v>#VALUE!</v>
      </c>
      <c r="O1533">
        <v>14.21</v>
      </c>
      <c r="P1533" s="154" t="e">
        <f t="shared" si="229"/>
        <v>#VALUE!</v>
      </c>
      <c r="Q1533">
        <v>14.21</v>
      </c>
      <c r="R1533" s="154" t="e">
        <f t="shared" si="230"/>
        <v>#VALUE!</v>
      </c>
      <c r="S1533">
        <v>14.21</v>
      </c>
      <c r="T1533" s="154" t="e">
        <f t="shared" si="231"/>
        <v>#VALUE!</v>
      </c>
      <c r="U1533">
        <v>14.21</v>
      </c>
      <c r="V1533" s="154" t="e">
        <f t="shared" si="232"/>
        <v>#VALUE!</v>
      </c>
      <c r="W1533">
        <v>14.21</v>
      </c>
      <c r="X1533" s="157" t="e">
        <f t="shared" si="233"/>
        <v>#VALUE!</v>
      </c>
      <c r="Y1533">
        <v>14.21</v>
      </c>
      <c r="Z1533" s="154" t="e">
        <f t="shared" si="234"/>
        <v>#VALUE!</v>
      </c>
      <c r="AA1533">
        <v>14.21</v>
      </c>
      <c r="AB1533" s="154" t="e">
        <f t="shared" si="235"/>
        <v>#VALUE!</v>
      </c>
      <c r="AC1533">
        <v>14.21</v>
      </c>
      <c r="AD1533" s="154" t="e">
        <f t="shared" si="236"/>
        <v>#VALUE!</v>
      </c>
      <c r="AE1533">
        <v>14.21</v>
      </c>
    </row>
    <row r="1534" spans="12:31" ht="15" x14ac:dyDescent="0.2">
      <c r="L1534" s="154" t="e">
        <f t="shared" si="227"/>
        <v>#VALUE!</v>
      </c>
      <c r="M1534">
        <v>14.22</v>
      </c>
      <c r="N1534" s="154" t="e">
        <f t="shared" si="228"/>
        <v>#VALUE!</v>
      </c>
      <c r="O1534">
        <v>14.22</v>
      </c>
      <c r="P1534" s="154" t="e">
        <f t="shared" si="229"/>
        <v>#VALUE!</v>
      </c>
      <c r="Q1534">
        <v>14.22</v>
      </c>
      <c r="R1534" s="154" t="e">
        <f t="shared" si="230"/>
        <v>#VALUE!</v>
      </c>
      <c r="S1534">
        <v>14.22</v>
      </c>
      <c r="T1534" s="154" t="e">
        <f t="shared" si="231"/>
        <v>#VALUE!</v>
      </c>
      <c r="U1534">
        <v>14.22</v>
      </c>
      <c r="V1534" s="154" t="e">
        <f t="shared" si="232"/>
        <v>#VALUE!</v>
      </c>
      <c r="W1534">
        <v>14.22</v>
      </c>
      <c r="X1534" s="157" t="e">
        <f t="shared" si="233"/>
        <v>#VALUE!</v>
      </c>
      <c r="Y1534">
        <v>14.22</v>
      </c>
      <c r="Z1534" s="154" t="e">
        <f t="shared" si="234"/>
        <v>#VALUE!</v>
      </c>
      <c r="AA1534">
        <v>14.22</v>
      </c>
      <c r="AB1534" s="154" t="e">
        <f t="shared" si="235"/>
        <v>#VALUE!</v>
      </c>
      <c r="AC1534">
        <v>14.22</v>
      </c>
      <c r="AD1534" s="154" t="e">
        <f t="shared" si="236"/>
        <v>#VALUE!</v>
      </c>
      <c r="AE1534">
        <v>14.22</v>
      </c>
    </row>
    <row r="1535" spans="12:31" ht="15" x14ac:dyDescent="0.2">
      <c r="L1535" s="154" t="e">
        <f t="shared" si="227"/>
        <v>#VALUE!</v>
      </c>
      <c r="M1535">
        <v>14.23</v>
      </c>
      <c r="N1535" s="154" t="e">
        <f t="shared" si="228"/>
        <v>#VALUE!</v>
      </c>
      <c r="O1535">
        <v>14.23</v>
      </c>
      <c r="P1535" s="154" t="e">
        <f t="shared" si="229"/>
        <v>#VALUE!</v>
      </c>
      <c r="Q1535">
        <v>14.23</v>
      </c>
      <c r="R1535" s="154" t="e">
        <f t="shared" si="230"/>
        <v>#VALUE!</v>
      </c>
      <c r="S1535">
        <v>14.23</v>
      </c>
      <c r="T1535" s="154" t="e">
        <f t="shared" si="231"/>
        <v>#VALUE!</v>
      </c>
      <c r="U1535">
        <v>14.23</v>
      </c>
      <c r="V1535" s="154" t="e">
        <f t="shared" si="232"/>
        <v>#VALUE!</v>
      </c>
      <c r="W1535">
        <v>14.23</v>
      </c>
      <c r="X1535" s="157" t="e">
        <f t="shared" si="233"/>
        <v>#VALUE!</v>
      </c>
      <c r="Y1535">
        <v>14.23</v>
      </c>
      <c r="Z1535" s="154" t="e">
        <f t="shared" si="234"/>
        <v>#VALUE!</v>
      </c>
      <c r="AA1535">
        <v>14.23</v>
      </c>
      <c r="AB1535" s="154" t="e">
        <f t="shared" si="235"/>
        <v>#VALUE!</v>
      </c>
      <c r="AC1535">
        <v>14.23</v>
      </c>
      <c r="AD1535" s="154" t="e">
        <f t="shared" si="236"/>
        <v>#VALUE!</v>
      </c>
      <c r="AE1535">
        <v>14.23</v>
      </c>
    </row>
    <row r="1536" spans="12:31" ht="15" x14ac:dyDescent="0.2">
      <c r="L1536" s="154" t="e">
        <f t="shared" si="227"/>
        <v>#VALUE!</v>
      </c>
      <c r="M1536">
        <v>14.24</v>
      </c>
      <c r="N1536" s="154" t="e">
        <f t="shared" si="228"/>
        <v>#VALUE!</v>
      </c>
      <c r="O1536">
        <v>14.24</v>
      </c>
      <c r="P1536" s="154" t="e">
        <f t="shared" si="229"/>
        <v>#VALUE!</v>
      </c>
      <c r="Q1536">
        <v>14.24</v>
      </c>
      <c r="R1536" s="154" t="e">
        <f t="shared" si="230"/>
        <v>#VALUE!</v>
      </c>
      <c r="S1536">
        <v>14.24</v>
      </c>
      <c r="T1536" s="154" t="e">
        <f t="shared" si="231"/>
        <v>#VALUE!</v>
      </c>
      <c r="U1536">
        <v>14.24</v>
      </c>
      <c r="V1536" s="154" t="e">
        <f t="shared" si="232"/>
        <v>#VALUE!</v>
      </c>
      <c r="W1536">
        <v>14.24</v>
      </c>
      <c r="X1536" s="157" t="e">
        <f t="shared" si="233"/>
        <v>#VALUE!</v>
      </c>
      <c r="Y1536">
        <v>14.24</v>
      </c>
      <c r="Z1536" s="154" t="e">
        <f t="shared" si="234"/>
        <v>#VALUE!</v>
      </c>
      <c r="AA1536">
        <v>14.24</v>
      </c>
      <c r="AB1536" s="154" t="e">
        <f t="shared" si="235"/>
        <v>#VALUE!</v>
      </c>
      <c r="AC1536">
        <v>14.24</v>
      </c>
      <c r="AD1536" s="154" t="e">
        <f t="shared" si="236"/>
        <v>#VALUE!</v>
      </c>
      <c r="AE1536">
        <v>14.24</v>
      </c>
    </row>
    <row r="1537" spans="12:31" ht="15" x14ac:dyDescent="0.2">
      <c r="L1537" s="154" t="e">
        <f t="shared" si="227"/>
        <v>#VALUE!</v>
      </c>
      <c r="M1537">
        <v>14.25</v>
      </c>
      <c r="N1537" s="154" t="e">
        <f t="shared" si="228"/>
        <v>#VALUE!</v>
      </c>
      <c r="O1537">
        <v>14.25</v>
      </c>
      <c r="P1537" s="154" t="e">
        <f t="shared" si="229"/>
        <v>#VALUE!</v>
      </c>
      <c r="Q1537">
        <v>14.25</v>
      </c>
      <c r="R1537" s="154" t="e">
        <f t="shared" si="230"/>
        <v>#VALUE!</v>
      </c>
      <c r="S1537">
        <v>14.25</v>
      </c>
      <c r="T1537" s="154" t="e">
        <f t="shared" si="231"/>
        <v>#VALUE!</v>
      </c>
      <c r="U1537">
        <v>14.25</v>
      </c>
      <c r="V1537" s="154" t="e">
        <f t="shared" si="232"/>
        <v>#VALUE!</v>
      </c>
      <c r="W1537">
        <v>14.25</v>
      </c>
      <c r="X1537" s="157" t="e">
        <f t="shared" si="233"/>
        <v>#VALUE!</v>
      </c>
      <c r="Y1537">
        <v>14.25</v>
      </c>
      <c r="Z1537" s="154" t="e">
        <f t="shared" si="234"/>
        <v>#VALUE!</v>
      </c>
      <c r="AA1537">
        <v>14.25</v>
      </c>
      <c r="AB1537" s="154" t="e">
        <f t="shared" si="235"/>
        <v>#VALUE!</v>
      </c>
      <c r="AC1537">
        <v>14.25</v>
      </c>
      <c r="AD1537" s="154" t="e">
        <f t="shared" si="236"/>
        <v>#VALUE!</v>
      </c>
      <c r="AE1537">
        <v>14.25</v>
      </c>
    </row>
    <row r="1538" spans="12:31" ht="15" x14ac:dyDescent="0.2">
      <c r="L1538" s="154" t="e">
        <f t="shared" si="227"/>
        <v>#VALUE!</v>
      </c>
      <c r="M1538">
        <v>14.26</v>
      </c>
      <c r="N1538" s="154" t="e">
        <f t="shared" si="228"/>
        <v>#VALUE!</v>
      </c>
      <c r="O1538">
        <v>14.26</v>
      </c>
      <c r="P1538" s="154" t="e">
        <f t="shared" si="229"/>
        <v>#VALUE!</v>
      </c>
      <c r="Q1538">
        <v>14.26</v>
      </c>
      <c r="R1538" s="154" t="e">
        <f t="shared" si="230"/>
        <v>#VALUE!</v>
      </c>
      <c r="S1538">
        <v>14.26</v>
      </c>
      <c r="T1538" s="154" t="e">
        <f t="shared" si="231"/>
        <v>#VALUE!</v>
      </c>
      <c r="U1538">
        <v>14.26</v>
      </c>
      <c r="V1538" s="154" t="e">
        <f t="shared" si="232"/>
        <v>#VALUE!</v>
      </c>
      <c r="W1538">
        <v>14.26</v>
      </c>
      <c r="X1538" s="157" t="e">
        <f t="shared" si="233"/>
        <v>#VALUE!</v>
      </c>
      <c r="Y1538">
        <v>14.26</v>
      </c>
      <c r="Z1538" s="154" t="e">
        <f t="shared" si="234"/>
        <v>#VALUE!</v>
      </c>
      <c r="AA1538">
        <v>14.26</v>
      </c>
      <c r="AB1538" s="154" t="e">
        <f t="shared" si="235"/>
        <v>#VALUE!</v>
      </c>
      <c r="AC1538">
        <v>14.26</v>
      </c>
      <c r="AD1538" s="154" t="e">
        <f t="shared" si="236"/>
        <v>#VALUE!</v>
      </c>
      <c r="AE1538">
        <v>14.26</v>
      </c>
    </row>
    <row r="1539" spans="12:31" ht="15" x14ac:dyDescent="0.2">
      <c r="L1539" s="154" t="e">
        <f t="shared" si="227"/>
        <v>#VALUE!</v>
      </c>
      <c r="M1539">
        <v>14.27</v>
      </c>
      <c r="N1539" s="154" t="e">
        <f t="shared" si="228"/>
        <v>#VALUE!</v>
      </c>
      <c r="O1539">
        <v>14.27</v>
      </c>
      <c r="P1539" s="154" t="e">
        <f t="shared" si="229"/>
        <v>#VALUE!</v>
      </c>
      <c r="Q1539">
        <v>14.27</v>
      </c>
      <c r="R1539" s="154" t="e">
        <f t="shared" si="230"/>
        <v>#VALUE!</v>
      </c>
      <c r="S1539">
        <v>14.27</v>
      </c>
      <c r="T1539" s="154" t="e">
        <f t="shared" si="231"/>
        <v>#VALUE!</v>
      </c>
      <c r="U1539">
        <v>14.27</v>
      </c>
      <c r="V1539" s="154" t="e">
        <f t="shared" si="232"/>
        <v>#VALUE!</v>
      </c>
      <c r="W1539">
        <v>14.27</v>
      </c>
      <c r="X1539" s="157" t="e">
        <f t="shared" si="233"/>
        <v>#VALUE!</v>
      </c>
      <c r="Y1539">
        <v>14.27</v>
      </c>
      <c r="Z1539" s="154" t="e">
        <f t="shared" si="234"/>
        <v>#VALUE!</v>
      </c>
      <c r="AA1539">
        <v>14.27</v>
      </c>
      <c r="AB1539" s="154" t="e">
        <f t="shared" si="235"/>
        <v>#VALUE!</v>
      </c>
      <c r="AC1539">
        <v>14.27</v>
      </c>
      <c r="AD1539" s="154" t="e">
        <f t="shared" si="236"/>
        <v>#VALUE!</v>
      </c>
      <c r="AE1539">
        <v>14.27</v>
      </c>
    </row>
    <row r="1540" spans="12:31" ht="15" x14ac:dyDescent="0.2">
      <c r="L1540" s="154" t="e">
        <f t="shared" si="227"/>
        <v>#VALUE!</v>
      </c>
      <c r="M1540">
        <v>14.28</v>
      </c>
      <c r="N1540" s="154" t="e">
        <f t="shared" si="228"/>
        <v>#VALUE!</v>
      </c>
      <c r="O1540">
        <v>14.28</v>
      </c>
      <c r="P1540" s="154" t="e">
        <f t="shared" si="229"/>
        <v>#VALUE!</v>
      </c>
      <c r="Q1540">
        <v>14.28</v>
      </c>
      <c r="R1540" s="154" t="e">
        <f t="shared" si="230"/>
        <v>#VALUE!</v>
      </c>
      <c r="S1540">
        <v>14.28</v>
      </c>
      <c r="T1540" s="154" t="e">
        <f t="shared" si="231"/>
        <v>#VALUE!</v>
      </c>
      <c r="U1540">
        <v>14.28</v>
      </c>
      <c r="V1540" s="154" t="e">
        <f t="shared" si="232"/>
        <v>#VALUE!</v>
      </c>
      <c r="W1540">
        <v>14.28</v>
      </c>
      <c r="X1540" s="157" t="e">
        <f t="shared" si="233"/>
        <v>#VALUE!</v>
      </c>
      <c r="Y1540">
        <v>14.28</v>
      </c>
      <c r="Z1540" s="154" t="e">
        <f t="shared" si="234"/>
        <v>#VALUE!</v>
      </c>
      <c r="AA1540">
        <v>14.28</v>
      </c>
      <c r="AB1540" s="154" t="e">
        <f t="shared" si="235"/>
        <v>#VALUE!</v>
      </c>
      <c r="AC1540">
        <v>14.28</v>
      </c>
      <c r="AD1540" s="154" t="e">
        <f t="shared" si="236"/>
        <v>#VALUE!</v>
      </c>
      <c r="AE1540">
        <v>14.28</v>
      </c>
    </row>
    <row r="1541" spans="12:31" ht="15" x14ac:dyDescent="0.2">
      <c r="L1541" s="154" t="e">
        <f t="shared" si="227"/>
        <v>#VALUE!</v>
      </c>
      <c r="M1541">
        <v>14.29</v>
      </c>
      <c r="N1541" s="154" t="e">
        <f t="shared" si="228"/>
        <v>#VALUE!</v>
      </c>
      <c r="O1541">
        <v>14.29</v>
      </c>
      <c r="P1541" s="154" t="e">
        <f t="shared" si="229"/>
        <v>#VALUE!</v>
      </c>
      <c r="Q1541">
        <v>14.29</v>
      </c>
      <c r="R1541" s="154" t="e">
        <f t="shared" si="230"/>
        <v>#VALUE!</v>
      </c>
      <c r="S1541">
        <v>14.29</v>
      </c>
      <c r="T1541" s="154" t="e">
        <f t="shared" si="231"/>
        <v>#VALUE!</v>
      </c>
      <c r="U1541">
        <v>14.29</v>
      </c>
      <c r="V1541" s="154" t="e">
        <f t="shared" si="232"/>
        <v>#VALUE!</v>
      </c>
      <c r="W1541">
        <v>14.29</v>
      </c>
      <c r="X1541" s="157" t="e">
        <f t="shared" si="233"/>
        <v>#VALUE!</v>
      </c>
      <c r="Y1541">
        <v>14.29</v>
      </c>
      <c r="Z1541" s="154" t="e">
        <f t="shared" si="234"/>
        <v>#VALUE!</v>
      </c>
      <c r="AA1541">
        <v>14.29</v>
      </c>
      <c r="AB1541" s="154" t="e">
        <f t="shared" si="235"/>
        <v>#VALUE!</v>
      </c>
      <c r="AC1541">
        <v>14.29</v>
      </c>
      <c r="AD1541" s="154" t="e">
        <f t="shared" si="236"/>
        <v>#VALUE!</v>
      </c>
      <c r="AE1541">
        <v>14.29</v>
      </c>
    </row>
    <row r="1542" spans="12:31" ht="15" x14ac:dyDescent="0.2">
      <c r="L1542" s="154" t="e">
        <f t="shared" si="227"/>
        <v>#VALUE!</v>
      </c>
      <c r="M1542">
        <v>14.3</v>
      </c>
      <c r="N1542" s="154" t="e">
        <f t="shared" si="228"/>
        <v>#VALUE!</v>
      </c>
      <c r="O1542">
        <v>14.3</v>
      </c>
      <c r="P1542" s="154" t="e">
        <f t="shared" si="229"/>
        <v>#VALUE!</v>
      </c>
      <c r="Q1542">
        <v>14.3</v>
      </c>
      <c r="R1542" s="154" t="e">
        <f t="shared" si="230"/>
        <v>#VALUE!</v>
      </c>
      <c r="S1542">
        <v>14.3</v>
      </c>
      <c r="T1542" s="154" t="e">
        <f t="shared" si="231"/>
        <v>#VALUE!</v>
      </c>
      <c r="U1542">
        <v>14.3</v>
      </c>
      <c r="V1542" s="154" t="e">
        <f t="shared" si="232"/>
        <v>#VALUE!</v>
      </c>
      <c r="W1542">
        <v>14.3</v>
      </c>
      <c r="X1542" s="157" t="e">
        <f t="shared" si="233"/>
        <v>#VALUE!</v>
      </c>
      <c r="Y1542">
        <v>14.3</v>
      </c>
      <c r="Z1542" s="154" t="e">
        <f t="shared" si="234"/>
        <v>#VALUE!</v>
      </c>
      <c r="AA1542">
        <v>14.3</v>
      </c>
      <c r="AB1542" s="154" t="e">
        <f t="shared" si="235"/>
        <v>#VALUE!</v>
      </c>
      <c r="AC1542">
        <v>14.3</v>
      </c>
      <c r="AD1542" s="154" t="e">
        <f t="shared" si="236"/>
        <v>#VALUE!</v>
      </c>
      <c r="AE1542">
        <v>14.3</v>
      </c>
    </row>
    <row r="1543" spans="12:31" ht="15" x14ac:dyDescent="0.2">
      <c r="L1543" s="154" t="e">
        <f t="shared" si="227"/>
        <v>#VALUE!</v>
      </c>
      <c r="M1543">
        <v>14.31</v>
      </c>
      <c r="N1543" s="154" t="e">
        <f t="shared" si="228"/>
        <v>#VALUE!</v>
      </c>
      <c r="O1543">
        <v>14.31</v>
      </c>
      <c r="P1543" s="154" t="e">
        <f t="shared" si="229"/>
        <v>#VALUE!</v>
      </c>
      <c r="Q1543">
        <v>14.31</v>
      </c>
      <c r="R1543" s="154" t="e">
        <f t="shared" si="230"/>
        <v>#VALUE!</v>
      </c>
      <c r="S1543">
        <v>14.31</v>
      </c>
      <c r="T1543" s="154" t="e">
        <f t="shared" si="231"/>
        <v>#VALUE!</v>
      </c>
      <c r="U1543">
        <v>14.31</v>
      </c>
      <c r="V1543" s="154" t="e">
        <f t="shared" si="232"/>
        <v>#VALUE!</v>
      </c>
      <c r="W1543">
        <v>14.31</v>
      </c>
      <c r="X1543" s="157" t="e">
        <f t="shared" si="233"/>
        <v>#VALUE!</v>
      </c>
      <c r="Y1543">
        <v>14.31</v>
      </c>
      <c r="Z1543" s="154" t="e">
        <f t="shared" si="234"/>
        <v>#VALUE!</v>
      </c>
      <c r="AA1543">
        <v>14.31</v>
      </c>
      <c r="AB1543" s="154" t="e">
        <f t="shared" si="235"/>
        <v>#VALUE!</v>
      </c>
      <c r="AC1543">
        <v>14.31</v>
      </c>
      <c r="AD1543" s="154" t="e">
        <f t="shared" si="236"/>
        <v>#VALUE!</v>
      </c>
      <c r="AE1543">
        <v>14.31</v>
      </c>
    </row>
    <row r="1544" spans="12:31" ht="15" x14ac:dyDescent="0.2">
      <c r="L1544" s="154" t="e">
        <f t="shared" si="227"/>
        <v>#VALUE!</v>
      </c>
      <c r="M1544">
        <v>14.32</v>
      </c>
      <c r="N1544" s="154" t="e">
        <f t="shared" si="228"/>
        <v>#VALUE!</v>
      </c>
      <c r="O1544">
        <v>14.32</v>
      </c>
      <c r="P1544" s="154" t="e">
        <f t="shared" si="229"/>
        <v>#VALUE!</v>
      </c>
      <c r="Q1544">
        <v>14.32</v>
      </c>
      <c r="R1544" s="154" t="e">
        <f t="shared" si="230"/>
        <v>#VALUE!</v>
      </c>
      <c r="S1544">
        <v>14.32</v>
      </c>
      <c r="T1544" s="154" t="e">
        <f t="shared" si="231"/>
        <v>#VALUE!</v>
      </c>
      <c r="U1544">
        <v>14.32</v>
      </c>
      <c r="V1544" s="154" t="e">
        <f t="shared" si="232"/>
        <v>#VALUE!</v>
      </c>
      <c r="W1544">
        <v>14.32</v>
      </c>
      <c r="X1544" s="157" t="e">
        <f t="shared" si="233"/>
        <v>#VALUE!</v>
      </c>
      <c r="Y1544">
        <v>14.32</v>
      </c>
      <c r="Z1544" s="154" t="e">
        <f t="shared" si="234"/>
        <v>#VALUE!</v>
      </c>
      <c r="AA1544">
        <v>14.32</v>
      </c>
      <c r="AB1544" s="154" t="e">
        <f t="shared" si="235"/>
        <v>#VALUE!</v>
      </c>
      <c r="AC1544">
        <v>14.32</v>
      </c>
      <c r="AD1544" s="154" t="e">
        <f t="shared" si="236"/>
        <v>#VALUE!</v>
      </c>
      <c r="AE1544">
        <v>14.32</v>
      </c>
    </row>
    <row r="1545" spans="12:31" ht="15" x14ac:dyDescent="0.2">
      <c r="L1545" s="154" t="e">
        <f t="shared" si="227"/>
        <v>#VALUE!</v>
      </c>
      <c r="M1545">
        <v>14.33</v>
      </c>
      <c r="N1545" s="154" t="e">
        <f t="shared" si="228"/>
        <v>#VALUE!</v>
      </c>
      <c r="O1545">
        <v>14.33</v>
      </c>
      <c r="P1545" s="154" t="e">
        <f t="shared" si="229"/>
        <v>#VALUE!</v>
      </c>
      <c r="Q1545">
        <v>14.33</v>
      </c>
      <c r="R1545" s="154" t="e">
        <f t="shared" si="230"/>
        <v>#VALUE!</v>
      </c>
      <c r="S1545">
        <v>14.33</v>
      </c>
      <c r="T1545" s="154" t="e">
        <f t="shared" si="231"/>
        <v>#VALUE!</v>
      </c>
      <c r="U1545">
        <v>14.33</v>
      </c>
      <c r="V1545" s="154" t="e">
        <f t="shared" si="232"/>
        <v>#VALUE!</v>
      </c>
      <c r="W1545">
        <v>14.33</v>
      </c>
      <c r="X1545" s="157" t="e">
        <f t="shared" si="233"/>
        <v>#VALUE!</v>
      </c>
      <c r="Y1545">
        <v>14.33</v>
      </c>
      <c r="Z1545" s="154" t="e">
        <f t="shared" si="234"/>
        <v>#VALUE!</v>
      </c>
      <c r="AA1545">
        <v>14.33</v>
      </c>
      <c r="AB1545" s="154" t="e">
        <f t="shared" si="235"/>
        <v>#VALUE!</v>
      </c>
      <c r="AC1545">
        <v>14.33</v>
      </c>
      <c r="AD1545" s="154" t="e">
        <f t="shared" si="236"/>
        <v>#VALUE!</v>
      </c>
      <c r="AE1545">
        <v>14.33</v>
      </c>
    </row>
    <row r="1546" spans="12:31" ht="15" x14ac:dyDescent="0.2">
      <c r="L1546" s="154" t="e">
        <f t="shared" si="227"/>
        <v>#VALUE!</v>
      </c>
      <c r="M1546">
        <v>14.34</v>
      </c>
      <c r="N1546" s="154" t="e">
        <f t="shared" si="228"/>
        <v>#VALUE!</v>
      </c>
      <c r="O1546">
        <v>14.34</v>
      </c>
      <c r="P1546" s="154" t="e">
        <f t="shared" si="229"/>
        <v>#VALUE!</v>
      </c>
      <c r="Q1546">
        <v>14.34</v>
      </c>
      <c r="R1546" s="154" t="e">
        <f t="shared" si="230"/>
        <v>#VALUE!</v>
      </c>
      <c r="S1546">
        <v>14.34</v>
      </c>
      <c r="T1546" s="154" t="e">
        <f t="shared" si="231"/>
        <v>#VALUE!</v>
      </c>
      <c r="U1546">
        <v>14.34</v>
      </c>
      <c r="V1546" s="154" t="e">
        <f t="shared" si="232"/>
        <v>#VALUE!</v>
      </c>
      <c r="W1546">
        <v>14.34</v>
      </c>
      <c r="X1546" s="157" t="e">
        <f t="shared" si="233"/>
        <v>#VALUE!</v>
      </c>
      <c r="Y1546">
        <v>14.34</v>
      </c>
      <c r="Z1546" s="154" t="e">
        <f t="shared" si="234"/>
        <v>#VALUE!</v>
      </c>
      <c r="AA1546">
        <v>14.34</v>
      </c>
      <c r="AB1546" s="154" t="e">
        <f t="shared" si="235"/>
        <v>#VALUE!</v>
      </c>
      <c r="AC1546">
        <v>14.34</v>
      </c>
      <c r="AD1546" s="154" t="e">
        <f t="shared" si="236"/>
        <v>#VALUE!</v>
      </c>
      <c r="AE1546">
        <v>14.34</v>
      </c>
    </row>
    <row r="1547" spans="12:31" ht="15" x14ac:dyDescent="0.2">
      <c r="L1547" s="154" t="e">
        <f t="shared" si="227"/>
        <v>#VALUE!</v>
      </c>
      <c r="M1547">
        <v>14.35</v>
      </c>
      <c r="N1547" s="154" t="e">
        <f t="shared" si="228"/>
        <v>#VALUE!</v>
      </c>
      <c r="O1547">
        <v>14.35</v>
      </c>
      <c r="P1547" s="154" t="e">
        <f t="shared" si="229"/>
        <v>#VALUE!</v>
      </c>
      <c r="Q1547">
        <v>14.35</v>
      </c>
      <c r="R1547" s="154" t="e">
        <f t="shared" si="230"/>
        <v>#VALUE!</v>
      </c>
      <c r="S1547">
        <v>14.35</v>
      </c>
      <c r="T1547" s="154" t="e">
        <f t="shared" si="231"/>
        <v>#VALUE!</v>
      </c>
      <c r="U1547">
        <v>14.35</v>
      </c>
      <c r="V1547" s="154" t="e">
        <f t="shared" si="232"/>
        <v>#VALUE!</v>
      </c>
      <c r="W1547">
        <v>14.35</v>
      </c>
      <c r="X1547" s="157" t="e">
        <f t="shared" si="233"/>
        <v>#VALUE!</v>
      </c>
      <c r="Y1547">
        <v>14.35</v>
      </c>
      <c r="Z1547" s="154" t="e">
        <f t="shared" si="234"/>
        <v>#VALUE!</v>
      </c>
      <c r="AA1547">
        <v>14.35</v>
      </c>
      <c r="AB1547" s="154" t="e">
        <f t="shared" si="235"/>
        <v>#VALUE!</v>
      </c>
      <c r="AC1547">
        <v>14.35</v>
      </c>
      <c r="AD1547" s="154" t="e">
        <f t="shared" si="236"/>
        <v>#VALUE!</v>
      </c>
      <c r="AE1547">
        <v>14.35</v>
      </c>
    </row>
    <row r="1548" spans="12:31" ht="15" x14ac:dyDescent="0.2">
      <c r="L1548" s="154" t="e">
        <f t="shared" si="227"/>
        <v>#VALUE!</v>
      </c>
      <c r="M1548">
        <v>14.36</v>
      </c>
      <c r="N1548" s="154" t="e">
        <f t="shared" si="228"/>
        <v>#VALUE!</v>
      </c>
      <c r="O1548">
        <v>14.36</v>
      </c>
      <c r="P1548" s="154" t="e">
        <f t="shared" si="229"/>
        <v>#VALUE!</v>
      </c>
      <c r="Q1548">
        <v>14.36</v>
      </c>
      <c r="R1548" s="154" t="e">
        <f t="shared" si="230"/>
        <v>#VALUE!</v>
      </c>
      <c r="S1548">
        <v>14.36</v>
      </c>
      <c r="T1548" s="154" t="e">
        <f t="shared" si="231"/>
        <v>#VALUE!</v>
      </c>
      <c r="U1548">
        <v>14.36</v>
      </c>
      <c r="V1548" s="154" t="e">
        <f t="shared" si="232"/>
        <v>#VALUE!</v>
      </c>
      <c r="W1548">
        <v>14.36</v>
      </c>
      <c r="X1548" s="157" t="e">
        <f t="shared" si="233"/>
        <v>#VALUE!</v>
      </c>
      <c r="Y1548">
        <v>14.36</v>
      </c>
      <c r="Z1548" s="154" t="e">
        <f t="shared" si="234"/>
        <v>#VALUE!</v>
      </c>
      <c r="AA1548">
        <v>14.36</v>
      </c>
      <c r="AB1548" s="154" t="e">
        <f t="shared" si="235"/>
        <v>#VALUE!</v>
      </c>
      <c r="AC1548">
        <v>14.36</v>
      </c>
      <c r="AD1548" s="154" t="e">
        <f t="shared" si="236"/>
        <v>#VALUE!</v>
      </c>
      <c r="AE1548">
        <v>14.36</v>
      </c>
    </row>
    <row r="1549" spans="12:31" ht="15" x14ac:dyDescent="0.2">
      <c r="L1549" s="154" t="e">
        <f t="shared" si="227"/>
        <v>#VALUE!</v>
      </c>
      <c r="M1549">
        <v>14.37</v>
      </c>
      <c r="N1549" s="154" t="e">
        <f t="shared" si="228"/>
        <v>#VALUE!</v>
      </c>
      <c r="O1549">
        <v>14.37</v>
      </c>
      <c r="P1549" s="154" t="e">
        <f t="shared" si="229"/>
        <v>#VALUE!</v>
      </c>
      <c r="Q1549">
        <v>14.37</v>
      </c>
      <c r="R1549" s="154" t="e">
        <f t="shared" si="230"/>
        <v>#VALUE!</v>
      </c>
      <c r="S1549">
        <v>14.37</v>
      </c>
      <c r="T1549" s="154" t="e">
        <f t="shared" si="231"/>
        <v>#VALUE!</v>
      </c>
      <c r="U1549">
        <v>14.37</v>
      </c>
      <c r="V1549" s="154" t="e">
        <f t="shared" si="232"/>
        <v>#VALUE!</v>
      </c>
      <c r="W1549">
        <v>14.37</v>
      </c>
      <c r="X1549" s="157" t="e">
        <f t="shared" si="233"/>
        <v>#VALUE!</v>
      </c>
      <c r="Y1549">
        <v>14.37</v>
      </c>
      <c r="Z1549" s="154" t="e">
        <f t="shared" si="234"/>
        <v>#VALUE!</v>
      </c>
      <c r="AA1549">
        <v>14.37</v>
      </c>
      <c r="AB1549" s="154" t="e">
        <f t="shared" si="235"/>
        <v>#VALUE!</v>
      </c>
      <c r="AC1549">
        <v>14.37</v>
      </c>
      <c r="AD1549" s="154" t="e">
        <f t="shared" si="236"/>
        <v>#VALUE!</v>
      </c>
      <c r="AE1549">
        <v>14.37</v>
      </c>
    </row>
    <row r="1550" spans="12:31" ht="15" x14ac:dyDescent="0.2">
      <c r="L1550" s="154" t="e">
        <f t="shared" si="227"/>
        <v>#VALUE!</v>
      </c>
      <c r="M1550">
        <v>14.38</v>
      </c>
      <c r="N1550" s="154" t="e">
        <f t="shared" si="228"/>
        <v>#VALUE!</v>
      </c>
      <c r="O1550">
        <v>14.38</v>
      </c>
      <c r="P1550" s="154" t="e">
        <f t="shared" si="229"/>
        <v>#VALUE!</v>
      </c>
      <c r="Q1550">
        <v>14.38</v>
      </c>
      <c r="R1550" s="154" t="e">
        <f t="shared" si="230"/>
        <v>#VALUE!</v>
      </c>
      <c r="S1550">
        <v>14.38</v>
      </c>
      <c r="T1550" s="154" t="e">
        <f t="shared" si="231"/>
        <v>#VALUE!</v>
      </c>
      <c r="U1550">
        <v>14.38</v>
      </c>
      <c r="V1550" s="154" t="e">
        <f t="shared" si="232"/>
        <v>#VALUE!</v>
      </c>
      <c r="W1550">
        <v>14.38</v>
      </c>
      <c r="X1550" s="157" t="e">
        <f t="shared" si="233"/>
        <v>#VALUE!</v>
      </c>
      <c r="Y1550">
        <v>14.38</v>
      </c>
      <c r="Z1550" s="154" t="e">
        <f t="shared" si="234"/>
        <v>#VALUE!</v>
      </c>
      <c r="AA1550">
        <v>14.38</v>
      </c>
      <c r="AB1550" s="154" t="e">
        <f t="shared" si="235"/>
        <v>#VALUE!</v>
      </c>
      <c r="AC1550">
        <v>14.38</v>
      </c>
      <c r="AD1550" s="154" t="e">
        <f t="shared" si="236"/>
        <v>#VALUE!</v>
      </c>
      <c r="AE1550">
        <v>14.38</v>
      </c>
    </row>
    <row r="1551" spans="12:31" ht="15" x14ac:dyDescent="0.2">
      <c r="L1551" s="154" t="e">
        <f t="shared" si="227"/>
        <v>#VALUE!</v>
      </c>
      <c r="M1551">
        <v>14.39</v>
      </c>
      <c r="N1551" s="154" t="e">
        <f t="shared" si="228"/>
        <v>#VALUE!</v>
      </c>
      <c r="O1551">
        <v>14.39</v>
      </c>
      <c r="P1551" s="154" t="e">
        <f t="shared" si="229"/>
        <v>#VALUE!</v>
      </c>
      <c r="Q1551">
        <v>14.39</v>
      </c>
      <c r="R1551" s="154" t="e">
        <f t="shared" si="230"/>
        <v>#VALUE!</v>
      </c>
      <c r="S1551">
        <v>14.39</v>
      </c>
      <c r="T1551" s="154" t="e">
        <f t="shared" si="231"/>
        <v>#VALUE!</v>
      </c>
      <c r="U1551">
        <v>14.39</v>
      </c>
      <c r="V1551" s="154" t="e">
        <f t="shared" si="232"/>
        <v>#VALUE!</v>
      </c>
      <c r="W1551">
        <v>14.39</v>
      </c>
      <c r="X1551" s="157" t="e">
        <f t="shared" si="233"/>
        <v>#VALUE!</v>
      </c>
      <c r="Y1551">
        <v>14.39</v>
      </c>
      <c r="Z1551" s="154" t="e">
        <f t="shared" si="234"/>
        <v>#VALUE!</v>
      </c>
      <c r="AA1551">
        <v>14.39</v>
      </c>
      <c r="AB1551" s="154" t="e">
        <f t="shared" si="235"/>
        <v>#VALUE!</v>
      </c>
      <c r="AC1551">
        <v>14.39</v>
      </c>
      <c r="AD1551" s="154" t="e">
        <f t="shared" si="236"/>
        <v>#VALUE!</v>
      </c>
      <c r="AE1551">
        <v>14.39</v>
      </c>
    </row>
    <row r="1552" spans="12:31" ht="15" x14ac:dyDescent="0.2">
      <c r="L1552" s="154" t="e">
        <f t="shared" si="227"/>
        <v>#VALUE!</v>
      </c>
      <c r="M1552">
        <v>14.4</v>
      </c>
      <c r="N1552" s="154" t="e">
        <f t="shared" si="228"/>
        <v>#VALUE!</v>
      </c>
      <c r="O1552">
        <v>14.4</v>
      </c>
      <c r="P1552" s="154" t="e">
        <f t="shared" si="229"/>
        <v>#VALUE!</v>
      </c>
      <c r="Q1552">
        <v>14.4</v>
      </c>
      <c r="R1552" s="154" t="e">
        <f t="shared" si="230"/>
        <v>#VALUE!</v>
      </c>
      <c r="S1552">
        <v>14.4</v>
      </c>
      <c r="T1552" s="154" t="e">
        <f t="shared" si="231"/>
        <v>#VALUE!</v>
      </c>
      <c r="U1552">
        <v>14.4</v>
      </c>
      <c r="V1552" s="154" t="e">
        <f t="shared" si="232"/>
        <v>#VALUE!</v>
      </c>
      <c r="W1552">
        <v>14.4</v>
      </c>
      <c r="X1552" s="157" t="e">
        <f t="shared" si="233"/>
        <v>#VALUE!</v>
      </c>
      <c r="Y1552">
        <v>14.4</v>
      </c>
      <c r="Z1552" s="154" t="e">
        <f t="shared" si="234"/>
        <v>#VALUE!</v>
      </c>
      <c r="AA1552">
        <v>14.4</v>
      </c>
      <c r="AB1552" s="154" t="e">
        <f t="shared" si="235"/>
        <v>#VALUE!</v>
      </c>
      <c r="AC1552">
        <v>14.4</v>
      </c>
      <c r="AD1552" s="154" t="e">
        <f t="shared" si="236"/>
        <v>#VALUE!</v>
      </c>
      <c r="AE1552">
        <v>14.4</v>
      </c>
    </row>
    <row r="1553" spans="12:31" ht="15" x14ac:dyDescent="0.2">
      <c r="L1553" s="154" t="e">
        <f t="shared" si="227"/>
        <v>#VALUE!</v>
      </c>
      <c r="M1553">
        <v>14.41</v>
      </c>
      <c r="N1553" s="154" t="e">
        <f t="shared" si="228"/>
        <v>#VALUE!</v>
      </c>
      <c r="O1553">
        <v>14.41</v>
      </c>
      <c r="P1553" s="154" t="e">
        <f t="shared" si="229"/>
        <v>#VALUE!</v>
      </c>
      <c r="Q1553">
        <v>14.41</v>
      </c>
      <c r="R1553" s="154" t="e">
        <f t="shared" si="230"/>
        <v>#VALUE!</v>
      </c>
      <c r="S1553">
        <v>14.41</v>
      </c>
      <c r="T1553" s="154" t="e">
        <f t="shared" si="231"/>
        <v>#VALUE!</v>
      </c>
      <c r="U1553">
        <v>14.41</v>
      </c>
      <c r="V1553" s="154" t="e">
        <f t="shared" si="232"/>
        <v>#VALUE!</v>
      </c>
      <c r="W1553">
        <v>14.41</v>
      </c>
      <c r="X1553" s="157" t="e">
        <f t="shared" si="233"/>
        <v>#VALUE!</v>
      </c>
      <c r="Y1553">
        <v>14.41</v>
      </c>
      <c r="Z1553" s="154" t="e">
        <f t="shared" si="234"/>
        <v>#VALUE!</v>
      </c>
      <c r="AA1553">
        <v>14.41</v>
      </c>
      <c r="AB1553" s="154" t="e">
        <f t="shared" si="235"/>
        <v>#VALUE!</v>
      </c>
      <c r="AC1553">
        <v>14.41</v>
      </c>
      <c r="AD1553" s="154" t="e">
        <f t="shared" si="236"/>
        <v>#VALUE!</v>
      </c>
      <c r="AE1553">
        <v>14.41</v>
      </c>
    </row>
    <row r="1554" spans="12:31" ht="15" x14ac:dyDescent="0.2">
      <c r="L1554" s="154" t="e">
        <f t="shared" si="227"/>
        <v>#VALUE!</v>
      </c>
      <c r="M1554">
        <v>14.42</v>
      </c>
      <c r="N1554" s="154" t="e">
        <f t="shared" si="228"/>
        <v>#VALUE!</v>
      </c>
      <c r="O1554">
        <v>14.42</v>
      </c>
      <c r="P1554" s="154" t="e">
        <f t="shared" si="229"/>
        <v>#VALUE!</v>
      </c>
      <c r="Q1554">
        <v>14.42</v>
      </c>
      <c r="R1554" s="154" t="e">
        <f t="shared" si="230"/>
        <v>#VALUE!</v>
      </c>
      <c r="S1554">
        <v>14.42</v>
      </c>
      <c r="T1554" s="154" t="e">
        <f t="shared" si="231"/>
        <v>#VALUE!</v>
      </c>
      <c r="U1554">
        <v>14.42</v>
      </c>
      <c r="V1554" s="154" t="e">
        <f t="shared" si="232"/>
        <v>#VALUE!</v>
      </c>
      <c r="W1554">
        <v>14.42</v>
      </c>
      <c r="X1554" s="157" t="e">
        <f t="shared" si="233"/>
        <v>#VALUE!</v>
      </c>
      <c r="Y1554">
        <v>14.42</v>
      </c>
      <c r="Z1554" s="154" t="e">
        <f t="shared" si="234"/>
        <v>#VALUE!</v>
      </c>
      <c r="AA1554">
        <v>14.42</v>
      </c>
      <c r="AB1554" s="154" t="e">
        <f t="shared" si="235"/>
        <v>#VALUE!</v>
      </c>
      <c r="AC1554">
        <v>14.42</v>
      </c>
      <c r="AD1554" s="154" t="e">
        <f t="shared" si="236"/>
        <v>#VALUE!</v>
      </c>
      <c r="AE1554">
        <v>14.42</v>
      </c>
    </row>
    <row r="1555" spans="12:31" ht="15" x14ac:dyDescent="0.2">
      <c r="L1555" s="154" t="e">
        <f t="shared" si="227"/>
        <v>#VALUE!</v>
      </c>
      <c r="M1555">
        <v>14.43</v>
      </c>
      <c r="N1555" s="154" t="e">
        <f t="shared" si="228"/>
        <v>#VALUE!</v>
      </c>
      <c r="O1555">
        <v>14.43</v>
      </c>
      <c r="P1555" s="154" t="e">
        <f t="shared" si="229"/>
        <v>#VALUE!</v>
      </c>
      <c r="Q1555">
        <v>14.43</v>
      </c>
      <c r="R1555" s="154" t="e">
        <f t="shared" si="230"/>
        <v>#VALUE!</v>
      </c>
      <c r="S1555">
        <v>14.43</v>
      </c>
      <c r="T1555" s="154" t="e">
        <f t="shared" si="231"/>
        <v>#VALUE!</v>
      </c>
      <c r="U1555">
        <v>14.43</v>
      </c>
      <c r="V1555" s="154" t="e">
        <f t="shared" si="232"/>
        <v>#VALUE!</v>
      </c>
      <c r="W1555">
        <v>14.43</v>
      </c>
      <c r="X1555" s="157" t="e">
        <f t="shared" si="233"/>
        <v>#VALUE!</v>
      </c>
      <c r="Y1555">
        <v>14.43</v>
      </c>
      <c r="Z1555" s="154" t="e">
        <f t="shared" si="234"/>
        <v>#VALUE!</v>
      </c>
      <c r="AA1555">
        <v>14.43</v>
      </c>
      <c r="AB1555" s="154" t="e">
        <f t="shared" si="235"/>
        <v>#VALUE!</v>
      </c>
      <c r="AC1555">
        <v>14.43</v>
      </c>
      <c r="AD1555" s="154" t="e">
        <f t="shared" si="236"/>
        <v>#VALUE!</v>
      </c>
      <c r="AE1555">
        <v>14.43</v>
      </c>
    </row>
    <row r="1556" spans="12:31" ht="15" x14ac:dyDescent="0.2">
      <c r="L1556" s="154" t="e">
        <f t="shared" si="227"/>
        <v>#VALUE!</v>
      </c>
      <c r="M1556">
        <v>14.44</v>
      </c>
      <c r="N1556" s="154" t="e">
        <f t="shared" si="228"/>
        <v>#VALUE!</v>
      </c>
      <c r="O1556">
        <v>14.44</v>
      </c>
      <c r="P1556" s="154" t="e">
        <f t="shared" si="229"/>
        <v>#VALUE!</v>
      </c>
      <c r="Q1556">
        <v>14.44</v>
      </c>
      <c r="R1556" s="154" t="e">
        <f t="shared" si="230"/>
        <v>#VALUE!</v>
      </c>
      <c r="S1556">
        <v>14.44</v>
      </c>
      <c r="T1556" s="154" t="e">
        <f t="shared" si="231"/>
        <v>#VALUE!</v>
      </c>
      <c r="U1556">
        <v>14.44</v>
      </c>
      <c r="V1556" s="154" t="e">
        <f t="shared" si="232"/>
        <v>#VALUE!</v>
      </c>
      <c r="W1556">
        <v>14.44</v>
      </c>
      <c r="X1556" s="157" t="e">
        <f t="shared" si="233"/>
        <v>#VALUE!</v>
      </c>
      <c r="Y1556">
        <v>14.44</v>
      </c>
      <c r="Z1556" s="154" t="e">
        <f t="shared" si="234"/>
        <v>#VALUE!</v>
      </c>
      <c r="AA1556">
        <v>14.44</v>
      </c>
      <c r="AB1556" s="154" t="e">
        <f t="shared" si="235"/>
        <v>#VALUE!</v>
      </c>
      <c r="AC1556">
        <v>14.44</v>
      </c>
      <c r="AD1556" s="154" t="e">
        <f t="shared" si="236"/>
        <v>#VALUE!</v>
      </c>
      <c r="AE1556">
        <v>14.44</v>
      </c>
    </row>
    <row r="1557" spans="12:31" ht="15" x14ac:dyDescent="0.2">
      <c r="L1557" s="154" t="e">
        <f t="shared" si="227"/>
        <v>#VALUE!</v>
      </c>
      <c r="M1557">
        <v>14.45</v>
      </c>
      <c r="N1557" s="154" t="e">
        <f t="shared" si="228"/>
        <v>#VALUE!</v>
      </c>
      <c r="O1557">
        <v>14.45</v>
      </c>
      <c r="P1557" s="154" t="e">
        <f t="shared" si="229"/>
        <v>#VALUE!</v>
      </c>
      <c r="Q1557">
        <v>14.45</v>
      </c>
      <c r="R1557" s="154" t="e">
        <f t="shared" si="230"/>
        <v>#VALUE!</v>
      </c>
      <c r="S1557">
        <v>14.45</v>
      </c>
      <c r="T1557" s="154" t="e">
        <f t="shared" si="231"/>
        <v>#VALUE!</v>
      </c>
      <c r="U1557">
        <v>14.45</v>
      </c>
      <c r="V1557" s="154" t="e">
        <f t="shared" si="232"/>
        <v>#VALUE!</v>
      </c>
      <c r="W1557">
        <v>14.45</v>
      </c>
      <c r="X1557" s="157" t="e">
        <f t="shared" si="233"/>
        <v>#VALUE!</v>
      </c>
      <c r="Y1557">
        <v>14.45</v>
      </c>
      <c r="Z1557" s="154" t="e">
        <f t="shared" si="234"/>
        <v>#VALUE!</v>
      </c>
      <c r="AA1557">
        <v>14.45</v>
      </c>
      <c r="AB1557" s="154" t="e">
        <f t="shared" si="235"/>
        <v>#VALUE!</v>
      </c>
      <c r="AC1557">
        <v>14.45</v>
      </c>
      <c r="AD1557" s="154" t="e">
        <f t="shared" si="236"/>
        <v>#VALUE!</v>
      </c>
      <c r="AE1557">
        <v>14.45</v>
      </c>
    </row>
    <row r="1558" spans="12:31" ht="15" x14ac:dyDescent="0.2">
      <c r="L1558" s="154" t="e">
        <f t="shared" si="227"/>
        <v>#VALUE!</v>
      </c>
      <c r="M1558">
        <v>14.46</v>
      </c>
      <c r="N1558" s="154" t="e">
        <f t="shared" si="228"/>
        <v>#VALUE!</v>
      </c>
      <c r="O1558">
        <v>14.46</v>
      </c>
      <c r="P1558" s="154" t="e">
        <f t="shared" si="229"/>
        <v>#VALUE!</v>
      </c>
      <c r="Q1558">
        <v>14.46</v>
      </c>
      <c r="R1558" s="154" t="e">
        <f t="shared" si="230"/>
        <v>#VALUE!</v>
      </c>
      <c r="S1558">
        <v>14.46</v>
      </c>
      <c r="T1558" s="154" t="e">
        <f t="shared" si="231"/>
        <v>#VALUE!</v>
      </c>
      <c r="U1558">
        <v>14.46</v>
      </c>
      <c r="V1558" s="154" t="e">
        <f t="shared" si="232"/>
        <v>#VALUE!</v>
      </c>
      <c r="W1558">
        <v>14.46</v>
      </c>
      <c r="X1558" s="157" t="e">
        <f t="shared" si="233"/>
        <v>#VALUE!</v>
      </c>
      <c r="Y1558">
        <v>14.46</v>
      </c>
      <c r="Z1558" s="154" t="e">
        <f t="shared" si="234"/>
        <v>#VALUE!</v>
      </c>
      <c r="AA1558">
        <v>14.46</v>
      </c>
      <c r="AB1558" s="154" t="e">
        <f t="shared" si="235"/>
        <v>#VALUE!</v>
      </c>
      <c r="AC1558">
        <v>14.46</v>
      </c>
      <c r="AD1558" s="154" t="e">
        <f t="shared" si="236"/>
        <v>#VALUE!</v>
      </c>
      <c r="AE1558">
        <v>14.46</v>
      </c>
    </row>
    <row r="1559" spans="12:31" ht="15" x14ac:dyDescent="0.2">
      <c r="L1559" s="154" t="e">
        <f t="shared" si="227"/>
        <v>#VALUE!</v>
      </c>
      <c r="M1559">
        <v>14.47</v>
      </c>
      <c r="N1559" s="154" t="e">
        <f t="shared" si="228"/>
        <v>#VALUE!</v>
      </c>
      <c r="O1559">
        <v>14.47</v>
      </c>
      <c r="P1559" s="154" t="e">
        <f t="shared" si="229"/>
        <v>#VALUE!</v>
      </c>
      <c r="Q1559">
        <v>14.47</v>
      </c>
      <c r="R1559" s="154" t="e">
        <f t="shared" si="230"/>
        <v>#VALUE!</v>
      </c>
      <c r="S1559">
        <v>14.47</v>
      </c>
      <c r="T1559" s="154" t="e">
        <f t="shared" si="231"/>
        <v>#VALUE!</v>
      </c>
      <c r="U1559">
        <v>14.47</v>
      </c>
      <c r="V1559" s="154" t="e">
        <f t="shared" si="232"/>
        <v>#VALUE!</v>
      </c>
      <c r="W1559">
        <v>14.47</v>
      </c>
      <c r="X1559" s="157" t="e">
        <f t="shared" si="233"/>
        <v>#VALUE!</v>
      </c>
      <c r="Y1559">
        <v>14.47</v>
      </c>
      <c r="Z1559" s="154" t="e">
        <f t="shared" si="234"/>
        <v>#VALUE!</v>
      </c>
      <c r="AA1559">
        <v>14.47</v>
      </c>
      <c r="AB1559" s="154" t="e">
        <f t="shared" si="235"/>
        <v>#VALUE!</v>
      </c>
      <c r="AC1559">
        <v>14.47</v>
      </c>
      <c r="AD1559" s="154" t="e">
        <f t="shared" si="236"/>
        <v>#VALUE!</v>
      </c>
      <c r="AE1559">
        <v>14.47</v>
      </c>
    </row>
    <row r="1560" spans="12:31" ht="15" x14ac:dyDescent="0.2">
      <c r="L1560" s="154" t="e">
        <f t="shared" si="227"/>
        <v>#VALUE!</v>
      </c>
      <c r="M1560">
        <v>14.48</v>
      </c>
      <c r="N1560" s="154" t="e">
        <f t="shared" si="228"/>
        <v>#VALUE!</v>
      </c>
      <c r="O1560">
        <v>14.48</v>
      </c>
      <c r="P1560" s="154" t="e">
        <f t="shared" si="229"/>
        <v>#VALUE!</v>
      </c>
      <c r="Q1560">
        <v>14.48</v>
      </c>
      <c r="R1560" s="154" t="e">
        <f t="shared" si="230"/>
        <v>#VALUE!</v>
      </c>
      <c r="S1560">
        <v>14.48</v>
      </c>
      <c r="T1560" s="154" t="e">
        <f t="shared" si="231"/>
        <v>#VALUE!</v>
      </c>
      <c r="U1560">
        <v>14.48</v>
      </c>
      <c r="V1560" s="154" t="e">
        <f t="shared" si="232"/>
        <v>#VALUE!</v>
      </c>
      <c r="W1560">
        <v>14.48</v>
      </c>
      <c r="X1560" s="157" t="e">
        <f t="shared" si="233"/>
        <v>#VALUE!</v>
      </c>
      <c r="Y1560">
        <v>14.48</v>
      </c>
      <c r="Z1560" s="154" t="e">
        <f t="shared" si="234"/>
        <v>#VALUE!</v>
      </c>
      <c r="AA1560">
        <v>14.48</v>
      </c>
      <c r="AB1560" s="154" t="e">
        <f t="shared" si="235"/>
        <v>#VALUE!</v>
      </c>
      <c r="AC1560">
        <v>14.48</v>
      </c>
      <c r="AD1560" s="154" t="e">
        <f t="shared" si="236"/>
        <v>#VALUE!</v>
      </c>
      <c r="AE1560">
        <v>14.48</v>
      </c>
    </row>
    <row r="1561" spans="12:31" ht="15" x14ac:dyDescent="0.2">
      <c r="L1561" s="154" t="e">
        <f t="shared" si="227"/>
        <v>#VALUE!</v>
      </c>
      <c r="M1561">
        <v>14.49</v>
      </c>
      <c r="N1561" s="154" t="e">
        <f t="shared" si="228"/>
        <v>#VALUE!</v>
      </c>
      <c r="O1561">
        <v>14.49</v>
      </c>
      <c r="P1561" s="154" t="e">
        <f t="shared" si="229"/>
        <v>#VALUE!</v>
      </c>
      <c r="Q1561">
        <v>14.49</v>
      </c>
      <c r="R1561" s="154" t="e">
        <f t="shared" si="230"/>
        <v>#VALUE!</v>
      </c>
      <c r="S1561">
        <v>14.49</v>
      </c>
      <c r="T1561" s="154" t="e">
        <f t="shared" si="231"/>
        <v>#VALUE!</v>
      </c>
      <c r="U1561">
        <v>14.49</v>
      </c>
      <c r="V1561" s="154" t="e">
        <f t="shared" si="232"/>
        <v>#VALUE!</v>
      </c>
      <c r="W1561">
        <v>14.49</v>
      </c>
      <c r="X1561" s="157" t="e">
        <f t="shared" si="233"/>
        <v>#VALUE!</v>
      </c>
      <c r="Y1561">
        <v>14.49</v>
      </c>
      <c r="Z1561" s="154" t="e">
        <f t="shared" si="234"/>
        <v>#VALUE!</v>
      </c>
      <c r="AA1561">
        <v>14.49</v>
      </c>
      <c r="AB1561" s="154" t="e">
        <f t="shared" si="235"/>
        <v>#VALUE!</v>
      </c>
      <c r="AC1561">
        <v>14.49</v>
      </c>
      <c r="AD1561" s="154" t="e">
        <f t="shared" si="236"/>
        <v>#VALUE!</v>
      </c>
      <c r="AE1561">
        <v>14.49</v>
      </c>
    </row>
    <row r="1562" spans="12:31" ht="15" x14ac:dyDescent="0.2">
      <c r="L1562" s="154" t="e">
        <f t="shared" si="227"/>
        <v>#VALUE!</v>
      </c>
      <c r="M1562">
        <v>14.5</v>
      </c>
      <c r="N1562" s="154" t="e">
        <f t="shared" si="228"/>
        <v>#VALUE!</v>
      </c>
      <c r="O1562">
        <v>14.5</v>
      </c>
      <c r="P1562" s="154" t="e">
        <f t="shared" si="229"/>
        <v>#VALUE!</v>
      </c>
      <c r="Q1562">
        <v>14.5</v>
      </c>
      <c r="R1562" s="154" t="e">
        <f t="shared" si="230"/>
        <v>#VALUE!</v>
      </c>
      <c r="S1562">
        <v>14.5</v>
      </c>
      <c r="T1562" s="154" t="e">
        <f t="shared" si="231"/>
        <v>#VALUE!</v>
      </c>
      <c r="U1562">
        <v>14.5</v>
      </c>
      <c r="V1562" s="154" t="e">
        <f t="shared" si="232"/>
        <v>#VALUE!</v>
      </c>
      <c r="W1562">
        <v>14.5</v>
      </c>
      <c r="X1562" s="157" t="e">
        <f t="shared" si="233"/>
        <v>#VALUE!</v>
      </c>
      <c r="Y1562">
        <v>14.5</v>
      </c>
      <c r="Z1562" s="154" t="e">
        <f t="shared" si="234"/>
        <v>#VALUE!</v>
      </c>
      <c r="AA1562">
        <v>14.5</v>
      </c>
      <c r="AB1562" s="154" t="e">
        <f t="shared" si="235"/>
        <v>#VALUE!</v>
      </c>
      <c r="AC1562">
        <v>14.5</v>
      </c>
      <c r="AD1562" s="154" t="e">
        <f t="shared" si="236"/>
        <v>#VALUE!</v>
      </c>
      <c r="AE1562">
        <v>14.5</v>
      </c>
    </row>
    <row r="1563" spans="12:31" ht="15" x14ac:dyDescent="0.2">
      <c r="L1563" s="154" t="e">
        <f t="shared" si="227"/>
        <v>#VALUE!</v>
      </c>
      <c r="M1563">
        <v>14.51</v>
      </c>
      <c r="N1563" s="154" t="e">
        <f t="shared" si="228"/>
        <v>#VALUE!</v>
      </c>
      <c r="O1563">
        <v>14.51</v>
      </c>
      <c r="P1563" s="154" t="e">
        <f t="shared" si="229"/>
        <v>#VALUE!</v>
      </c>
      <c r="Q1563">
        <v>14.51</v>
      </c>
      <c r="R1563" s="154" t="e">
        <f t="shared" si="230"/>
        <v>#VALUE!</v>
      </c>
      <c r="S1563">
        <v>14.51</v>
      </c>
      <c r="T1563" s="154" t="e">
        <f t="shared" si="231"/>
        <v>#VALUE!</v>
      </c>
      <c r="U1563">
        <v>14.51</v>
      </c>
      <c r="V1563" s="154" t="e">
        <f t="shared" si="232"/>
        <v>#VALUE!</v>
      </c>
      <c r="W1563">
        <v>14.51</v>
      </c>
      <c r="X1563" s="157" t="e">
        <f t="shared" si="233"/>
        <v>#VALUE!</v>
      </c>
      <c r="Y1563">
        <v>14.51</v>
      </c>
      <c r="Z1563" s="154" t="e">
        <f t="shared" si="234"/>
        <v>#VALUE!</v>
      </c>
      <c r="AA1563">
        <v>14.51</v>
      </c>
      <c r="AB1563" s="154" t="e">
        <f t="shared" si="235"/>
        <v>#VALUE!</v>
      </c>
      <c r="AC1563">
        <v>14.51</v>
      </c>
      <c r="AD1563" s="154" t="e">
        <f t="shared" si="236"/>
        <v>#VALUE!</v>
      </c>
      <c r="AE1563">
        <v>14.51</v>
      </c>
    </row>
    <row r="1564" spans="12:31" ht="15" x14ac:dyDescent="0.2">
      <c r="L1564" s="154" t="e">
        <f t="shared" si="227"/>
        <v>#VALUE!</v>
      </c>
      <c r="M1564">
        <v>14.52</v>
      </c>
      <c r="N1564" s="154" t="e">
        <f t="shared" si="228"/>
        <v>#VALUE!</v>
      </c>
      <c r="O1564">
        <v>14.52</v>
      </c>
      <c r="P1564" s="154" t="e">
        <f t="shared" si="229"/>
        <v>#VALUE!</v>
      </c>
      <c r="Q1564">
        <v>14.52</v>
      </c>
      <c r="R1564" s="154" t="e">
        <f t="shared" si="230"/>
        <v>#VALUE!</v>
      </c>
      <c r="S1564">
        <v>14.52</v>
      </c>
      <c r="T1564" s="154" t="e">
        <f t="shared" si="231"/>
        <v>#VALUE!</v>
      </c>
      <c r="U1564">
        <v>14.52</v>
      </c>
      <c r="V1564" s="154" t="e">
        <f t="shared" si="232"/>
        <v>#VALUE!</v>
      </c>
      <c r="W1564">
        <v>14.52</v>
      </c>
      <c r="X1564" s="157" t="e">
        <f t="shared" si="233"/>
        <v>#VALUE!</v>
      </c>
      <c r="Y1564">
        <v>14.52</v>
      </c>
      <c r="Z1564" s="154" t="e">
        <f t="shared" si="234"/>
        <v>#VALUE!</v>
      </c>
      <c r="AA1564">
        <v>14.52</v>
      </c>
      <c r="AB1564" s="154" t="e">
        <f t="shared" si="235"/>
        <v>#VALUE!</v>
      </c>
      <c r="AC1564">
        <v>14.52</v>
      </c>
      <c r="AD1564" s="154" t="e">
        <f t="shared" si="236"/>
        <v>#VALUE!</v>
      </c>
      <c r="AE1564">
        <v>14.52</v>
      </c>
    </row>
    <row r="1565" spans="12:31" ht="15" x14ac:dyDescent="0.2">
      <c r="L1565" s="154" t="e">
        <f t="shared" si="227"/>
        <v>#VALUE!</v>
      </c>
      <c r="M1565">
        <v>14.53</v>
      </c>
      <c r="N1565" s="154" t="e">
        <f t="shared" si="228"/>
        <v>#VALUE!</v>
      </c>
      <c r="O1565">
        <v>14.53</v>
      </c>
      <c r="P1565" s="154" t="e">
        <f t="shared" si="229"/>
        <v>#VALUE!</v>
      </c>
      <c r="Q1565">
        <v>14.53</v>
      </c>
      <c r="R1565" s="154" t="e">
        <f t="shared" si="230"/>
        <v>#VALUE!</v>
      </c>
      <c r="S1565">
        <v>14.53</v>
      </c>
      <c r="T1565" s="154" t="e">
        <f t="shared" si="231"/>
        <v>#VALUE!</v>
      </c>
      <c r="U1565">
        <v>14.53</v>
      </c>
      <c r="V1565" s="154" t="e">
        <f t="shared" si="232"/>
        <v>#VALUE!</v>
      </c>
      <c r="W1565">
        <v>14.53</v>
      </c>
      <c r="X1565" s="157" t="e">
        <f t="shared" si="233"/>
        <v>#VALUE!</v>
      </c>
      <c r="Y1565">
        <v>14.53</v>
      </c>
      <c r="Z1565" s="154" t="e">
        <f t="shared" si="234"/>
        <v>#VALUE!</v>
      </c>
      <c r="AA1565">
        <v>14.53</v>
      </c>
      <c r="AB1565" s="154" t="e">
        <f t="shared" si="235"/>
        <v>#VALUE!</v>
      </c>
      <c r="AC1565">
        <v>14.53</v>
      </c>
      <c r="AD1565" s="154" t="e">
        <f t="shared" si="236"/>
        <v>#VALUE!</v>
      </c>
      <c r="AE1565">
        <v>14.53</v>
      </c>
    </row>
    <row r="1566" spans="12:31" ht="15" x14ac:dyDescent="0.2">
      <c r="L1566" s="154" t="e">
        <f t="shared" si="227"/>
        <v>#VALUE!</v>
      </c>
      <c r="M1566">
        <v>14.54</v>
      </c>
      <c r="N1566" s="154" t="e">
        <f t="shared" si="228"/>
        <v>#VALUE!</v>
      </c>
      <c r="O1566">
        <v>14.54</v>
      </c>
      <c r="P1566" s="154" t="e">
        <f t="shared" si="229"/>
        <v>#VALUE!</v>
      </c>
      <c r="Q1566">
        <v>14.54</v>
      </c>
      <c r="R1566" s="154" t="e">
        <f t="shared" si="230"/>
        <v>#VALUE!</v>
      </c>
      <c r="S1566">
        <v>14.54</v>
      </c>
      <c r="T1566" s="154" t="e">
        <f t="shared" si="231"/>
        <v>#VALUE!</v>
      </c>
      <c r="U1566">
        <v>14.54</v>
      </c>
      <c r="V1566" s="154" t="e">
        <f t="shared" si="232"/>
        <v>#VALUE!</v>
      </c>
      <c r="W1566">
        <v>14.54</v>
      </c>
      <c r="X1566" s="157" t="e">
        <f t="shared" si="233"/>
        <v>#VALUE!</v>
      </c>
      <c r="Y1566">
        <v>14.54</v>
      </c>
      <c r="Z1566" s="154" t="e">
        <f t="shared" si="234"/>
        <v>#VALUE!</v>
      </c>
      <c r="AA1566">
        <v>14.54</v>
      </c>
      <c r="AB1566" s="154" t="e">
        <f t="shared" si="235"/>
        <v>#VALUE!</v>
      </c>
      <c r="AC1566">
        <v>14.54</v>
      </c>
      <c r="AD1566" s="154" t="e">
        <f t="shared" si="236"/>
        <v>#VALUE!</v>
      </c>
      <c r="AE1566">
        <v>14.54</v>
      </c>
    </row>
    <row r="1567" spans="12:31" ht="15" x14ac:dyDescent="0.2">
      <c r="L1567" s="154" t="e">
        <f t="shared" si="227"/>
        <v>#VALUE!</v>
      </c>
      <c r="M1567">
        <v>14.55</v>
      </c>
      <c r="N1567" s="154" t="e">
        <f t="shared" si="228"/>
        <v>#VALUE!</v>
      </c>
      <c r="O1567">
        <v>14.55</v>
      </c>
      <c r="P1567" s="154" t="e">
        <f t="shared" si="229"/>
        <v>#VALUE!</v>
      </c>
      <c r="Q1567">
        <v>14.55</v>
      </c>
      <c r="R1567" s="154" t="e">
        <f t="shared" si="230"/>
        <v>#VALUE!</v>
      </c>
      <c r="S1567">
        <v>14.55</v>
      </c>
      <c r="T1567" s="154" t="e">
        <f t="shared" si="231"/>
        <v>#VALUE!</v>
      </c>
      <c r="U1567">
        <v>14.55</v>
      </c>
      <c r="V1567" s="154" t="e">
        <f t="shared" si="232"/>
        <v>#VALUE!</v>
      </c>
      <c r="W1567">
        <v>14.55</v>
      </c>
      <c r="X1567" s="157" t="e">
        <f t="shared" si="233"/>
        <v>#VALUE!</v>
      </c>
      <c r="Y1567">
        <v>14.55</v>
      </c>
      <c r="Z1567" s="154" t="e">
        <f t="shared" si="234"/>
        <v>#VALUE!</v>
      </c>
      <c r="AA1567">
        <v>14.55</v>
      </c>
      <c r="AB1567" s="154" t="e">
        <f t="shared" si="235"/>
        <v>#VALUE!</v>
      </c>
      <c r="AC1567">
        <v>14.55</v>
      </c>
      <c r="AD1567" s="154" t="e">
        <f t="shared" si="236"/>
        <v>#VALUE!</v>
      </c>
      <c r="AE1567">
        <v>14.55</v>
      </c>
    </row>
    <row r="1568" spans="12:31" ht="15" x14ac:dyDescent="0.2">
      <c r="L1568" s="154" t="e">
        <f t="shared" si="227"/>
        <v>#VALUE!</v>
      </c>
      <c r="M1568">
        <v>14.56</v>
      </c>
      <c r="N1568" s="154" t="e">
        <f t="shared" si="228"/>
        <v>#VALUE!</v>
      </c>
      <c r="O1568">
        <v>14.56</v>
      </c>
      <c r="P1568" s="154" t="e">
        <f t="shared" si="229"/>
        <v>#VALUE!</v>
      </c>
      <c r="Q1568">
        <v>14.56</v>
      </c>
      <c r="R1568" s="154" t="e">
        <f t="shared" si="230"/>
        <v>#VALUE!</v>
      </c>
      <c r="S1568">
        <v>14.56</v>
      </c>
      <c r="T1568" s="154" t="e">
        <f t="shared" si="231"/>
        <v>#VALUE!</v>
      </c>
      <c r="U1568">
        <v>14.56</v>
      </c>
      <c r="V1568" s="154" t="e">
        <f t="shared" si="232"/>
        <v>#VALUE!</v>
      </c>
      <c r="W1568">
        <v>14.56</v>
      </c>
      <c r="X1568" s="157" t="e">
        <f t="shared" si="233"/>
        <v>#VALUE!</v>
      </c>
      <c r="Y1568">
        <v>14.56</v>
      </c>
      <c r="Z1568" s="154" t="e">
        <f t="shared" si="234"/>
        <v>#VALUE!</v>
      </c>
      <c r="AA1568">
        <v>14.56</v>
      </c>
      <c r="AB1568" s="154" t="e">
        <f t="shared" si="235"/>
        <v>#VALUE!</v>
      </c>
      <c r="AC1568">
        <v>14.56</v>
      </c>
      <c r="AD1568" s="154" t="e">
        <f t="shared" si="236"/>
        <v>#VALUE!</v>
      </c>
      <c r="AE1568">
        <v>14.56</v>
      </c>
    </row>
    <row r="1569" spans="12:31" ht="15" x14ac:dyDescent="0.2">
      <c r="L1569" s="154" t="e">
        <f t="shared" si="227"/>
        <v>#VALUE!</v>
      </c>
      <c r="M1569">
        <v>14.57</v>
      </c>
      <c r="N1569" s="154" t="e">
        <f t="shared" si="228"/>
        <v>#VALUE!</v>
      </c>
      <c r="O1569">
        <v>14.57</v>
      </c>
      <c r="P1569" s="154" t="e">
        <f t="shared" si="229"/>
        <v>#VALUE!</v>
      </c>
      <c r="Q1569">
        <v>14.57</v>
      </c>
      <c r="R1569" s="154" t="e">
        <f t="shared" si="230"/>
        <v>#VALUE!</v>
      </c>
      <c r="S1569">
        <v>14.57</v>
      </c>
      <c r="T1569" s="154" t="e">
        <f t="shared" si="231"/>
        <v>#VALUE!</v>
      </c>
      <c r="U1569">
        <v>14.57</v>
      </c>
      <c r="V1569" s="154" t="e">
        <f t="shared" si="232"/>
        <v>#VALUE!</v>
      </c>
      <c r="W1569">
        <v>14.57</v>
      </c>
      <c r="X1569" s="157" t="e">
        <f t="shared" si="233"/>
        <v>#VALUE!</v>
      </c>
      <c r="Y1569">
        <v>14.57</v>
      </c>
      <c r="Z1569" s="154" t="e">
        <f t="shared" si="234"/>
        <v>#VALUE!</v>
      </c>
      <c r="AA1569">
        <v>14.57</v>
      </c>
      <c r="AB1569" s="154" t="e">
        <f t="shared" si="235"/>
        <v>#VALUE!</v>
      </c>
      <c r="AC1569">
        <v>14.57</v>
      </c>
      <c r="AD1569" s="154" t="e">
        <f t="shared" si="236"/>
        <v>#VALUE!</v>
      </c>
      <c r="AE1569">
        <v>14.57</v>
      </c>
    </row>
    <row r="1570" spans="12:31" ht="15" x14ac:dyDescent="0.2">
      <c r="L1570" s="154" t="e">
        <f t="shared" si="227"/>
        <v>#VALUE!</v>
      </c>
      <c r="M1570">
        <v>14.58</v>
      </c>
      <c r="N1570" s="154" t="e">
        <f t="shared" si="228"/>
        <v>#VALUE!</v>
      </c>
      <c r="O1570">
        <v>14.58</v>
      </c>
      <c r="P1570" s="154" t="e">
        <f t="shared" si="229"/>
        <v>#VALUE!</v>
      </c>
      <c r="Q1570">
        <v>14.58</v>
      </c>
      <c r="R1570" s="154" t="e">
        <f t="shared" si="230"/>
        <v>#VALUE!</v>
      </c>
      <c r="S1570">
        <v>14.58</v>
      </c>
      <c r="T1570" s="154" t="e">
        <f t="shared" si="231"/>
        <v>#VALUE!</v>
      </c>
      <c r="U1570">
        <v>14.58</v>
      </c>
      <c r="V1570" s="154" t="e">
        <f t="shared" si="232"/>
        <v>#VALUE!</v>
      </c>
      <c r="W1570">
        <v>14.58</v>
      </c>
      <c r="X1570" s="157" t="e">
        <f t="shared" si="233"/>
        <v>#VALUE!</v>
      </c>
      <c r="Y1570">
        <v>14.58</v>
      </c>
      <c r="Z1570" s="154" t="e">
        <f t="shared" si="234"/>
        <v>#VALUE!</v>
      </c>
      <c r="AA1570">
        <v>14.58</v>
      </c>
      <c r="AB1570" s="154" t="e">
        <f t="shared" si="235"/>
        <v>#VALUE!</v>
      </c>
      <c r="AC1570">
        <v>14.58</v>
      </c>
      <c r="AD1570" s="154" t="e">
        <f t="shared" si="236"/>
        <v>#VALUE!</v>
      </c>
      <c r="AE1570">
        <v>14.58</v>
      </c>
    </row>
    <row r="1571" spans="12:31" ht="15" x14ac:dyDescent="0.2">
      <c r="L1571" s="154" t="e">
        <f t="shared" si="227"/>
        <v>#VALUE!</v>
      </c>
      <c r="M1571">
        <v>14.59</v>
      </c>
      <c r="N1571" s="154" t="e">
        <f t="shared" si="228"/>
        <v>#VALUE!</v>
      </c>
      <c r="O1571">
        <v>14.59</v>
      </c>
      <c r="P1571" s="154" t="e">
        <f t="shared" si="229"/>
        <v>#VALUE!</v>
      </c>
      <c r="Q1571">
        <v>14.59</v>
      </c>
      <c r="R1571" s="154" t="e">
        <f t="shared" si="230"/>
        <v>#VALUE!</v>
      </c>
      <c r="S1571">
        <v>14.59</v>
      </c>
      <c r="T1571" s="154" t="e">
        <f t="shared" si="231"/>
        <v>#VALUE!</v>
      </c>
      <c r="U1571">
        <v>14.59</v>
      </c>
      <c r="V1571" s="154" t="e">
        <f t="shared" si="232"/>
        <v>#VALUE!</v>
      </c>
      <c r="W1571">
        <v>14.59</v>
      </c>
      <c r="X1571" s="157" t="e">
        <f t="shared" si="233"/>
        <v>#VALUE!</v>
      </c>
      <c r="Y1571">
        <v>14.59</v>
      </c>
      <c r="Z1571" s="154" t="e">
        <f t="shared" si="234"/>
        <v>#VALUE!</v>
      </c>
      <c r="AA1571">
        <v>14.59</v>
      </c>
      <c r="AB1571" s="154" t="e">
        <f t="shared" si="235"/>
        <v>#VALUE!</v>
      </c>
      <c r="AC1571">
        <v>14.59</v>
      </c>
      <c r="AD1571" s="154" t="e">
        <f t="shared" si="236"/>
        <v>#VALUE!</v>
      </c>
      <c r="AE1571">
        <v>14.59</v>
      </c>
    </row>
    <row r="1572" spans="12:31" ht="15" x14ac:dyDescent="0.2">
      <c r="L1572" s="154" t="e">
        <f t="shared" si="227"/>
        <v>#VALUE!</v>
      </c>
      <c r="M1572">
        <v>14.6</v>
      </c>
      <c r="N1572" s="154" t="e">
        <f t="shared" si="228"/>
        <v>#VALUE!</v>
      </c>
      <c r="O1572">
        <v>14.6</v>
      </c>
      <c r="P1572" s="154" t="e">
        <f t="shared" si="229"/>
        <v>#VALUE!</v>
      </c>
      <c r="Q1572">
        <v>14.6</v>
      </c>
      <c r="R1572" s="154" t="e">
        <f t="shared" si="230"/>
        <v>#VALUE!</v>
      </c>
      <c r="S1572">
        <v>14.6</v>
      </c>
      <c r="T1572" s="154" t="e">
        <f t="shared" si="231"/>
        <v>#VALUE!</v>
      </c>
      <c r="U1572">
        <v>14.6</v>
      </c>
      <c r="V1572" s="154" t="e">
        <f t="shared" si="232"/>
        <v>#VALUE!</v>
      </c>
      <c r="W1572">
        <v>14.6</v>
      </c>
      <c r="X1572" s="157" t="e">
        <f t="shared" si="233"/>
        <v>#VALUE!</v>
      </c>
      <c r="Y1572">
        <v>14.6</v>
      </c>
      <c r="Z1572" s="154" t="e">
        <f t="shared" si="234"/>
        <v>#VALUE!</v>
      </c>
      <c r="AA1572">
        <v>14.6</v>
      </c>
      <c r="AB1572" s="154" t="e">
        <f t="shared" si="235"/>
        <v>#VALUE!</v>
      </c>
      <c r="AC1572">
        <v>14.6</v>
      </c>
      <c r="AD1572" s="154" t="e">
        <f t="shared" si="236"/>
        <v>#VALUE!</v>
      </c>
      <c r="AE1572">
        <v>14.6</v>
      </c>
    </row>
    <row r="1573" spans="12:31" ht="15" x14ac:dyDescent="0.2">
      <c r="L1573" s="154" t="e">
        <f t="shared" si="227"/>
        <v>#VALUE!</v>
      </c>
      <c r="M1573">
        <v>14.61</v>
      </c>
      <c r="N1573" s="154" t="e">
        <f t="shared" si="228"/>
        <v>#VALUE!</v>
      </c>
      <c r="O1573">
        <v>14.61</v>
      </c>
      <c r="P1573" s="154" t="e">
        <f t="shared" si="229"/>
        <v>#VALUE!</v>
      </c>
      <c r="Q1573">
        <v>14.61</v>
      </c>
      <c r="R1573" s="154" t="e">
        <f t="shared" si="230"/>
        <v>#VALUE!</v>
      </c>
      <c r="S1573">
        <v>14.61</v>
      </c>
      <c r="T1573" s="154" t="e">
        <f t="shared" si="231"/>
        <v>#VALUE!</v>
      </c>
      <c r="U1573">
        <v>14.61</v>
      </c>
      <c r="V1573" s="154" t="e">
        <f t="shared" si="232"/>
        <v>#VALUE!</v>
      </c>
      <c r="W1573">
        <v>14.61</v>
      </c>
      <c r="X1573" s="157" t="e">
        <f t="shared" si="233"/>
        <v>#VALUE!</v>
      </c>
      <c r="Y1573">
        <v>14.61</v>
      </c>
      <c r="Z1573" s="154" t="e">
        <f t="shared" si="234"/>
        <v>#VALUE!</v>
      </c>
      <c r="AA1573">
        <v>14.61</v>
      </c>
      <c r="AB1573" s="154" t="e">
        <f t="shared" si="235"/>
        <v>#VALUE!</v>
      </c>
      <c r="AC1573">
        <v>14.61</v>
      </c>
      <c r="AD1573" s="154" t="e">
        <f t="shared" si="236"/>
        <v>#VALUE!</v>
      </c>
      <c r="AE1573">
        <v>14.61</v>
      </c>
    </row>
    <row r="1574" spans="12:31" ht="15" x14ac:dyDescent="0.2">
      <c r="L1574" s="154" t="e">
        <f t="shared" si="227"/>
        <v>#VALUE!</v>
      </c>
      <c r="M1574">
        <v>14.62</v>
      </c>
      <c r="N1574" s="154" t="e">
        <f t="shared" si="228"/>
        <v>#VALUE!</v>
      </c>
      <c r="O1574">
        <v>14.62</v>
      </c>
      <c r="P1574" s="154" t="e">
        <f t="shared" si="229"/>
        <v>#VALUE!</v>
      </c>
      <c r="Q1574">
        <v>14.62</v>
      </c>
      <c r="R1574" s="154" t="e">
        <f t="shared" si="230"/>
        <v>#VALUE!</v>
      </c>
      <c r="S1574">
        <v>14.62</v>
      </c>
      <c r="T1574" s="154" t="e">
        <f t="shared" si="231"/>
        <v>#VALUE!</v>
      </c>
      <c r="U1574">
        <v>14.62</v>
      </c>
      <c r="V1574" s="154" t="e">
        <f t="shared" si="232"/>
        <v>#VALUE!</v>
      </c>
      <c r="W1574">
        <v>14.62</v>
      </c>
      <c r="X1574" s="157" t="e">
        <f t="shared" si="233"/>
        <v>#VALUE!</v>
      </c>
      <c r="Y1574">
        <v>14.62</v>
      </c>
      <c r="Z1574" s="154" t="e">
        <f t="shared" si="234"/>
        <v>#VALUE!</v>
      </c>
      <c r="AA1574">
        <v>14.62</v>
      </c>
      <c r="AB1574" s="154" t="e">
        <f t="shared" si="235"/>
        <v>#VALUE!</v>
      </c>
      <c r="AC1574">
        <v>14.62</v>
      </c>
      <c r="AD1574" s="154" t="e">
        <f t="shared" si="236"/>
        <v>#VALUE!</v>
      </c>
      <c r="AE1574">
        <v>14.62</v>
      </c>
    </row>
    <row r="1575" spans="12:31" ht="15" x14ac:dyDescent="0.2">
      <c r="L1575" s="154" t="e">
        <f t="shared" si="227"/>
        <v>#VALUE!</v>
      </c>
      <c r="M1575">
        <v>14.63</v>
      </c>
      <c r="N1575" s="154" t="e">
        <f t="shared" si="228"/>
        <v>#VALUE!</v>
      </c>
      <c r="O1575">
        <v>14.63</v>
      </c>
      <c r="P1575" s="154" t="e">
        <f t="shared" si="229"/>
        <v>#VALUE!</v>
      </c>
      <c r="Q1575">
        <v>14.63</v>
      </c>
      <c r="R1575" s="154" t="e">
        <f t="shared" si="230"/>
        <v>#VALUE!</v>
      </c>
      <c r="S1575">
        <v>14.63</v>
      </c>
      <c r="T1575" s="154" t="e">
        <f t="shared" si="231"/>
        <v>#VALUE!</v>
      </c>
      <c r="U1575">
        <v>14.63</v>
      </c>
      <c r="V1575" s="154" t="e">
        <f t="shared" si="232"/>
        <v>#VALUE!</v>
      </c>
      <c r="W1575">
        <v>14.63</v>
      </c>
      <c r="X1575" s="157" t="e">
        <f t="shared" si="233"/>
        <v>#VALUE!</v>
      </c>
      <c r="Y1575">
        <v>14.63</v>
      </c>
      <c r="Z1575" s="154" t="e">
        <f t="shared" si="234"/>
        <v>#VALUE!</v>
      </c>
      <c r="AA1575">
        <v>14.63</v>
      </c>
      <c r="AB1575" s="154" t="e">
        <f t="shared" si="235"/>
        <v>#VALUE!</v>
      </c>
      <c r="AC1575">
        <v>14.63</v>
      </c>
      <c r="AD1575" s="154" t="e">
        <f t="shared" si="236"/>
        <v>#VALUE!</v>
      </c>
      <c r="AE1575">
        <v>14.63</v>
      </c>
    </row>
    <row r="1576" spans="12:31" ht="15" x14ac:dyDescent="0.2">
      <c r="L1576" s="154" t="e">
        <f t="shared" si="227"/>
        <v>#VALUE!</v>
      </c>
      <c r="M1576">
        <v>14.64</v>
      </c>
      <c r="N1576" s="154" t="e">
        <f t="shared" si="228"/>
        <v>#VALUE!</v>
      </c>
      <c r="O1576">
        <v>14.64</v>
      </c>
      <c r="P1576" s="154" t="e">
        <f t="shared" si="229"/>
        <v>#VALUE!</v>
      </c>
      <c r="Q1576">
        <v>14.64</v>
      </c>
      <c r="R1576" s="154" t="e">
        <f t="shared" si="230"/>
        <v>#VALUE!</v>
      </c>
      <c r="S1576">
        <v>14.64</v>
      </c>
      <c r="T1576" s="154" t="e">
        <f t="shared" si="231"/>
        <v>#VALUE!</v>
      </c>
      <c r="U1576">
        <v>14.64</v>
      </c>
      <c r="V1576" s="154" t="e">
        <f t="shared" si="232"/>
        <v>#VALUE!</v>
      </c>
      <c r="W1576">
        <v>14.64</v>
      </c>
      <c r="X1576" s="157" t="e">
        <f t="shared" si="233"/>
        <v>#VALUE!</v>
      </c>
      <c r="Y1576">
        <v>14.64</v>
      </c>
      <c r="Z1576" s="154" t="e">
        <f t="shared" si="234"/>
        <v>#VALUE!</v>
      </c>
      <c r="AA1576">
        <v>14.64</v>
      </c>
      <c r="AB1576" s="154" t="e">
        <f t="shared" si="235"/>
        <v>#VALUE!</v>
      </c>
      <c r="AC1576">
        <v>14.64</v>
      </c>
      <c r="AD1576" s="154" t="e">
        <f t="shared" si="236"/>
        <v>#VALUE!</v>
      </c>
      <c r="AE1576">
        <v>14.64</v>
      </c>
    </row>
    <row r="1577" spans="12:31" ht="15" x14ac:dyDescent="0.2">
      <c r="L1577" s="154" t="e">
        <f t="shared" si="227"/>
        <v>#VALUE!</v>
      </c>
      <c r="M1577">
        <v>14.65</v>
      </c>
      <c r="N1577" s="154" t="e">
        <f t="shared" si="228"/>
        <v>#VALUE!</v>
      </c>
      <c r="O1577">
        <v>14.65</v>
      </c>
      <c r="P1577" s="154" t="e">
        <f t="shared" si="229"/>
        <v>#VALUE!</v>
      </c>
      <c r="Q1577">
        <v>14.65</v>
      </c>
      <c r="R1577" s="154" t="e">
        <f t="shared" si="230"/>
        <v>#VALUE!</v>
      </c>
      <c r="S1577">
        <v>14.65</v>
      </c>
      <c r="T1577" s="154" t="e">
        <f t="shared" si="231"/>
        <v>#VALUE!</v>
      </c>
      <c r="U1577">
        <v>14.65</v>
      </c>
      <c r="V1577" s="154" t="e">
        <f t="shared" si="232"/>
        <v>#VALUE!</v>
      </c>
      <c r="W1577">
        <v>14.65</v>
      </c>
      <c r="X1577" s="157" t="e">
        <f t="shared" si="233"/>
        <v>#VALUE!</v>
      </c>
      <c r="Y1577">
        <v>14.65</v>
      </c>
      <c r="Z1577" s="154" t="e">
        <f t="shared" si="234"/>
        <v>#VALUE!</v>
      </c>
      <c r="AA1577">
        <v>14.65</v>
      </c>
      <c r="AB1577" s="154" t="e">
        <f t="shared" si="235"/>
        <v>#VALUE!</v>
      </c>
      <c r="AC1577">
        <v>14.65</v>
      </c>
      <c r="AD1577" s="154" t="e">
        <f t="shared" si="236"/>
        <v>#VALUE!</v>
      </c>
      <c r="AE1577">
        <v>14.65</v>
      </c>
    </row>
    <row r="1578" spans="12:31" ht="15" x14ac:dyDescent="0.2">
      <c r="L1578" s="154" t="e">
        <f t="shared" si="227"/>
        <v>#VALUE!</v>
      </c>
      <c r="M1578">
        <v>14.66</v>
      </c>
      <c r="N1578" s="154" t="e">
        <f t="shared" si="228"/>
        <v>#VALUE!</v>
      </c>
      <c r="O1578">
        <v>14.66</v>
      </c>
      <c r="P1578" s="154" t="e">
        <f t="shared" si="229"/>
        <v>#VALUE!</v>
      </c>
      <c r="Q1578">
        <v>14.66</v>
      </c>
      <c r="R1578" s="154" t="e">
        <f t="shared" si="230"/>
        <v>#VALUE!</v>
      </c>
      <c r="S1578">
        <v>14.66</v>
      </c>
      <c r="T1578" s="154" t="e">
        <f t="shared" si="231"/>
        <v>#VALUE!</v>
      </c>
      <c r="U1578">
        <v>14.66</v>
      </c>
      <c r="V1578" s="154" t="e">
        <f t="shared" si="232"/>
        <v>#VALUE!</v>
      </c>
      <c r="W1578">
        <v>14.66</v>
      </c>
      <c r="X1578" s="157" t="e">
        <f t="shared" si="233"/>
        <v>#VALUE!</v>
      </c>
      <c r="Y1578">
        <v>14.66</v>
      </c>
      <c r="Z1578" s="154" t="e">
        <f t="shared" si="234"/>
        <v>#VALUE!</v>
      </c>
      <c r="AA1578">
        <v>14.66</v>
      </c>
      <c r="AB1578" s="154" t="e">
        <f t="shared" si="235"/>
        <v>#VALUE!</v>
      </c>
      <c r="AC1578">
        <v>14.66</v>
      </c>
      <c r="AD1578" s="154" t="e">
        <f t="shared" si="236"/>
        <v>#VALUE!</v>
      </c>
      <c r="AE1578">
        <v>14.66</v>
      </c>
    </row>
    <row r="1579" spans="12:31" ht="15" x14ac:dyDescent="0.2">
      <c r="L1579" s="154" t="e">
        <f t="shared" si="227"/>
        <v>#VALUE!</v>
      </c>
      <c r="M1579">
        <v>14.67</v>
      </c>
      <c r="N1579" s="154" t="e">
        <f t="shared" si="228"/>
        <v>#VALUE!</v>
      </c>
      <c r="O1579">
        <v>14.67</v>
      </c>
      <c r="P1579" s="154" t="e">
        <f t="shared" si="229"/>
        <v>#VALUE!</v>
      </c>
      <c r="Q1579">
        <v>14.67</v>
      </c>
      <c r="R1579" s="154" t="e">
        <f t="shared" si="230"/>
        <v>#VALUE!</v>
      </c>
      <c r="S1579">
        <v>14.67</v>
      </c>
      <c r="T1579" s="154" t="e">
        <f t="shared" si="231"/>
        <v>#VALUE!</v>
      </c>
      <c r="U1579">
        <v>14.67</v>
      </c>
      <c r="V1579" s="154" t="e">
        <f t="shared" si="232"/>
        <v>#VALUE!</v>
      </c>
      <c r="W1579">
        <v>14.67</v>
      </c>
      <c r="X1579" s="157" t="e">
        <f t="shared" si="233"/>
        <v>#VALUE!</v>
      </c>
      <c r="Y1579">
        <v>14.67</v>
      </c>
      <c r="Z1579" s="154" t="e">
        <f t="shared" si="234"/>
        <v>#VALUE!</v>
      </c>
      <c r="AA1579">
        <v>14.67</v>
      </c>
      <c r="AB1579" s="154" t="e">
        <f t="shared" si="235"/>
        <v>#VALUE!</v>
      </c>
      <c r="AC1579">
        <v>14.67</v>
      </c>
      <c r="AD1579" s="154" t="e">
        <f t="shared" si="236"/>
        <v>#VALUE!</v>
      </c>
      <c r="AE1579">
        <v>14.67</v>
      </c>
    </row>
    <row r="1580" spans="12:31" ht="15" x14ac:dyDescent="0.2">
      <c r="L1580" s="154" t="e">
        <f t="shared" si="227"/>
        <v>#VALUE!</v>
      </c>
      <c r="M1580">
        <v>14.68</v>
      </c>
      <c r="N1580" s="154" t="e">
        <f t="shared" si="228"/>
        <v>#VALUE!</v>
      </c>
      <c r="O1580">
        <v>14.68</v>
      </c>
      <c r="P1580" s="154" t="e">
        <f t="shared" si="229"/>
        <v>#VALUE!</v>
      </c>
      <c r="Q1580">
        <v>14.68</v>
      </c>
      <c r="R1580" s="154" t="e">
        <f t="shared" si="230"/>
        <v>#VALUE!</v>
      </c>
      <c r="S1580">
        <v>14.68</v>
      </c>
      <c r="T1580" s="154" t="e">
        <f t="shared" si="231"/>
        <v>#VALUE!</v>
      </c>
      <c r="U1580">
        <v>14.68</v>
      </c>
      <c r="V1580" s="154" t="e">
        <f t="shared" si="232"/>
        <v>#VALUE!</v>
      </c>
      <c r="W1580">
        <v>14.68</v>
      </c>
      <c r="X1580" s="157" t="e">
        <f t="shared" si="233"/>
        <v>#VALUE!</v>
      </c>
      <c r="Y1580">
        <v>14.68</v>
      </c>
      <c r="Z1580" s="154" t="e">
        <f t="shared" si="234"/>
        <v>#VALUE!</v>
      </c>
      <c r="AA1580">
        <v>14.68</v>
      </c>
      <c r="AB1580" s="154" t="e">
        <f t="shared" si="235"/>
        <v>#VALUE!</v>
      </c>
      <c r="AC1580">
        <v>14.68</v>
      </c>
      <c r="AD1580" s="154" t="e">
        <f t="shared" si="236"/>
        <v>#VALUE!</v>
      </c>
      <c r="AE1580">
        <v>14.68</v>
      </c>
    </row>
    <row r="1581" spans="12:31" ht="15" x14ac:dyDescent="0.2">
      <c r="L1581" s="154" t="e">
        <f t="shared" si="227"/>
        <v>#VALUE!</v>
      </c>
      <c r="M1581">
        <v>14.69</v>
      </c>
      <c r="N1581" s="154" t="e">
        <f t="shared" si="228"/>
        <v>#VALUE!</v>
      </c>
      <c r="O1581">
        <v>14.69</v>
      </c>
      <c r="P1581" s="154" t="e">
        <f t="shared" si="229"/>
        <v>#VALUE!</v>
      </c>
      <c r="Q1581">
        <v>14.69</v>
      </c>
      <c r="R1581" s="154" t="e">
        <f t="shared" si="230"/>
        <v>#VALUE!</v>
      </c>
      <c r="S1581">
        <v>14.69</v>
      </c>
      <c r="T1581" s="154" t="e">
        <f t="shared" si="231"/>
        <v>#VALUE!</v>
      </c>
      <c r="U1581">
        <v>14.69</v>
      </c>
      <c r="V1581" s="154" t="e">
        <f t="shared" si="232"/>
        <v>#VALUE!</v>
      </c>
      <c r="W1581">
        <v>14.69</v>
      </c>
      <c r="X1581" s="157" t="e">
        <f t="shared" si="233"/>
        <v>#VALUE!</v>
      </c>
      <c r="Y1581">
        <v>14.69</v>
      </c>
      <c r="Z1581" s="154" t="e">
        <f t="shared" si="234"/>
        <v>#VALUE!</v>
      </c>
      <c r="AA1581">
        <v>14.69</v>
      </c>
      <c r="AB1581" s="154" t="e">
        <f t="shared" si="235"/>
        <v>#VALUE!</v>
      </c>
      <c r="AC1581">
        <v>14.69</v>
      </c>
      <c r="AD1581" s="154" t="e">
        <f t="shared" si="236"/>
        <v>#VALUE!</v>
      </c>
      <c r="AE1581">
        <v>14.69</v>
      </c>
    </row>
    <row r="1582" spans="12:31" ht="15" x14ac:dyDescent="0.2">
      <c r="L1582" s="154" t="e">
        <f t="shared" si="227"/>
        <v>#VALUE!</v>
      </c>
      <c r="M1582">
        <v>14.7</v>
      </c>
      <c r="N1582" s="154" t="e">
        <f t="shared" si="228"/>
        <v>#VALUE!</v>
      </c>
      <c r="O1582">
        <v>14.7</v>
      </c>
      <c r="P1582" s="154" t="e">
        <f t="shared" si="229"/>
        <v>#VALUE!</v>
      </c>
      <c r="Q1582">
        <v>14.7</v>
      </c>
      <c r="R1582" s="154" t="e">
        <f t="shared" si="230"/>
        <v>#VALUE!</v>
      </c>
      <c r="S1582">
        <v>14.7</v>
      </c>
      <c r="T1582" s="154" t="e">
        <f t="shared" si="231"/>
        <v>#VALUE!</v>
      </c>
      <c r="U1582">
        <v>14.7</v>
      </c>
      <c r="V1582" s="154" t="e">
        <f t="shared" si="232"/>
        <v>#VALUE!</v>
      </c>
      <c r="W1582">
        <v>14.7</v>
      </c>
      <c r="X1582" s="157" t="e">
        <f t="shared" si="233"/>
        <v>#VALUE!</v>
      </c>
      <c r="Y1582">
        <v>14.7</v>
      </c>
      <c r="Z1582" s="154" t="e">
        <f t="shared" si="234"/>
        <v>#VALUE!</v>
      </c>
      <c r="AA1582">
        <v>14.7</v>
      </c>
      <c r="AB1582" s="154" t="e">
        <f t="shared" si="235"/>
        <v>#VALUE!</v>
      </c>
      <c r="AC1582">
        <v>14.7</v>
      </c>
      <c r="AD1582" s="154" t="e">
        <f t="shared" si="236"/>
        <v>#VALUE!</v>
      </c>
      <c r="AE1582">
        <v>14.7</v>
      </c>
    </row>
    <row r="1583" spans="12:31" ht="15" x14ac:dyDescent="0.2">
      <c r="L1583" s="154" t="e">
        <f t="shared" si="227"/>
        <v>#VALUE!</v>
      </c>
      <c r="M1583">
        <v>14.71</v>
      </c>
      <c r="N1583" s="154" t="e">
        <f t="shared" si="228"/>
        <v>#VALUE!</v>
      </c>
      <c r="O1583">
        <v>14.71</v>
      </c>
      <c r="P1583" s="154" t="e">
        <f t="shared" si="229"/>
        <v>#VALUE!</v>
      </c>
      <c r="Q1583">
        <v>14.71</v>
      </c>
      <c r="R1583" s="154" t="e">
        <f t="shared" si="230"/>
        <v>#VALUE!</v>
      </c>
      <c r="S1583">
        <v>14.71</v>
      </c>
      <c r="T1583" s="154" t="e">
        <f t="shared" si="231"/>
        <v>#VALUE!</v>
      </c>
      <c r="U1583">
        <v>14.71</v>
      </c>
      <c r="V1583" s="154" t="e">
        <f t="shared" si="232"/>
        <v>#VALUE!</v>
      </c>
      <c r="W1583">
        <v>14.71</v>
      </c>
      <c r="X1583" s="157" t="e">
        <f t="shared" si="233"/>
        <v>#VALUE!</v>
      </c>
      <c r="Y1583">
        <v>14.71</v>
      </c>
      <c r="Z1583" s="154" t="e">
        <f t="shared" si="234"/>
        <v>#VALUE!</v>
      </c>
      <c r="AA1583">
        <v>14.71</v>
      </c>
      <c r="AB1583" s="154" t="e">
        <f t="shared" si="235"/>
        <v>#VALUE!</v>
      </c>
      <c r="AC1583">
        <v>14.71</v>
      </c>
      <c r="AD1583" s="154" t="e">
        <f t="shared" si="236"/>
        <v>#VALUE!</v>
      </c>
      <c r="AE1583">
        <v>14.71</v>
      </c>
    </row>
    <row r="1584" spans="12:31" ht="15" x14ac:dyDescent="0.2">
      <c r="L1584" s="154" t="e">
        <f t="shared" si="227"/>
        <v>#VALUE!</v>
      </c>
      <c r="M1584">
        <v>14.72</v>
      </c>
      <c r="N1584" s="154" t="e">
        <f t="shared" si="228"/>
        <v>#VALUE!</v>
      </c>
      <c r="O1584">
        <v>14.72</v>
      </c>
      <c r="P1584" s="154" t="e">
        <f t="shared" si="229"/>
        <v>#VALUE!</v>
      </c>
      <c r="Q1584">
        <v>14.72</v>
      </c>
      <c r="R1584" s="154" t="e">
        <f t="shared" si="230"/>
        <v>#VALUE!</v>
      </c>
      <c r="S1584">
        <v>14.72</v>
      </c>
      <c r="T1584" s="154" t="e">
        <f t="shared" si="231"/>
        <v>#VALUE!</v>
      </c>
      <c r="U1584">
        <v>14.72</v>
      </c>
      <c r="V1584" s="154" t="e">
        <f t="shared" si="232"/>
        <v>#VALUE!</v>
      </c>
      <c r="W1584">
        <v>14.72</v>
      </c>
      <c r="X1584" s="157" t="e">
        <f t="shared" si="233"/>
        <v>#VALUE!</v>
      </c>
      <c r="Y1584">
        <v>14.72</v>
      </c>
      <c r="Z1584" s="154" t="e">
        <f t="shared" si="234"/>
        <v>#VALUE!</v>
      </c>
      <c r="AA1584">
        <v>14.72</v>
      </c>
      <c r="AB1584" s="154" t="e">
        <f t="shared" si="235"/>
        <v>#VALUE!</v>
      </c>
      <c r="AC1584">
        <v>14.72</v>
      </c>
      <c r="AD1584" s="154" t="e">
        <f t="shared" si="236"/>
        <v>#VALUE!</v>
      </c>
      <c r="AE1584">
        <v>14.72</v>
      </c>
    </row>
    <row r="1585" spans="12:31" ht="15" x14ac:dyDescent="0.2">
      <c r="L1585" s="154" t="e">
        <f t="shared" ref="L1585:L1648" si="237">((1.486/$D$33)*((((PI()*($D$46/12)^2)/4)-((($D$46/12)/2)^2*((2*ACOS(((($D$46/12)/2)-(($D$46/12)-(M1585/12)))/(($D$46/12)/2)))-SIN(2*ACOS(((($D$46/12)/2)-(($D$46/12)-(M1585/12)))/(($D$46/12)/2))))/2))/((PI()*($D$46/12))-((2*ACOS(((($D$46/12)/2)-(($D$46/12)-(M1585/12)))/(($D$46/12)/2)))*(($D$46/12)/2))))^(2/3)*$H$17^0.5)*(((PI()*($D$46/12)^2)/4)-((($D$46/12)/2)^2*((2*ACOS(((($D$46/12)/2)-(($D$46/12)-(M1585/12)))/(($D$46/12)/2)))-SIN(2*ACOS(((($D$46/12)/2)-(($D$46/12)-(M1585/12)))/(($D$46/12)/2))))/2))</f>
        <v>#VALUE!</v>
      </c>
      <c r="M1585">
        <v>14.73</v>
      </c>
      <c r="N1585" s="154" t="e">
        <f t="shared" ref="N1585:N1648" si="238">((1.486/$D$34)*((((PI()*($D$47/12)^2)/4)-((($D$47/12)/2)^2*((2*ACOS(((($D$47/12)/2)-(($D$47/12)-(O1585/12)))/(($D$47/12)/2)))-SIN(2*ACOS(((($D$47/12)/2)-(($D$47/12)-(O1585/12)))/(($D$47/12)/2))))/2))/((PI()*($D$47/12))-((2*ACOS(((($D$47/12)/2)-(($D$47/12)-(O1585/12)))/(($D$47/12)/2)))*(($D$47/12)/2))))^(2/3)*$H$18^0.5)*(((PI()*($D$47/12)^2)/4)-((($D$47/12)/2)^2*((2*ACOS(((($D$47/12)/2)-(($D$47/12)-(O1585/12)))/(($D$47/12)/2)))-SIN(2*ACOS(((($D$47/12)/2)-(($D$47/12)-(O1585/12)))/(($D$47/12)/2))))/2))</f>
        <v>#VALUE!</v>
      </c>
      <c r="O1585">
        <v>14.73</v>
      </c>
      <c r="P1585" s="154" t="e">
        <f t="shared" ref="P1585:P1648" si="239">((1.486/$D$35)*((((PI()*($D$48/12)^2)/4)-((($D$48/12)/2)^2*((2*ACOS(((($D$48/12)/2)-(($D$48/12)-(Q1585/12)))/(($D$48/12)/2)))-SIN(2*ACOS(((($D$48/12)/2)-(($D$48/12)-(Q1585/12)))/(($D$48/12)/2))))/2))/((PI()*($D$48/12))-((2*ACOS(((($D$48/12)/2)-(($D$48/12)-(Q1585/12)))/(($D$48/12)/2)))*(($D$48/12)/2))))^(2/3)*$H$19^0.5)*(((PI()*($D$48/12)^2)/4)-((($D$48/12)/2)^2*((2*ACOS(((($D$48/12)/2)-(($D$48/12)-(Q1585/12)))/(($D$48/12)/2)))-SIN(2*ACOS(((($D$48/12)/2)-(($D$48/12)-(Q1585/12)))/(($D$48/12)/2))))/2))</f>
        <v>#VALUE!</v>
      </c>
      <c r="Q1585">
        <v>14.73</v>
      </c>
      <c r="R1585" s="154" t="e">
        <f t="shared" ref="R1585:R1648" si="240">((1.486/$D$36)*((((PI()*($D$49/12)^2)/4)-((($D$49/12)/2)^2*((2*ACOS(((($D$49/12)/2)-(($D$49/12)-(S1585/12)))/(($D$49/12)/2)))-SIN(2*ACOS(((($D$49/12)/2)-(($D$49/12)-(S1585/12)))/(($D$49/12)/2))))/2))/((PI()*($D$49/12))-((2*ACOS(((($D$49/12)/2)-(($D$49/12)-(S1585/12)))/(($D$49/12)/2)))*(($D$49/12)/2))))^(2/3)*$H$20^0.5)*(((PI()*($D$49/12)^2)/4)-((($D$49/12)/2)^2*((2*ACOS(((($D$49/12)/2)-(($D$49/12)-(S1585/12)))/(($D$49/12)/2)))-SIN(2*ACOS(((($D$49/12)/2)-(($D$49/12)-(S1585/12)))/(($D$49/12)/2))))/2))</f>
        <v>#VALUE!</v>
      </c>
      <c r="S1585">
        <v>14.73</v>
      </c>
      <c r="T1585" s="154" t="e">
        <f t="shared" ref="T1585:T1648" si="241">((1.486/$D$37)*((((PI()*($D$50/12)^2)/4)-((($D$50/12)/2)^2*((2*ACOS(((($D$50/12)/2)-(($D$50/12)-(U1585/12)))/(($D$50/12)/2)))-SIN(2*ACOS(((($D$50/12)/2)-(($D$50/12)-(U1585/12)))/(($D$50/12)/2))))/2))/((PI()*($D$50/12))-((2*ACOS(((($D$50/12)/2)-(($D$50/12)-(U1585/12)))/(($D$50/12)/2)))*(($D$50/12)/2))))^(2/3)*$H$21^0.5)*(((PI()*($D$50/12)^2)/4)-((($D$50/12)/2)^2*((2*ACOS(((($D$50/12)/2)-(($D$50/12)-(U1585/12)))/(($D$50/12)/2)))-SIN(2*ACOS(((($D$50/12)/2)-(($D$50/12)-(U1585/12)))/(($D$50/12)/2))))/2))</f>
        <v>#VALUE!</v>
      </c>
      <c r="U1585">
        <v>14.73</v>
      </c>
      <c r="V1585" s="154" t="e">
        <f t="shared" ref="V1585:V1648" si="242">((1.486/$D$38)*((((PI()*($D$51/12)^2)/4)-((($D$51/12)/2)^2*((2*ACOS(((($D$51/12)/2)-(($D$51/12)-(W1585/12)))/(($D$51/12)/2)))-SIN(2*ACOS(((($D$51/12)/2)-(($D$51/12)-(W1585/12)))/(($D$51/12)/2))))/2))/((PI()*($D$51/12))-((2*ACOS(((($D$51/12)/2)-(($D$51/12)-(W1585/12)))/(($D$51/12)/2)))*(($D$51/12)/2))))^(2/3)*$H$22^0.5)*(((PI()*($D$51/12)^2)/4)-((($D$51/12)/2)^2*((2*ACOS(((($D$51/12)/2)-(($D$51/12)-(W1585/12)))/(($D$51/12)/2)))-SIN(2*ACOS(((($D$51/12)/2)-(($D$51/12)-(W1585/12)))/(($D$51/12)/2))))/2))</f>
        <v>#VALUE!</v>
      </c>
      <c r="W1585">
        <v>14.73</v>
      </c>
      <c r="X1585" s="157" t="e">
        <f t="shared" ref="X1585:X1648" si="243">((1.486/$D$39)*((((PI()*($D$52/12)^2)/4)-((($D$52/12)/2)^2*((2*ACOS(((($D$52/12)/2)-(($D$52/12)-(Y1585/12)))/(($D$52/12)/2)))-SIN(2*ACOS(((($D$52/12)/2)-(($D$52/12)-(Y1585/12)))/(($D$52/12)/2))))/2))/((PI()*($D$52/12))-((2*ACOS(((($D$52/12)/2)-(($D$52/12)-(Y1585/12)))/(($D$52/12)/2)))*(($D$52/12)/2))))^(2/3)*$H$23^0.5)*(((PI()*($D$52/12)^2)/4)-((($D$52/12)/2)^2*((2*ACOS(((($D$52/12)/2)-(($D$52/12)-(Y1585/12)))/(($D$52/12)/2)))-SIN(2*ACOS(((($D$52/12)/2)-(($D$52/12)-(Y1585/12)))/(($D$52/12)/2))))/2))</f>
        <v>#VALUE!</v>
      </c>
      <c r="Y1585">
        <v>14.73</v>
      </c>
      <c r="Z1585" s="154" t="e">
        <f t="shared" ref="Z1585:Z1648" si="244">((1.486/$D$40)*((((PI()*($D$53/12)^2)/4)-((($D$53/12)/2)^2*((2*ACOS(((($D$53/12)/2)-(($D$53/12)-(AA1585/12)))/(($D$53/12)/2)))-SIN(2*ACOS(((($D$53/12)/2)-(($D$53/12)-(AA1585/12)))/(($D$53/12)/2))))/2))/((PI()*($D$53/12))-((2*ACOS(((($D$53/12)/2)-(($D$53/12)-(AA1585/12)))/(($D$53/12)/2)))*(($D$53/12)/2))))^(2/3)*$H$24^0.5)*(((PI()*($D$53/12)^2)/4)-((($D$53/12)/2)^2*((2*ACOS(((($D$53/12)/2)-(($D$53/12)-(AA1585/12)))/(($D$53/12)/2)))-SIN(2*ACOS(((($D$53/12)/2)-(($D$53/12)-(AA1585/12)))/(($D$53/12)/2))))/2))</f>
        <v>#VALUE!</v>
      </c>
      <c r="AA1585">
        <v>14.73</v>
      </c>
      <c r="AB1585" s="154" t="e">
        <f t="shared" ref="AB1585:AB1648" si="245">((1.486/$D$41)*((((PI()*($D$54/12)^2)/4)-((($D$54/12)/2)^2*((2*ACOS(((($D$54/12)/2)-(($D$54/12)-(AC1585/12)))/(($D$54/12)/2)))-SIN(2*ACOS(((($D$54/12)/2)-(($D$54/12)-(AC1585/12)))/(($D$54/12)/2))))/2))/((PI()*($D$54/12))-((2*ACOS(((($D$54/12)/2)-(($D$54/12)-(AC1585/12)))/(($D$54/12)/2)))*(($D$54/12)/2))))^(2/3)*$H$25^0.5)*(((PI()*($D$54/12)^2)/4)-((($D$54/12)/2)^2*((2*ACOS(((($D$54/12)/2)-(($D$54/12)-(AC1585/12)))/(($D$54/12)/2)))-SIN(2*ACOS(((($D$54/12)/2)-(($D$54/12)-(AC1585/12)))/(($D$54/12)/2))))/2))</f>
        <v>#VALUE!</v>
      </c>
      <c r="AC1585">
        <v>14.73</v>
      </c>
      <c r="AD1585" s="154" t="e">
        <f t="shared" ref="AD1585:AD1648" si="246">((1.486/$D$42)*((((PI()*($D$55/12)^2)/4)-((($D$55/12)/2)^2*((2*ACOS(((($D$55/12)/2)-(($D$55/12)-(AE1585/12)))/(($D$55/12)/2)))-SIN(2*ACOS(((($D$55/12)/2)-(($D$55/12)-(AE1585/12)))/(($D$55/12)/2))))/2))/((PI()*($D$55/12))-((2*ACOS(((($D$55/12)/2)-(($D$55/12)-(AE1585/12)))/(($D$55/12)/2)))*(($D$55/12)/2))))^(2/3)*$H$26^0.5)*(((PI()*($D$55/12)^2)/4)-((($D$55/12)/2)^2*((2*ACOS(((($D$55/12)/2)-(($D$55/12)-(AE1585/12)))/(($D$55/12)/2)))-SIN(2*ACOS(((($D$55/12)/2)-(($D$55/12)-(AE1585/12)))/(($D$55/12)/2))))/2))</f>
        <v>#VALUE!</v>
      </c>
      <c r="AE1585">
        <v>14.73</v>
      </c>
    </row>
    <row r="1586" spans="12:31" ht="15" x14ac:dyDescent="0.2">
      <c r="L1586" s="154" t="e">
        <f t="shared" si="237"/>
        <v>#VALUE!</v>
      </c>
      <c r="M1586">
        <v>14.74</v>
      </c>
      <c r="N1586" s="154" t="e">
        <f t="shared" si="238"/>
        <v>#VALUE!</v>
      </c>
      <c r="O1586">
        <v>14.74</v>
      </c>
      <c r="P1586" s="154" t="e">
        <f t="shared" si="239"/>
        <v>#VALUE!</v>
      </c>
      <c r="Q1586">
        <v>14.74</v>
      </c>
      <c r="R1586" s="154" t="e">
        <f t="shared" si="240"/>
        <v>#VALUE!</v>
      </c>
      <c r="S1586">
        <v>14.74</v>
      </c>
      <c r="T1586" s="154" t="e">
        <f t="shared" si="241"/>
        <v>#VALUE!</v>
      </c>
      <c r="U1586">
        <v>14.74</v>
      </c>
      <c r="V1586" s="154" t="e">
        <f t="shared" si="242"/>
        <v>#VALUE!</v>
      </c>
      <c r="W1586">
        <v>14.74</v>
      </c>
      <c r="X1586" s="157" t="e">
        <f t="shared" si="243"/>
        <v>#VALUE!</v>
      </c>
      <c r="Y1586">
        <v>14.74</v>
      </c>
      <c r="Z1586" s="154" t="e">
        <f t="shared" si="244"/>
        <v>#VALUE!</v>
      </c>
      <c r="AA1586">
        <v>14.74</v>
      </c>
      <c r="AB1586" s="154" t="e">
        <f t="shared" si="245"/>
        <v>#VALUE!</v>
      </c>
      <c r="AC1586">
        <v>14.74</v>
      </c>
      <c r="AD1586" s="154" t="e">
        <f t="shared" si="246"/>
        <v>#VALUE!</v>
      </c>
      <c r="AE1586">
        <v>14.74</v>
      </c>
    </row>
    <row r="1587" spans="12:31" ht="15" x14ac:dyDescent="0.2">
      <c r="L1587" s="154" t="e">
        <f t="shared" si="237"/>
        <v>#VALUE!</v>
      </c>
      <c r="M1587">
        <v>14.75</v>
      </c>
      <c r="N1587" s="154" t="e">
        <f t="shared" si="238"/>
        <v>#VALUE!</v>
      </c>
      <c r="O1587">
        <v>14.75</v>
      </c>
      <c r="P1587" s="154" t="e">
        <f t="shared" si="239"/>
        <v>#VALUE!</v>
      </c>
      <c r="Q1587">
        <v>14.75</v>
      </c>
      <c r="R1587" s="154" t="e">
        <f t="shared" si="240"/>
        <v>#VALUE!</v>
      </c>
      <c r="S1587">
        <v>14.75</v>
      </c>
      <c r="T1587" s="154" t="e">
        <f t="shared" si="241"/>
        <v>#VALUE!</v>
      </c>
      <c r="U1587">
        <v>14.75</v>
      </c>
      <c r="V1587" s="154" t="e">
        <f t="shared" si="242"/>
        <v>#VALUE!</v>
      </c>
      <c r="W1587">
        <v>14.75</v>
      </c>
      <c r="X1587" s="157" t="e">
        <f t="shared" si="243"/>
        <v>#VALUE!</v>
      </c>
      <c r="Y1587">
        <v>14.75</v>
      </c>
      <c r="Z1587" s="154" t="e">
        <f t="shared" si="244"/>
        <v>#VALUE!</v>
      </c>
      <c r="AA1587">
        <v>14.75</v>
      </c>
      <c r="AB1587" s="154" t="e">
        <f t="shared" si="245"/>
        <v>#VALUE!</v>
      </c>
      <c r="AC1587">
        <v>14.75</v>
      </c>
      <c r="AD1587" s="154" t="e">
        <f t="shared" si="246"/>
        <v>#VALUE!</v>
      </c>
      <c r="AE1587">
        <v>14.75</v>
      </c>
    </row>
    <row r="1588" spans="12:31" ht="15" x14ac:dyDescent="0.2">
      <c r="L1588" s="154" t="e">
        <f t="shared" si="237"/>
        <v>#VALUE!</v>
      </c>
      <c r="M1588">
        <v>14.76</v>
      </c>
      <c r="N1588" s="154" t="e">
        <f t="shared" si="238"/>
        <v>#VALUE!</v>
      </c>
      <c r="O1588">
        <v>14.76</v>
      </c>
      <c r="P1588" s="154" t="e">
        <f t="shared" si="239"/>
        <v>#VALUE!</v>
      </c>
      <c r="Q1588">
        <v>14.76</v>
      </c>
      <c r="R1588" s="154" t="e">
        <f t="shared" si="240"/>
        <v>#VALUE!</v>
      </c>
      <c r="S1588">
        <v>14.76</v>
      </c>
      <c r="T1588" s="154" t="e">
        <f t="shared" si="241"/>
        <v>#VALUE!</v>
      </c>
      <c r="U1588">
        <v>14.76</v>
      </c>
      <c r="V1588" s="154" t="e">
        <f t="shared" si="242"/>
        <v>#VALUE!</v>
      </c>
      <c r="W1588">
        <v>14.76</v>
      </c>
      <c r="X1588" s="157" t="e">
        <f t="shared" si="243"/>
        <v>#VALUE!</v>
      </c>
      <c r="Y1588">
        <v>14.76</v>
      </c>
      <c r="Z1588" s="154" t="e">
        <f t="shared" si="244"/>
        <v>#VALUE!</v>
      </c>
      <c r="AA1588">
        <v>14.76</v>
      </c>
      <c r="AB1588" s="154" t="e">
        <f t="shared" si="245"/>
        <v>#VALUE!</v>
      </c>
      <c r="AC1588">
        <v>14.76</v>
      </c>
      <c r="AD1588" s="154" t="e">
        <f t="shared" si="246"/>
        <v>#VALUE!</v>
      </c>
      <c r="AE1588">
        <v>14.76</v>
      </c>
    </row>
    <row r="1589" spans="12:31" ht="15" x14ac:dyDescent="0.2">
      <c r="L1589" s="154" t="e">
        <f t="shared" si="237"/>
        <v>#VALUE!</v>
      </c>
      <c r="M1589">
        <v>14.77</v>
      </c>
      <c r="N1589" s="154" t="e">
        <f t="shared" si="238"/>
        <v>#VALUE!</v>
      </c>
      <c r="O1589">
        <v>14.77</v>
      </c>
      <c r="P1589" s="154" t="e">
        <f t="shared" si="239"/>
        <v>#VALUE!</v>
      </c>
      <c r="Q1589">
        <v>14.77</v>
      </c>
      <c r="R1589" s="154" t="e">
        <f t="shared" si="240"/>
        <v>#VALUE!</v>
      </c>
      <c r="S1589">
        <v>14.77</v>
      </c>
      <c r="T1589" s="154" t="e">
        <f t="shared" si="241"/>
        <v>#VALUE!</v>
      </c>
      <c r="U1589">
        <v>14.77</v>
      </c>
      <c r="V1589" s="154" t="e">
        <f t="shared" si="242"/>
        <v>#VALUE!</v>
      </c>
      <c r="W1589">
        <v>14.77</v>
      </c>
      <c r="X1589" s="157" t="e">
        <f t="shared" si="243"/>
        <v>#VALUE!</v>
      </c>
      <c r="Y1589">
        <v>14.77</v>
      </c>
      <c r="Z1589" s="154" t="e">
        <f t="shared" si="244"/>
        <v>#VALUE!</v>
      </c>
      <c r="AA1589">
        <v>14.77</v>
      </c>
      <c r="AB1589" s="154" t="e">
        <f t="shared" si="245"/>
        <v>#VALUE!</v>
      </c>
      <c r="AC1589">
        <v>14.77</v>
      </c>
      <c r="AD1589" s="154" t="e">
        <f t="shared" si="246"/>
        <v>#VALUE!</v>
      </c>
      <c r="AE1589">
        <v>14.77</v>
      </c>
    </row>
    <row r="1590" spans="12:31" ht="15" x14ac:dyDescent="0.2">
      <c r="L1590" s="154" t="e">
        <f t="shared" si="237"/>
        <v>#VALUE!</v>
      </c>
      <c r="M1590">
        <v>14.78</v>
      </c>
      <c r="N1590" s="154" t="e">
        <f t="shared" si="238"/>
        <v>#VALUE!</v>
      </c>
      <c r="O1590">
        <v>14.78</v>
      </c>
      <c r="P1590" s="154" t="e">
        <f t="shared" si="239"/>
        <v>#VALUE!</v>
      </c>
      <c r="Q1590">
        <v>14.78</v>
      </c>
      <c r="R1590" s="154" t="e">
        <f t="shared" si="240"/>
        <v>#VALUE!</v>
      </c>
      <c r="S1590">
        <v>14.78</v>
      </c>
      <c r="T1590" s="154" t="e">
        <f t="shared" si="241"/>
        <v>#VALUE!</v>
      </c>
      <c r="U1590">
        <v>14.78</v>
      </c>
      <c r="V1590" s="154" t="e">
        <f t="shared" si="242"/>
        <v>#VALUE!</v>
      </c>
      <c r="W1590">
        <v>14.78</v>
      </c>
      <c r="X1590" s="157" t="e">
        <f t="shared" si="243"/>
        <v>#VALUE!</v>
      </c>
      <c r="Y1590">
        <v>14.78</v>
      </c>
      <c r="Z1590" s="154" t="e">
        <f t="shared" si="244"/>
        <v>#VALUE!</v>
      </c>
      <c r="AA1590">
        <v>14.78</v>
      </c>
      <c r="AB1590" s="154" t="e">
        <f t="shared" si="245"/>
        <v>#VALUE!</v>
      </c>
      <c r="AC1590">
        <v>14.78</v>
      </c>
      <c r="AD1590" s="154" t="e">
        <f t="shared" si="246"/>
        <v>#VALUE!</v>
      </c>
      <c r="AE1590">
        <v>14.78</v>
      </c>
    </row>
    <row r="1591" spans="12:31" ht="15" x14ac:dyDescent="0.2">
      <c r="L1591" s="154" t="e">
        <f t="shared" si="237"/>
        <v>#VALUE!</v>
      </c>
      <c r="M1591">
        <v>14.79</v>
      </c>
      <c r="N1591" s="154" t="e">
        <f t="shared" si="238"/>
        <v>#VALUE!</v>
      </c>
      <c r="O1591">
        <v>14.79</v>
      </c>
      <c r="P1591" s="154" t="e">
        <f t="shared" si="239"/>
        <v>#VALUE!</v>
      </c>
      <c r="Q1591">
        <v>14.79</v>
      </c>
      <c r="R1591" s="154" t="e">
        <f t="shared" si="240"/>
        <v>#VALUE!</v>
      </c>
      <c r="S1591">
        <v>14.79</v>
      </c>
      <c r="T1591" s="154" t="e">
        <f t="shared" si="241"/>
        <v>#VALUE!</v>
      </c>
      <c r="U1591">
        <v>14.79</v>
      </c>
      <c r="V1591" s="154" t="e">
        <f t="shared" si="242"/>
        <v>#VALUE!</v>
      </c>
      <c r="W1591">
        <v>14.79</v>
      </c>
      <c r="X1591" s="157" t="e">
        <f t="shared" si="243"/>
        <v>#VALUE!</v>
      </c>
      <c r="Y1591">
        <v>14.79</v>
      </c>
      <c r="Z1591" s="154" t="e">
        <f t="shared" si="244"/>
        <v>#VALUE!</v>
      </c>
      <c r="AA1591">
        <v>14.79</v>
      </c>
      <c r="AB1591" s="154" t="e">
        <f t="shared" si="245"/>
        <v>#VALUE!</v>
      </c>
      <c r="AC1591">
        <v>14.79</v>
      </c>
      <c r="AD1591" s="154" t="e">
        <f t="shared" si="246"/>
        <v>#VALUE!</v>
      </c>
      <c r="AE1591">
        <v>14.79</v>
      </c>
    </row>
    <row r="1592" spans="12:31" ht="15" x14ac:dyDescent="0.2">
      <c r="L1592" s="154" t="e">
        <f t="shared" si="237"/>
        <v>#VALUE!</v>
      </c>
      <c r="M1592">
        <v>14.8</v>
      </c>
      <c r="N1592" s="154" t="e">
        <f t="shared" si="238"/>
        <v>#VALUE!</v>
      </c>
      <c r="O1592">
        <v>14.8</v>
      </c>
      <c r="P1592" s="154" t="e">
        <f t="shared" si="239"/>
        <v>#VALUE!</v>
      </c>
      <c r="Q1592">
        <v>14.8</v>
      </c>
      <c r="R1592" s="154" t="e">
        <f t="shared" si="240"/>
        <v>#VALUE!</v>
      </c>
      <c r="S1592">
        <v>14.8</v>
      </c>
      <c r="T1592" s="154" t="e">
        <f t="shared" si="241"/>
        <v>#VALUE!</v>
      </c>
      <c r="U1592">
        <v>14.8</v>
      </c>
      <c r="V1592" s="154" t="e">
        <f t="shared" si="242"/>
        <v>#VALUE!</v>
      </c>
      <c r="W1592">
        <v>14.8</v>
      </c>
      <c r="X1592" s="157" t="e">
        <f t="shared" si="243"/>
        <v>#VALUE!</v>
      </c>
      <c r="Y1592">
        <v>14.8</v>
      </c>
      <c r="Z1592" s="154" t="e">
        <f t="shared" si="244"/>
        <v>#VALUE!</v>
      </c>
      <c r="AA1592">
        <v>14.8</v>
      </c>
      <c r="AB1592" s="154" t="e">
        <f t="shared" si="245"/>
        <v>#VALUE!</v>
      </c>
      <c r="AC1592">
        <v>14.8</v>
      </c>
      <c r="AD1592" s="154" t="e">
        <f t="shared" si="246"/>
        <v>#VALUE!</v>
      </c>
      <c r="AE1592">
        <v>14.8</v>
      </c>
    </row>
    <row r="1593" spans="12:31" ht="15" x14ac:dyDescent="0.2">
      <c r="L1593" s="154" t="e">
        <f t="shared" si="237"/>
        <v>#VALUE!</v>
      </c>
      <c r="M1593">
        <v>14.81</v>
      </c>
      <c r="N1593" s="154" t="e">
        <f t="shared" si="238"/>
        <v>#VALUE!</v>
      </c>
      <c r="O1593">
        <v>14.81</v>
      </c>
      <c r="P1593" s="154" t="e">
        <f t="shared" si="239"/>
        <v>#VALUE!</v>
      </c>
      <c r="Q1593">
        <v>14.81</v>
      </c>
      <c r="R1593" s="154" t="e">
        <f t="shared" si="240"/>
        <v>#VALUE!</v>
      </c>
      <c r="S1593">
        <v>14.81</v>
      </c>
      <c r="T1593" s="154" t="e">
        <f t="shared" si="241"/>
        <v>#VALUE!</v>
      </c>
      <c r="U1593">
        <v>14.81</v>
      </c>
      <c r="V1593" s="154" t="e">
        <f t="shared" si="242"/>
        <v>#VALUE!</v>
      </c>
      <c r="W1593">
        <v>14.81</v>
      </c>
      <c r="X1593" s="157" t="e">
        <f t="shared" si="243"/>
        <v>#VALUE!</v>
      </c>
      <c r="Y1593">
        <v>14.81</v>
      </c>
      <c r="Z1593" s="154" t="e">
        <f t="shared" si="244"/>
        <v>#VALUE!</v>
      </c>
      <c r="AA1593">
        <v>14.81</v>
      </c>
      <c r="AB1593" s="154" t="e">
        <f t="shared" si="245"/>
        <v>#VALUE!</v>
      </c>
      <c r="AC1593">
        <v>14.81</v>
      </c>
      <c r="AD1593" s="154" t="e">
        <f t="shared" si="246"/>
        <v>#VALUE!</v>
      </c>
      <c r="AE1593">
        <v>14.81</v>
      </c>
    </row>
    <row r="1594" spans="12:31" ht="15" x14ac:dyDescent="0.2">
      <c r="L1594" s="154" t="e">
        <f t="shared" si="237"/>
        <v>#VALUE!</v>
      </c>
      <c r="M1594">
        <v>14.82</v>
      </c>
      <c r="N1594" s="154" t="e">
        <f t="shared" si="238"/>
        <v>#VALUE!</v>
      </c>
      <c r="O1594">
        <v>14.82</v>
      </c>
      <c r="P1594" s="154" t="e">
        <f t="shared" si="239"/>
        <v>#VALUE!</v>
      </c>
      <c r="Q1594">
        <v>14.82</v>
      </c>
      <c r="R1594" s="154" t="e">
        <f t="shared" si="240"/>
        <v>#VALUE!</v>
      </c>
      <c r="S1594">
        <v>14.82</v>
      </c>
      <c r="T1594" s="154" t="e">
        <f t="shared" si="241"/>
        <v>#VALUE!</v>
      </c>
      <c r="U1594">
        <v>14.82</v>
      </c>
      <c r="V1594" s="154" t="e">
        <f t="shared" si="242"/>
        <v>#VALUE!</v>
      </c>
      <c r="W1594">
        <v>14.82</v>
      </c>
      <c r="X1594" s="157" t="e">
        <f t="shared" si="243"/>
        <v>#VALUE!</v>
      </c>
      <c r="Y1594">
        <v>14.82</v>
      </c>
      <c r="Z1594" s="154" t="e">
        <f t="shared" si="244"/>
        <v>#VALUE!</v>
      </c>
      <c r="AA1594">
        <v>14.82</v>
      </c>
      <c r="AB1594" s="154" t="e">
        <f t="shared" si="245"/>
        <v>#VALUE!</v>
      </c>
      <c r="AC1594">
        <v>14.82</v>
      </c>
      <c r="AD1594" s="154" t="e">
        <f t="shared" si="246"/>
        <v>#VALUE!</v>
      </c>
      <c r="AE1594">
        <v>14.82</v>
      </c>
    </row>
    <row r="1595" spans="12:31" ht="15" x14ac:dyDescent="0.2">
      <c r="L1595" s="154" t="e">
        <f t="shared" si="237"/>
        <v>#VALUE!</v>
      </c>
      <c r="M1595">
        <v>14.83</v>
      </c>
      <c r="N1595" s="154" t="e">
        <f t="shared" si="238"/>
        <v>#VALUE!</v>
      </c>
      <c r="O1595">
        <v>14.83</v>
      </c>
      <c r="P1595" s="154" t="e">
        <f t="shared" si="239"/>
        <v>#VALUE!</v>
      </c>
      <c r="Q1595">
        <v>14.83</v>
      </c>
      <c r="R1595" s="154" t="e">
        <f t="shared" si="240"/>
        <v>#VALUE!</v>
      </c>
      <c r="S1595">
        <v>14.83</v>
      </c>
      <c r="T1595" s="154" t="e">
        <f t="shared" si="241"/>
        <v>#VALUE!</v>
      </c>
      <c r="U1595">
        <v>14.83</v>
      </c>
      <c r="V1595" s="154" t="e">
        <f t="shared" si="242"/>
        <v>#VALUE!</v>
      </c>
      <c r="W1595">
        <v>14.83</v>
      </c>
      <c r="X1595" s="157" t="e">
        <f t="shared" si="243"/>
        <v>#VALUE!</v>
      </c>
      <c r="Y1595">
        <v>14.83</v>
      </c>
      <c r="Z1595" s="154" t="e">
        <f t="shared" si="244"/>
        <v>#VALUE!</v>
      </c>
      <c r="AA1595">
        <v>14.83</v>
      </c>
      <c r="AB1595" s="154" t="e">
        <f t="shared" si="245"/>
        <v>#VALUE!</v>
      </c>
      <c r="AC1595">
        <v>14.83</v>
      </c>
      <c r="AD1595" s="154" t="e">
        <f t="shared" si="246"/>
        <v>#VALUE!</v>
      </c>
      <c r="AE1595">
        <v>14.83</v>
      </c>
    </row>
    <row r="1596" spans="12:31" ht="15" x14ac:dyDescent="0.2">
      <c r="L1596" s="154" t="e">
        <f t="shared" si="237"/>
        <v>#VALUE!</v>
      </c>
      <c r="M1596">
        <v>14.84</v>
      </c>
      <c r="N1596" s="154" t="e">
        <f t="shared" si="238"/>
        <v>#VALUE!</v>
      </c>
      <c r="O1596">
        <v>14.84</v>
      </c>
      <c r="P1596" s="154" t="e">
        <f t="shared" si="239"/>
        <v>#VALUE!</v>
      </c>
      <c r="Q1596">
        <v>14.84</v>
      </c>
      <c r="R1596" s="154" t="e">
        <f t="shared" si="240"/>
        <v>#VALUE!</v>
      </c>
      <c r="S1596">
        <v>14.84</v>
      </c>
      <c r="T1596" s="154" t="e">
        <f t="shared" si="241"/>
        <v>#VALUE!</v>
      </c>
      <c r="U1596">
        <v>14.84</v>
      </c>
      <c r="V1596" s="154" t="e">
        <f t="shared" si="242"/>
        <v>#VALUE!</v>
      </c>
      <c r="W1596">
        <v>14.84</v>
      </c>
      <c r="X1596" s="157" t="e">
        <f t="shared" si="243"/>
        <v>#VALUE!</v>
      </c>
      <c r="Y1596">
        <v>14.84</v>
      </c>
      <c r="Z1596" s="154" t="e">
        <f t="shared" si="244"/>
        <v>#VALUE!</v>
      </c>
      <c r="AA1596">
        <v>14.84</v>
      </c>
      <c r="AB1596" s="154" t="e">
        <f t="shared" si="245"/>
        <v>#VALUE!</v>
      </c>
      <c r="AC1596">
        <v>14.84</v>
      </c>
      <c r="AD1596" s="154" t="e">
        <f t="shared" si="246"/>
        <v>#VALUE!</v>
      </c>
      <c r="AE1596">
        <v>14.84</v>
      </c>
    </row>
    <row r="1597" spans="12:31" ht="15" x14ac:dyDescent="0.2">
      <c r="L1597" s="154" t="e">
        <f t="shared" si="237"/>
        <v>#VALUE!</v>
      </c>
      <c r="M1597">
        <v>14.85</v>
      </c>
      <c r="N1597" s="154" t="e">
        <f t="shared" si="238"/>
        <v>#VALUE!</v>
      </c>
      <c r="O1597">
        <v>14.85</v>
      </c>
      <c r="P1597" s="154" t="e">
        <f t="shared" si="239"/>
        <v>#VALUE!</v>
      </c>
      <c r="Q1597">
        <v>14.85</v>
      </c>
      <c r="R1597" s="154" t="e">
        <f t="shared" si="240"/>
        <v>#VALUE!</v>
      </c>
      <c r="S1597">
        <v>14.85</v>
      </c>
      <c r="T1597" s="154" t="e">
        <f t="shared" si="241"/>
        <v>#VALUE!</v>
      </c>
      <c r="U1597">
        <v>14.85</v>
      </c>
      <c r="V1597" s="154" t="e">
        <f t="shared" si="242"/>
        <v>#VALUE!</v>
      </c>
      <c r="W1597">
        <v>14.85</v>
      </c>
      <c r="X1597" s="157" t="e">
        <f t="shared" si="243"/>
        <v>#VALUE!</v>
      </c>
      <c r="Y1597">
        <v>14.85</v>
      </c>
      <c r="Z1597" s="154" t="e">
        <f t="shared" si="244"/>
        <v>#VALUE!</v>
      </c>
      <c r="AA1597">
        <v>14.85</v>
      </c>
      <c r="AB1597" s="154" t="e">
        <f t="shared" si="245"/>
        <v>#VALUE!</v>
      </c>
      <c r="AC1597">
        <v>14.85</v>
      </c>
      <c r="AD1597" s="154" t="e">
        <f t="shared" si="246"/>
        <v>#VALUE!</v>
      </c>
      <c r="AE1597">
        <v>14.85</v>
      </c>
    </row>
    <row r="1598" spans="12:31" ht="15" x14ac:dyDescent="0.2">
      <c r="L1598" s="154" t="e">
        <f t="shared" si="237"/>
        <v>#VALUE!</v>
      </c>
      <c r="M1598">
        <v>14.86</v>
      </c>
      <c r="N1598" s="154" t="e">
        <f t="shared" si="238"/>
        <v>#VALUE!</v>
      </c>
      <c r="O1598">
        <v>14.86</v>
      </c>
      <c r="P1598" s="154" t="e">
        <f t="shared" si="239"/>
        <v>#VALUE!</v>
      </c>
      <c r="Q1598">
        <v>14.86</v>
      </c>
      <c r="R1598" s="154" t="e">
        <f t="shared" si="240"/>
        <v>#VALUE!</v>
      </c>
      <c r="S1598">
        <v>14.86</v>
      </c>
      <c r="T1598" s="154" t="e">
        <f t="shared" si="241"/>
        <v>#VALUE!</v>
      </c>
      <c r="U1598">
        <v>14.86</v>
      </c>
      <c r="V1598" s="154" t="e">
        <f t="shared" si="242"/>
        <v>#VALUE!</v>
      </c>
      <c r="W1598">
        <v>14.86</v>
      </c>
      <c r="X1598" s="157" t="e">
        <f t="shared" si="243"/>
        <v>#VALUE!</v>
      </c>
      <c r="Y1598">
        <v>14.86</v>
      </c>
      <c r="Z1598" s="154" t="e">
        <f t="shared" si="244"/>
        <v>#VALUE!</v>
      </c>
      <c r="AA1598">
        <v>14.86</v>
      </c>
      <c r="AB1598" s="154" t="e">
        <f t="shared" si="245"/>
        <v>#VALUE!</v>
      </c>
      <c r="AC1598">
        <v>14.86</v>
      </c>
      <c r="AD1598" s="154" t="e">
        <f t="shared" si="246"/>
        <v>#VALUE!</v>
      </c>
      <c r="AE1598">
        <v>14.86</v>
      </c>
    </row>
    <row r="1599" spans="12:31" ht="15" x14ac:dyDescent="0.2">
      <c r="L1599" s="154" t="e">
        <f t="shared" si="237"/>
        <v>#VALUE!</v>
      </c>
      <c r="M1599">
        <v>14.87</v>
      </c>
      <c r="N1599" s="154" t="e">
        <f t="shared" si="238"/>
        <v>#VALUE!</v>
      </c>
      <c r="O1599">
        <v>14.87</v>
      </c>
      <c r="P1599" s="154" t="e">
        <f t="shared" si="239"/>
        <v>#VALUE!</v>
      </c>
      <c r="Q1599">
        <v>14.87</v>
      </c>
      <c r="R1599" s="154" t="e">
        <f t="shared" si="240"/>
        <v>#VALUE!</v>
      </c>
      <c r="S1599">
        <v>14.87</v>
      </c>
      <c r="T1599" s="154" t="e">
        <f t="shared" si="241"/>
        <v>#VALUE!</v>
      </c>
      <c r="U1599">
        <v>14.87</v>
      </c>
      <c r="V1599" s="154" t="e">
        <f t="shared" si="242"/>
        <v>#VALUE!</v>
      </c>
      <c r="W1599">
        <v>14.87</v>
      </c>
      <c r="X1599" s="157" t="e">
        <f t="shared" si="243"/>
        <v>#VALUE!</v>
      </c>
      <c r="Y1599">
        <v>14.87</v>
      </c>
      <c r="Z1599" s="154" t="e">
        <f t="shared" si="244"/>
        <v>#VALUE!</v>
      </c>
      <c r="AA1599">
        <v>14.87</v>
      </c>
      <c r="AB1599" s="154" t="e">
        <f t="shared" si="245"/>
        <v>#VALUE!</v>
      </c>
      <c r="AC1599">
        <v>14.87</v>
      </c>
      <c r="AD1599" s="154" t="e">
        <f t="shared" si="246"/>
        <v>#VALUE!</v>
      </c>
      <c r="AE1599">
        <v>14.87</v>
      </c>
    </row>
    <row r="1600" spans="12:31" ht="15" x14ac:dyDescent="0.2">
      <c r="L1600" s="154" t="e">
        <f t="shared" si="237"/>
        <v>#VALUE!</v>
      </c>
      <c r="M1600">
        <v>14.88</v>
      </c>
      <c r="N1600" s="154" t="e">
        <f t="shared" si="238"/>
        <v>#VALUE!</v>
      </c>
      <c r="O1600">
        <v>14.88</v>
      </c>
      <c r="P1600" s="154" t="e">
        <f t="shared" si="239"/>
        <v>#VALUE!</v>
      </c>
      <c r="Q1600">
        <v>14.88</v>
      </c>
      <c r="R1600" s="154" t="e">
        <f t="shared" si="240"/>
        <v>#VALUE!</v>
      </c>
      <c r="S1600">
        <v>14.88</v>
      </c>
      <c r="T1600" s="154" t="e">
        <f t="shared" si="241"/>
        <v>#VALUE!</v>
      </c>
      <c r="U1600">
        <v>14.88</v>
      </c>
      <c r="V1600" s="154" t="e">
        <f t="shared" si="242"/>
        <v>#VALUE!</v>
      </c>
      <c r="W1600">
        <v>14.88</v>
      </c>
      <c r="X1600" s="157" t="e">
        <f t="shared" si="243"/>
        <v>#VALUE!</v>
      </c>
      <c r="Y1600">
        <v>14.88</v>
      </c>
      <c r="Z1600" s="154" t="e">
        <f t="shared" si="244"/>
        <v>#VALUE!</v>
      </c>
      <c r="AA1600">
        <v>14.88</v>
      </c>
      <c r="AB1600" s="154" t="e">
        <f t="shared" si="245"/>
        <v>#VALUE!</v>
      </c>
      <c r="AC1600">
        <v>14.88</v>
      </c>
      <c r="AD1600" s="154" t="e">
        <f t="shared" si="246"/>
        <v>#VALUE!</v>
      </c>
      <c r="AE1600">
        <v>14.88</v>
      </c>
    </row>
    <row r="1601" spans="12:31" ht="15" x14ac:dyDescent="0.2">
      <c r="L1601" s="154" t="e">
        <f t="shared" si="237"/>
        <v>#VALUE!</v>
      </c>
      <c r="M1601">
        <v>14.89</v>
      </c>
      <c r="N1601" s="154" t="e">
        <f t="shared" si="238"/>
        <v>#VALUE!</v>
      </c>
      <c r="O1601">
        <v>14.89</v>
      </c>
      <c r="P1601" s="154" t="e">
        <f t="shared" si="239"/>
        <v>#VALUE!</v>
      </c>
      <c r="Q1601">
        <v>14.89</v>
      </c>
      <c r="R1601" s="154" t="e">
        <f t="shared" si="240"/>
        <v>#VALUE!</v>
      </c>
      <c r="S1601">
        <v>14.89</v>
      </c>
      <c r="T1601" s="154" t="e">
        <f t="shared" si="241"/>
        <v>#VALUE!</v>
      </c>
      <c r="U1601">
        <v>14.89</v>
      </c>
      <c r="V1601" s="154" t="e">
        <f t="shared" si="242"/>
        <v>#VALUE!</v>
      </c>
      <c r="W1601">
        <v>14.89</v>
      </c>
      <c r="X1601" s="157" t="e">
        <f t="shared" si="243"/>
        <v>#VALUE!</v>
      </c>
      <c r="Y1601">
        <v>14.89</v>
      </c>
      <c r="Z1601" s="154" t="e">
        <f t="shared" si="244"/>
        <v>#VALUE!</v>
      </c>
      <c r="AA1601">
        <v>14.89</v>
      </c>
      <c r="AB1601" s="154" t="e">
        <f t="shared" si="245"/>
        <v>#VALUE!</v>
      </c>
      <c r="AC1601">
        <v>14.89</v>
      </c>
      <c r="AD1601" s="154" t="e">
        <f t="shared" si="246"/>
        <v>#VALUE!</v>
      </c>
      <c r="AE1601">
        <v>14.89</v>
      </c>
    </row>
    <row r="1602" spans="12:31" ht="15" x14ac:dyDescent="0.2">
      <c r="L1602" s="154" t="e">
        <f t="shared" si="237"/>
        <v>#VALUE!</v>
      </c>
      <c r="M1602">
        <v>14.9</v>
      </c>
      <c r="N1602" s="154" t="e">
        <f t="shared" si="238"/>
        <v>#VALUE!</v>
      </c>
      <c r="O1602">
        <v>14.9</v>
      </c>
      <c r="P1602" s="154" t="e">
        <f t="shared" si="239"/>
        <v>#VALUE!</v>
      </c>
      <c r="Q1602">
        <v>14.9</v>
      </c>
      <c r="R1602" s="154" t="e">
        <f t="shared" si="240"/>
        <v>#VALUE!</v>
      </c>
      <c r="S1602">
        <v>14.9</v>
      </c>
      <c r="T1602" s="154" t="e">
        <f t="shared" si="241"/>
        <v>#VALUE!</v>
      </c>
      <c r="U1602">
        <v>14.9</v>
      </c>
      <c r="V1602" s="154" t="e">
        <f t="shared" si="242"/>
        <v>#VALUE!</v>
      </c>
      <c r="W1602">
        <v>14.9</v>
      </c>
      <c r="X1602" s="157" t="e">
        <f t="shared" si="243"/>
        <v>#VALUE!</v>
      </c>
      <c r="Y1602">
        <v>14.9</v>
      </c>
      <c r="Z1602" s="154" t="e">
        <f t="shared" si="244"/>
        <v>#VALUE!</v>
      </c>
      <c r="AA1602">
        <v>14.9</v>
      </c>
      <c r="AB1602" s="154" t="e">
        <f t="shared" si="245"/>
        <v>#VALUE!</v>
      </c>
      <c r="AC1602">
        <v>14.9</v>
      </c>
      <c r="AD1602" s="154" t="e">
        <f t="shared" si="246"/>
        <v>#VALUE!</v>
      </c>
      <c r="AE1602">
        <v>14.9</v>
      </c>
    </row>
    <row r="1603" spans="12:31" ht="15" x14ac:dyDescent="0.2">
      <c r="L1603" s="154" t="e">
        <f t="shared" si="237"/>
        <v>#VALUE!</v>
      </c>
      <c r="M1603">
        <v>14.91</v>
      </c>
      <c r="N1603" s="154" t="e">
        <f t="shared" si="238"/>
        <v>#VALUE!</v>
      </c>
      <c r="O1603">
        <v>14.91</v>
      </c>
      <c r="P1603" s="154" t="e">
        <f t="shared" si="239"/>
        <v>#VALUE!</v>
      </c>
      <c r="Q1603">
        <v>14.91</v>
      </c>
      <c r="R1603" s="154" t="e">
        <f t="shared" si="240"/>
        <v>#VALUE!</v>
      </c>
      <c r="S1603">
        <v>14.91</v>
      </c>
      <c r="T1603" s="154" t="e">
        <f t="shared" si="241"/>
        <v>#VALUE!</v>
      </c>
      <c r="U1603">
        <v>14.91</v>
      </c>
      <c r="V1603" s="154" t="e">
        <f t="shared" si="242"/>
        <v>#VALUE!</v>
      </c>
      <c r="W1603">
        <v>14.91</v>
      </c>
      <c r="X1603" s="157" t="e">
        <f t="shared" si="243"/>
        <v>#VALUE!</v>
      </c>
      <c r="Y1603">
        <v>14.91</v>
      </c>
      <c r="Z1603" s="154" t="e">
        <f t="shared" si="244"/>
        <v>#VALUE!</v>
      </c>
      <c r="AA1603">
        <v>14.91</v>
      </c>
      <c r="AB1603" s="154" t="e">
        <f t="shared" si="245"/>
        <v>#VALUE!</v>
      </c>
      <c r="AC1603">
        <v>14.91</v>
      </c>
      <c r="AD1603" s="154" t="e">
        <f t="shared" si="246"/>
        <v>#VALUE!</v>
      </c>
      <c r="AE1603">
        <v>14.91</v>
      </c>
    </row>
    <row r="1604" spans="12:31" ht="15" x14ac:dyDescent="0.2">
      <c r="L1604" s="154" t="e">
        <f t="shared" si="237"/>
        <v>#VALUE!</v>
      </c>
      <c r="M1604">
        <v>14.92</v>
      </c>
      <c r="N1604" s="154" t="e">
        <f t="shared" si="238"/>
        <v>#VALUE!</v>
      </c>
      <c r="O1604">
        <v>14.92</v>
      </c>
      <c r="P1604" s="154" t="e">
        <f t="shared" si="239"/>
        <v>#VALUE!</v>
      </c>
      <c r="Q1604">
        <v>14.92</v>
      </c>
      <c r="R1604" s="154" t="e">
        <f t="shared" si="240"/>
        <v>#VALUE!</v>
      </c>
      <c r="S1604">
        <v>14.92</v>
      </c>
      <c r="T1604" s="154" t="e">
        <f t="shared" si="241"/>
        <v>#VALUE!</v>
      </c>
      <c r="U1604">
        <v>14.92</v>
      </c>
      <c r="V1604" s="154" t="e">
        <f t="shared" si="242"/>
        <v>#VALUE!</v>
      </c>
      <c r="W1604">
        <v>14.92</v>
      </c>
      <c r="X1604" s="157" t="e">
        <f t="shared" si="243"/>
        <v>#VALUE!</v>
      </c>
      <c r="Y1604">
        <v>14.92</v>
      </c>
      <c r="Z1604" s="154" t="e">
        <f t="shared" si="244"/>
        <v>#VALUE!</v>
      </c>
      <c r="AA1604">
        <v>14.92</v>
      </c>
      <c r="AB1604" s="154" t="e">
        <f t="shared" si="245"/>
        <v>#VALUE!</v>
      </c>
      <c r="AC1604">
        <v>14.92</v>
      </c>
      <c r="AD1604" s="154" t="e">
        <f t="shared" si="246"/>
        <v>#VALUE!</v>
      </c>
      <c r="AE1604">
        <v>14.92</v>
      </c>
    </row>
    <row r="1605" spans="12:31" ht="15" x14ac:dyDescent="0.2">
      <c r="L1605" s="154" t="e">
        <f t="shared" si="237"/>
        <v>#VALUE!</v>
      </c>
      <c r="M1605">
        <v>14.93</v>
      </c>
      <c r="N1605" s="154" t="e">
        <f t="shared" si="238"/>
        <v>#VALUE!</v>
      </c>
      <c r="O1605">
        <v>14.93</v>
      </c>
      <c r="P1605" s="154" t="e">
        <f t="shared" si="239"/>
        <v>#VALUE!</v>
      </c>
      <c r="Q1605">
        <v>14.93</v>
      </c>
      <c r="R1605" s="154" t="e">
        <f t="shared" si="240"/>
        <v>#VALUE!</v>
      </c>
      <c r="S1605">
        <v>14.93</v>
      </c>
      <c r="T1605" s="154" t="e">
        <f t="shared" si="241"/>
        <v>#VALUE!</v>
      </c>
      <c r="U1605">
        <v>14.93</v>
      </c>
      <c r="V1605" s="154" t="e">
        <f t="shared" si="242"/>
        <v>#VALUE!</v>
      </c>
      <c r="W1605">
        <v>14.93</v>
      </c>
      <c r="X1605" s="157" t="e">
        <f t="shared" si="243"/>
        <v>#VALUE!</v>
      </c>
      <c r="Y1605">
        <v>14.93</v>
      </c>
      <c r="Z1605" s="154" t="e">
        <f t="shared" si="244"/>
        <v>#VALUE!</v>
      </c>
      <c r="AA1605">
        <v>14.93</v>
      </c>
      <c r="AB1605" s="154" t="e">
        <f t="shared" si="245"/>
        <v>#VALUE!</v>
      </c>
      <c r="AC1605">
        <v>14.93</v>
      </c>
      <c r="AD1605" s="154" t="e">
        <f t="shared" si="246"/>
        <v>#VALUE!</v>
      </c>
      <c r="AE1605">
        <v>14.93</v>
      </c>
    </row>
    <row r="1606" spans="12:31" ht="15" x14ac:dyDescent="0.2">
      <c r="L1606" s="154" t="e">
        <f t="shared" si="237"/>
        <v>#VALUE!</v>
      </c>
      <c r="M1606">
        <v>14.94</v>
      </c>
      <c r="N1606" s="154" t="e">
        <f t="shared" si="238"/>
        <v>#VALUE!</v>
      </c>
      <c r="O1606">
        <v>14.94</v>
      </c>
      <c r="P1606" s="154" t="e">
        <f t="shared" si="239"/>
        <v>#VALUE!</v>
      </c>
      <c r="Q1606">
        <v>14.94</v>
      </c>
      <c r="R1606" s="154" t="e">
        <f t="shared" si="240"/>
        <v>#VALUE!</v>
      </c>
      <c r="S1606">
        <v>14.94</v>
      </c>
      <c r="T1606" s="154" t="e">
        <f t="shared" si="241"/>
        <v>#VALUE!</v>
      </c>
      <c r="U1606">
        <v>14.94</v>
      </c>
      <c r="V1606" s="154" t="e">
        <f t="shared" si="242"/>
        <v>#VALUE!</v>
      </c>
      <c r="W1606">
        <v>14.94</v>
      </c>
      <c r="X1606" s="157" t="e">
        <f t="shared" si="243"/>
        <v>#VALUE!</v>
      </c>
      <c r="Y1606">
        <v>14.94</v>
      </c>
      <c r="Z1606" s="154" t="e">
        <f t="shared" si="244"/>
        <v>#VALUE!</v>
      </c>
      <c r="AA1606">
        <v>14.94</v>
      </c>
      <c r="AB1606" s="154" t="e">
        <f t="shared" si="245"/>
        <v>#VALUE!</v>
      </c>
      <c r="AC1606">
        <v>14.94</v>
      </c>
      <c r="AD1606" s="154" t="e">
        <f t="shared" si="246"/>
        <v>#VALUE!</v>
      </c>
      <c r="AE1606">
        <v>14.94</v>
      </c>
    </row>
    <row r="1607" spans="12:31" ht="15" x14ac:dyDescent="0.2">
      <c r="L1607" s="154" t="e">
        <f t="shared" si="237"/>
        <v>#VALUE!</v>
      </c>
      <c r="M1607">
        <v>14.95</v>
      </c>
      <c r="N1607" s="154" t="e">
        <f t="shared" si="238"/>
        <v>#VALUE!</v>
      </c>
      <c r="O1607">
        <v>14.95</v>
      </c>
      <c r="P1607" s="154" t="e">
        <f t="shared" si="239"/>
        <v>#VALUE!</v>
      </c>
      <c r="Q1607">
        <v>14.95</v>
      </c>
      <c r="R1607" s="154" t="e">
        <f t="shared" si="240"/>
        <v>#VALUE!</v>
      </c>
      <c r="S1607">
        <v>14.95</v>
      </c>
      <c r="T1607" s="154" t="e">
        <f t="shared" si="241"/>
        <v>#VALUE!</v>
      </c>
      <c r="U1607">
        <v>14.95</v>
      </c>
      <c r="V1607" s="154" t="e">
        <f t="shared" si="242"/>
        <v>#VALUE!</v>
      </c>
      <c r="W1607">
        <v>14.95</v>
      </c>
      <c r="X1607" s="157" t="e">
        <f t="shared" si="243"/>
        <v>#VALUE!</v>
      </c>
      <c r="Y1607">
        <v>14.95</v>
      </c>
      <c r="Z1607" s="154" t="e">
        <f t="shared" si="244"/>
        <v>#VALUE!</v>
      </c>
      <c r="AA1607">
        <v>14.95</v>
      </c>
      <c r="AB1607" s="154" t="e">
        <f t="shared" si="245"/>
        <v>#VALUE!</v>
      </c>
      <c r="AC1607">
        <v>14.95</v>
      </c>
      <c r="AD1607" s="154" t="e">
        <f t="shared" si="246"/>
        <v>#VALUE!</v>
      </c>
      <c r="AE1607">
        <v>14.95</v>
      </c>
    </row>
    <row r="1608" spans="12:31" ht="15" x14ac:dyDescent="0.2">
      <c r="L1608" s="154" t="e">
        <f t="shared" si="237"/>
        <v>#VALUE!</v>
      </c>
      <c r="M1608">
        <v>14.96</v>
      </c>
      <c r="N1608" s="154" t="e">
        <f t="shared" si="238"/>
        <v>#VALUE!</v>
      </c>
      <c r="O1608">
        <v>14.96</v>
      </c>
      <c r="P1608" s="154" t="e">
        <f t="shared" si="239"/>
        <v>#VALUE!</v>
      </c>
      <c r="Q1608">
        <v>14.96</v>
      </c>
      <c r="R1608" s="154" t="e">
        <f t="shared" si="240"/>
        <v>#VALUE!</v>
      </c>
      <c r="S1608">
        <v>14.96</v>
      </c>
      <c r="T1608" s="154" t="e">
        <f t="shared" si="241"/>
        <v>#VALUE!</v>
      </c>
      <c r="U1608">
        <v>14.96</v>
      </c>
      <c r="V1608" s="154" t="e">
        <f t="shared" si="242"/>
        <v>#VALUE!</v>
      </c>
      <c r="W1608">
        <v>14.96</v>
      </c>
      <c r="X1608" s="157" t="e">
        <f t="shared" si="243"/>
        <v>#VALUE!</v>
      </c>
      <c r="Y1608">
        <v>14.96</v>
      </c>
      <c r="Z1608" s="154" t="e">
        <f t="shared" si="244"/>
        <v>#VALUE!</v>
      </c>
      <c r="AA1608">
        <v>14.96</v>
      </c>
      <c r="AB1608" s="154" t="e">
        <f t="shared" si="245"/>
        <v>#VALUE!</v>
      </c>
      <c r="AC1608">
        <v>14.96</v>
      </c>
      <c r="AD1608" s="154" t="e">
        <f t="shared" si="246"/>
        <v>#VALUE!</v>
      </c>
      <c r="AE1608">
        <v>14.96</v>
      </c>
    </row>
    <row r="1609" spans="12:31" ht="15" x14ac:dyDescent="0.2">
      <c r="L1609" s="154" t="e">
        <f t="shared" si="237"/>
        <v>#VALUE!</v>
      </c>
      <c r="M1609">
        <v>14.97</v>
      </c>
      <c r="N1609" s="154" t="e">
        <f t="shared" si="238"/>
        <v>#VALUE!</v>
      </c>
      <c r="O1609">
        <v>14.97</v>
      </c>
      <c r="P1609" s="154" t="e">
        <f t="shared" si="239"/>
        <v>#VALUE!</v>
      </c>
      <c r="Q1609">
        <v>14.97</v>
      </c>
      <c r="R1609" s="154" t="e">
        <f t="shared" si="240"/>
        <v>#VALUE!</v>
      </c>
      <c r="S1609">
        <v>14.97</v>
      </c>
      <c r="T1609" s="154" t="e">
        <f t="shared" si="241"/>
        <v>#VALUE!</v>
      </c>
      <c r="U1609">
        <v>14.97</v>
      </c>
      <c r="V1609" s="154" t="e">
        <f t="shared" si="242"/>
        <v>#VALUE!</v>
      </c>
      <c r="W1609">
        <v>14.97</v>
      </c>
      <c r="X1609" s="157" t="e">
        <f t="shared" si="243"/>
        <v>#VALUE!</v>
      </c>
      <c r="Y1609">
        <v>14.97</v>
      </c>
      <c r="Z1609" s="154" t="e">
        <f t="shared" si="244"/>
        <v>#VALUE!</v>
      </c>
      <c r="AA1609">
        <v>14.97</v>
      </c>
      <c r="AB1609" s="154" t="e">
        <f t="shared" si="245"/>
        <v>#VALUE!</v>
      </c>
      <c r="AC1609">
        <v>14.97</v>
      </c>
      <c r="AD1609" s="154" t="e">
        <f t="shared" si="246"/>
        <v>#VALUE!</v>
      </c>
      <c r="AE1609">
        <v>14.97</v>
      </c>
    </row>
    <row r="1610" spans="12:31" ht="15" x14ac:dyDescent="0.2">
      <c r="L1610" s="154" t="e">
        <f t="shared" si="237"/>
        <v>#VALUE!</v>
      </c>
      <c r="M1610">
        <v>14.98</v>
      </c>
      <c r="N1610" s="154" t="e">
        <f t="shared" si="238"/>
        <v>#VALUE!</v>
      </c>
      <c r="O1610">
        <v>14.98</v>
      </c>
      <c r="P1610" s="154" t="e">
        <f t="shared" si="239"/>
        <v>#VALUE!</v>
      </c>
      <c r="Q1610">
        <v>14.98</v>
      </c>
      <c r="R1610" s="154" t="e">
        <f t="shared" si="240"/>
        <v>#VALUE!</v>
      </c>
      <c r="S1610">
        <v>14.98</v>
      </c>
      <c r="T1610" s="154" t="e">
        <f t="shared" si="241"/>
        <v>#VALUE!</v>
      </c>
      <c r="U1610">
        <v>14.98</v>
      </c>
      <c r="V1610" s="154" t="e">
        <f t="shared" si="242"/>
        <v>#VALUE!</v>
      </c>
      <c r="W1610">
        <v>14.98</v>
      </c>
      <c r="X1610" s="157" t="e">
        <f t="shared" si="243"/>
        <v>#VALUE!</v>
      </c>
      <c r="Y1610">
        <v>14.98</v>
      </c>
      <c r="Z1610" s="154" t="e">
        <f t="shared" si="244"/>
        <v>#VALUE!</v>
      </c>
      <c r="AA1610">
        <v>14.98</v>
      </c>
      <c r="AB1610" s="154" t="e">
        <f t="shared" si="245"/>
        <v>#VALUE!</v>
      </c>
      <c r="AC1610">
        <v>14.98</v>
      </c>
      <c r="AD1610" s="154" t="e">
        <f t="shared" si="246"/>
        <v>#VALUE!</v>
      </c>
      <c r="AE1610">
        <v>14.98</v>
      </c>
    </row>
    <row r="1611" spans="12:31" ht="15" x14ac:dyDescent="0.2">
      <c r="L1611" s="154" t="e">
        <f t="shared" si="237"/>
        <v>#VALUE!</v>
      </c>
      <c r="M1611">
        <v>14.99</v>
      </c>
      <c r="N1611" s="154" t="e">
        <f t="shared" si="238"/>
        <v>#VALUE!</v>
      </c>
      <c r="O1611">
        <v>14.99</v>
      </c>
      <c r="P1611" s="154" t="e">
        <f t="shared" si="239"/>
        <v>#VALUE!</v>
      </c>
      <c r="Q1611">
        <v>14.99</v>
      </c>
      <c r="R1611" s="154" t="e">
        <f t="shared" si="240"/>
        <v>#VALUE!</v>
      </c>
      <c r="S1611">
        <v>14.99</v>
      </c>
      <c r="T1611" s="154" t="e">
        <f t="shared" si="241"/>
        <v>#VALUE!</v>
      </c>
      <c r="U1611">
        <v>14.99</v>
      </c>
      <c r="V1611" s="154" t="e">
        <f t="shared" si="242"/>
        <v>#VALUE!</v>
      </c>
      <c r="W1611">
        <v>14.99</v>
      </c>
      <c r="X1611" s="157" t="e">
        <f t="shared" si="243"/>
        <v>#VALUE!</v>
      </c>
      <c r="Y1611">
        <v>14.99</v>
      </c>
      <c r="Z1611" s="154" t="e">
        <f t="shared" si="244"/>
        <v>#VALUE!</v>
      </c>
      <c r="AA1611">
        <v>14.99</v>
      </c>
      <c r="AB1611" s="154" t="e">
        <f t="shared" si="245"/>
        <v>#VALUE!</v>
      </c>
      <c r="AC1611">
        <v>14.99</v>
      </c>
      <c r="AD1611" s="154" t="e">
        <f t="shared" si="246"/>
        <v>#VALUE!</v>
      </c>
      <c r="AE1611">
        <v>14.99</v>
      </c>
    </row>
    <row r="1612" spans="12:31" ht="15" x14ac:dyDescent="0.2">
      <c r="L1612" s="154" t="e">
        <f t="shared" si="237"/>
        <v>#VALUE!</v>
      </c>
      <c r="M1612">
        <v>15</v>
      </c>
      <c r="N1612" s="154" t="e">
        <f t="shared" si="238"/>
        <v>#VALUE!</v>
      </c>
      <c r="O1612">
        <v>15</v>
      </c>
      <c r="P1612" s="154" t="e">
        <f t="shared" si="239"/>
        <v>#VALUE!</v>
      </c>
      <c r="Q1612">
        <v>15</v>
      </c>
      <c r="R1612" s="154" t="e">
        <f t="shared" si="240"/>
        <v>#VALUE!</v>
      </c>
      <c r="S1612">
        <v>15</v>
      </c>
      <c r="T1612" s="154" t="e">
        <f t="shared" si="241"/>
        <v>#VALUE!</v>
      </c>
      <c r="U1612">
        <v>15</v>
      </c>
      <c r="V1612" s="154" t="e">
        <f t="shared" si="242"/>
        <v>#VALUE!</v>
      </c>
      <c r="W1612">
        <v>15</v>
      </c>
      <c r="X1612" s="157" t="e">
        <f t="shared" si="243"/>
        <v>#VALUE!</v>
      </c>
      <c r="Y1612">
        <v>15</v>
      </c>
      <c r="Z1612" s="154" t="e">
        <f t="shared" si="244"/>
        <v>#VALUE!</v>
      </c>
      <c r="AA1612">
        <v>15</v>
      </c>
      <c r="AB1612" s="154" t="e">
        <f t="shared" si="245"/>
        <v>#VALUE!</v>
      </c>
      <c r="AC1612">
        <v>15</v>
      </c>
      <c r="AD1612" s="154" t="e">
        <f t="shared" si="246"/>
        <v>#VALUE!</v>
      </c>
      <c r="AE1612">
        <v>15</v>
      </c>
    </row>
    <row r="1613" spans="12:31" ht="15" x14ac:dyDescent="0.2">
      <c r="L1613" s="154" t="e">
        <f t="shared" si="237"/>
        <v>#VALUE!</v>
      </c>
      <c r="M1613">
        <v>15.01</v>
      </c>
      <c r="N1613" s="154" t="e">
        <f t="shared" si="238"/>
        <v>#VALUE!</v>
      </c>
      <c r="O1613">
        <v>15.01</v>
      </c>
      <c r="P1613" s="154" t="e">
        <f t="shared" si="239"/>
        <v>#VALUE!</v>
      </c>
      <c r="Q1613">
        <v>15.01</v>
      </c>
      <c r="R1613" s="154" t="e">
        <f t="shared" si="240"/>
        <v>#VALUE!</v>
      </c>
      <c r="S1613">
        <v>15.01</v>
      </c>
      <c r="T1613" s="154" t="e">
        <f t="shared" si="241"/>
        <v>#VALUE!</v>
      </c>
      <c r="U1613">
        <v>15.01</v>
      </c>
      <c r="V1613" s="154" t="e">
        <f t="shared" si="242"/>
        <v>#VALUE!</v>
      </c>
      <c r="W1613">
        <v>15.01</v>
      </c>
      <c r="X1613" s="157" t="e">
        <f t="shared" si="243"/>
        <v>#VALUE!</v>
      </c>
      <c r="Y1613">
        <v>15.01</v>
      </c>
      <c r="Z1613" s="154" t="e">
        <f t="shared" si="244"/>
        <v>#VALUE!</v>
      </c>
      <c r="AA1613">
        <v>15.01</v>
      </c>
      <c r="AB1613" s="154" t="e">
        <f t="shared" si="245"/>
        <v>#VALUE!</v>
      </c>
      <c r="AC1613">
        <v>15.01</v>
      </c>
      <c r="AD1613" s="154" t="e">
        <f t="shared" si="246"/>
        <v>#VALUE!</v>
      </c>
      <c r="AE1613">
        <v>15.01</v>
      </c>
    </row>
    <row r="1614" spans="12:31" ht="15" x14ac:dyDescent="0.2">
      <c r="L1614" s="154" t="e">
        <f t="shared" si="237"/>
        <v>#VALUE!</v>
      </c>
      <c r="M1614">
        <v>15.02</v>
      </c>
      <c r="N1614" s="154" t="e">
        <f t="shared" si="238"/>
        <v>#VALUE!</v>
      </c>
      <c r="O1614">
        <v>15.02</v>
      </c>
      <c r="P1614" s="154" t="e">
        <f t="shared" si="239"/>
        <v>#VALUE!</v>
      </c>
      <c r="Q1614">
        <v>15.02</v>
      </c>
      <c r="R1614" s="154" t="e">
        <f t="shared" si="240"/>
        <v>#VALUE!</v>
      </c>
      <c r="S1614">
        <v>15.02</v>
      </c>
      <c r="T1614" s="154" t="e">
        <f t="shared" si="241"/>
        <v>#VALUE!</v>
      </c>
      <c r="U1614">
        <v>15.02</v>
      </c>
      <c r="V1614" s="154" t="e">
        <f t="shared" si="242"/>
        <v>#VALUE!</v>
      </c>
      <c r="W1614">
        <v>15.02</v>
      </c>
      <c r="X1614" s="157" t="e">
        <f t="shared" si="243"/>
        <v>#VALUE!</v>
      </c>
      <c r="Y1614">
        <v>15.02</v>
      </c>
      <c r="Z1614" s="154" t="e">
        <f t="shared" si="244"/>
        <v>#VALUE!</v>
      </c>
      <c r="AA1614">
        <v>15.02</v>
      </c>
      <c r="AB1614" s="154" t="e">
        <f t="shared" si="245"/>
        <v>#VALUE!</v>
      </c>
      <c r="AC1614">
        <v>15.02</v>
      </c>
      <c r="AD1614" s="154" t="e">
        <f t="shared" si="246"/>
        <v>#VALUE!</v>
      </c>
      <c r="AE1614">
        <v>15.02</v>
      </c>
    </row>
    <row r="1615" spans="12:31" ht="15" x14ac:dyDescent="0.2">
      <c r="L1615" s="154" t="e">
        <f t="shared" si="237"/>
        <v>#VALUE!</v>
      </c>
      <c r="M1615">
        <v>15.03</v>
      </c>
      <c r="N1615" s="154" t="e">
        <f t="shared" si="238"/>
        <v>#VALUE!</v>
      </c>
      <c r="O1615">
        <v>15.03</v>
      </c>
      <c r="P1615" s="154" t="e">
        <f t="shared" si="239"/>
        <v>#VALUE!</v>
      </c>
      <c r="Q1615">
        <v>15.03</v>
      </c>
      <c r="R1615" s="154" t="e">
        <f t="shared" si="240"/>
        <v>#VALUE!</v>
      </c>
      <c r="S1615">
        <v>15.03</v>
      </c>
      <c r="T1615" s="154" t="e">
        <f t="shared" si="241"/>
        <v>#VALUE!</v>
      </c>
      <c r="U1615">
        <v>15.03</v>
      </c>
      <c r="V1615" s="154" t="e">
        <f t="shared" si="242"/>
        <v>#VALUE!</v>
      </c>
      <c r="W1615">
        <v>15.03</v>
      </c>
      <c r="X1615" s="157" t="e">
        <f t="shared" si="243"/>
        <v>#VALUE!</v>
      </c>
      <c r="Y1615">
        <v>15.03</v>
      </c>
      <c r="Z1615" s="154" t="e">
        <f t="shared" si="244"/>
        <v>#VALUE!</v>
      </c>
      <c r="AA1615">
        <v>15.03</v>
      </c>
      <c r="AB1615" s="154" t="e">
        <f t="shared" si="245"/>
        <v>#VALUE!</v>
      </c>
      <c r="AC1615">
        <v>15.03</v>
      </c>
      <c r="AD1615" s="154" t="e">
        <f t="shared" si="246"/>
        <v>#VALUE!</v>
      </c>
      <c r="AE1615">
        <v>15.03</v>
      </c>
    </row>
    <row r="1616" spans="12:31" ht="15" x14ac:dyDescent="0.2">
      <c r="L1616" s="154" t="e">
        <f t="shared" si="237"/>
        <v>#VALUE!</v>
      </c>
      <c r="M1616">
        <v>15.04</v>
      </c>
      <c r="N1616" s="154" t="e">
        <f t="shared" si="238"/>
        <v>#VALUE!</v>
      </c>
      <c r="O1616">
        <v>15.04</v>
      </c>
      <c r="P1616" s="154" t="e">
        <f t="shared" si="239"/>
        <v>#VALUE!</v>
      </c>
      <c r="Q1616">
        <v>15.04</v>
      </c>
      <c r="R1616" s="154" t="e">
        <f t="shared" si="240"/>
        <v>#VALUE!</v>
      </c>
      <c r="S1616">
        <v>15.04</v>
      </c>
      <c r="T1616" s="154" t="e">
        <f t="shared" si="241"/>
        <v>#VALUE!</v>
      </c>
      <c r="U1616">
        <v>15.04</v>
      </c>
      <c r="V1616" s="154" t="e">
        <f t="shared" si="242"/>
        <v>#VALUE!</v>
      </c>
      <c r="W1616">
        <v>15.04</v>
      </c>
      <c r="X1616" s="157" t="e">
        <f t="shared" si="243"/>
        <v>#VALUE!</v>
      </c>
      <c r="Y1616">
        <v>15.04</v>
      </c>
      <c r="Z1616" s="154" t="e">
        <f t="shared" si="244"/>
        <v>#VALUE!</v>
      </c>
      <c r="AA1616">
        <v>15.04</v>
      </c>
      <c r="AB1616" s="154" t="e">
        <f t="shared" si="245"/>
        <v>#VALUE!</v>
      </c>
      <c r="AC1616">
        <v>15.04</v>
      </c>
      <c r="AD1616" s="154" t="e">
        <f t="shared" si="246"/>
        <v>#VALUE!</v>
      </c>
      <c r="AE1616">
        <v>15.04</v>
      </c>
    </row>
    <row r="1617" spans="12:31" ht="15" x14ac:dyDescent="0.2">
      <c r="L1617" s="154" t="e">
        <f t="shared" si="237"/>
        <v>#VALUE!</v>
      </c>
      <c r="M1617">
        <v>15.05</v>
      </c>
      <c r="N1617" s="154" t="e">
        <f t="shared" si="238"/>
        <v>#VALUE!</v>
      </c>
      <c r="O1617">
        <v>15.05</v>
      </c>
      <c r="P1617" s="154" t="e">
        <f t="shared" si="239"/>
        <v>#VALUE!</v>
      </c>
      <c r="Q1617">
        <v>15.05</v>
      </c>
      <c r="R1617" s="154" t="e">
        <f t="shared" si="240"/>
        <v>#VALUE!</v>
      </c>
      <c r="S1617">
        <v>15.05</v>
      </c>
      <c r="T1617" s="154" t="e">
        <f t="shared" si="241"/>
        <v>#VALUE!</v>
      </c>
      <c r="U1617">
        <v>15.05</v>
      </c>
      <c r="V1617" s="154" t="e">
        <f t="shared" si="242"/>
        <v>#VALUE!</v>
      </c>
      <c r="W1617">
        <v>15.05</v>
      </c>
      <c r="X1617" s="157" t="e">
        <f t="shared" si="243"/>
        <v>#VALUE!</v>
      </c>
      <c r="Y1617">
        <v>15.05</v>
      </c>
      <c r="Z1617" s="154" t="e">
        <f t="shared" si="244"/>
        <v>#VALUE!</v>
      </c>
      <c r="AA1617">
        <v>15.05</v>
      </c>
      <c r="AB1617" s="154" t="e">
        <f t="shared" si="245"/>
        <v>#VALUE!</v>
      </c>
      <c r="AC1617">
        <v>15.05</v>
      </c>
      <c r="AD1617" s="154" t="e">
        <f t="shared" si="246"/>
        <v>#VALUE!</v>
      </c>
      <c r="AE1617">
        <v>15.05</v>
      </c>
    </row>
    <row r="1618" spans="12:31" ht="15" x14ac:dyDescent="0.2">
      <c r="L1618" s="154" t="e">
        <f t="shared" si="237"/>
        <v>#VALUE!</v>
      </c>
      <c r="M1618">
        <v>15.06</v>
      </c>
      <c r="N1618" s="154" t="e">
        <f t="shared" si="238"/>
        <v>#VALUE!</v>
      </c>
      <c r="O1618">
        <v>15.06</v>
      </c>
      <c r="P1618" s="154" t="e">
        <f t="shared" si="239"/>
        <v>#VALUE!</v>
      </c>
      <c r="Q1618">
        <v>15.06</v>
      </c>
      <c r="R1618" s="154" t="e">
        <f t="shared" si="240"/>
        <v>#VALUE!</v>
      </c>
      <c r="S1618">
        <v>15.06</v>
      </c>
      <c r="T1618" s="154" t="e">
        <f t="shared" si="241"/>
        <v>#VALUE!</v>
      </c>
      <c r="U1618">
        <v>15.06</v>
      </c>
      <c r="V1618" s="154" t="e">
        <f t="shared" si="242"/>
        <v>#VALUE!</v>
      </c>
      <c r="W1618">
        <v>15.06</v>
      </c>
      <c r="X1618" s="157" t="e">
        <f t="shared" si="243"/>
        <v>#VALUE!</v>
      </c>
      <c r="Y1618">
        <v>15.06</v>
      </c>
      <c r="Z1618" s="154" t="e">
        <f t="shared" si="244"/>
        <v>#VALUE!</v>
      </c>
      <c r="AA1618">
        <v>15.06</v>
      </c>
      <c r="AB1618" s="154" t="e">
        <f t="shared" si="245"/>
        <v>#VALUE!</v>
      </c>
      <c r="AC1618">
        <v>15.06</v>
      </c>
      <c r="AD1618" s="154" t="e">
        <f t="shared" si="246"/>
        <v>#VALUE!</v>
      </c>
      <c r="AE1618">
        <v>15.06</v>
      </c>
    </row>
    <row r="1619" spans="12:31" ht="15" x14ac:dyDescent="0.2">
      <c r="L1619" s="154" t="e">
        <f t="shared" si="237"/>
        <v>#VALUE!</v>
      </c>
      <c r="M1619">
        <v>15.07</v>
      </c>
      <c r="N1619" s="154" t="e">
        <f t="shared" si="238"/>
        <v>#VALUE!</v>
      </c>
      <c r="O1619">
        <v>15.07</v>
      </c>
      <c r="P1619" s="154" t="e">
        <f t="shared" si="239"/>
        <v>#VALUE!</v>
      </c>
      <c r="Q1619">
        <v>15.07</v>
      </c>
      <c r="R1619" s="154" t="e">
        <f t="shared" si="240"/>
        <v>#VALUE!</v>
      </c>
      <c r="S1619">
        <v>15.07</v>
      </c>
      <c r="T1619" s="154" t="e">
        <f t="shared" si="241"/>
        <v>#VALUE!</v>
      </c>
      <c r="U1619">
        <v>15.07</v>
      </c>
      <c r="V1619" s="154" t="e">
        <f t="shared" si="242"/>
        <v>#VALUE!</v>
      </c>
      <c r="W1619">
        <v>15.07</v>
      </c>
      <c r="X1619" s="157" t="e">
        <f t="shared" si="243"/>
        <v>#VALUE!</v>
      </c>
      <c r="Y1619">
        <v>15.07</v>
      </c>
      <c r="Z1619" s="154" t="e">
        <f t="shared" si="244"/>
        <v>#VALUE!</v>
      </c>
      <c r="AA1619">
        <v>15.07</v>
      </c>
      <c r="AB1619" s="154" t="e">
        <f t="shared" si="245"/>
        <v>#VALUE!</v>
      </c>
      <c r="AC1619">
        <v>15.07</v>
      </c>
      <c r="AD1619" s="154" t="e">
        <f t="shared" si="246"/>
        <v>#VALUE!</v>
      </c>
      <c r="AE1619">
        <v>15.07</v>
      </c>
    </row>
    <row r="1620" spans="12:31" ht="15" x14ac:dyDescent="0.2">
      <c r="L1620" s="154" t="e">
        <f t="shared" si="237"/>
        <v>#VALUE!</v>
      </c>
      <c r="M1620">
        <v>15.08</v>
      </c>
      <c r="N1620" s="154" t="e">
        <f t="shared" si="238"/>
        <v>#VALUE!</v>
      </c>
      <c r="O1620">
        <v>15.08</v>
      </c>
      <c r="P1620" s="154" t="e">
        <f t="shared" si="239"/>
        <v>#VALUE!</v>
      </c>
      <c r="Q1620">
        <v>15.08</v>
      </c>
      <c r="R1620" s="154" t="e">
        <f t="shared" si="240"/>
        <v>#VALUE!</v>
      </c>
      <c r="S1620">
        <v>15.08</v>
      </c>
      <c r="T1620" s="154" t="e">
        <f t="shared" si="241"/>
        <v>#VALUE!</v>
      </c>
      <c r="U1620">
        <v>15.08</v>
      </c>
      <c r="V1620" s="154" t="e">
        <f t="shared" si="242"/>
        <v>#VALUE!</v>
      </c>
      <c r="W1620">
        <v>15.08</v>
      </c>
      <c r="X1620" s="157" t="e">
        <f t="shared" si="243"/>
        <v>#VALUE!</v>
      </c>
      <c r="Y1620">
        <v>15.08</v>
      </c>
      <c r="Z1620" s="154" t="e">
        <f t="shared" si="244"/>
        <v>#VALUE!</v>
      </c>
      <c r="AA1620">
        <v>15.08</v>
      </c>
      <c r="AB1620" s="154" t="e">
        <f t="shared" si="245"/>
        <v>#VALUE!</v>
      </c>
      <c r="AC1620">
        <v>15.08</v>
      </c>
      <c r="AD1620" s="154" t="e">
        <f t="shared" si="246"/>
        <v>#VALUE!</v>
      </c>
      <c r="AE1620">
        <v>15.08</v>
      </c>
    </row>
    <row r="1621" spans="12:31" ht="15" x14ac:dyDescent="0.2">
      <c r="L1621" s="154" t="e">
        <f t="shared" si="237"/>
        <v>#VALUE!</v>
      </c>
      <c r="M1621">
        <v>15.09</v>
      </c>
      <c r="N1621" s="154" t="e">
        <f t="shared" si="238"/>
        <v>#VALUE!</v>
      </c>
      <c r="O1621">
        <v>15.09</v>
      </c>
      <c r="P1621" s="154" t="e">
        <f t="shared" si="239"/>
        <v>#VALUE!</v>
      </c>
      <c r="Q1621">
        <v>15.09</v>
      </c>
      <c r="R1621" s="154" t="e">
        <f t="shared" si="240"/>
        <v>#VALUE!</v>
      </c>
      <c r="S1621">
        <v>15.09</v>
      </c>
      <c r="T1621" s="154" t="e">
        <f t="shared" si="241"/>
        <v>#VALUE!</v>
      </c>
      <c r="U1621">
        <v>15.09</v>
      </c>
      <c r="V1621" s="154" t="e">
        <f t="shared" si="242"/>
        <v>#VALUE!</v>
      </c>
      <c r="W1621">
        <v>15.09</v>
      </c>
      <c r="X1621" s="157" t="e">
        <f t="shared" si="243"/>
        <v>#VALUE!</v>
      </c>
      <c r="Y1621">
        <v>15.09</v>
      </c>
      <c r="Z1621" s="154" t="e">
        <f t="shared" si="244"/>
        <v>#VALUE!</v>
      </c>
      <c r="AA1621">
        <v>15.09</v>
      </c>
      <c r="AB1621" s="154" t="e">
        <f t="shared" si="245"/>
        <v>#VALUE!</v>
      </c>
      <c r="AC1621">
        <v>15.09</v>
      </c>
      <c r="AD1621" s="154" t="e">
        <f t="shared" si="246"/>
        <v>#VALUE!</v>
      </c>
      <c r="AE1621">
        <v>15.09</v>
      </c>
    </row>
    <row r="1622" spans="12:31" ht="15" x14ac:dyDescent="0.2">
      <c r="L1622" s="154" t="e">
        <f t="shared" si="237"/>
        <v>#VALUE!</v>
      </c>
      <c r="M1622">
        <v>15.1</v>
      </c>
      <c r="N1622" s="154" t="e">
        <f t="shared" si="238"/>
        <v>#VALUE!</v>
      </c>
      <c r="O1622">
        <v>15.1</v>
      </c>
      <c r="P1622" s="154" t="e">
        <f t="shared" si="239"/>
        <v>#VALUE!</v>
      </c>
      <c r="Q1622">
        <v>15.1</v>
      </c>
      <c r="R1622" s="154" t="e">
        <f t="shared" si="240"/>
        <v>#VALUE!</v>
      </c>
      <c r="S1622">
        <v>15.1</v>
      </c>
      <c r="T1622" s="154" t="e">
        <f t="shared" si="241"/>
        <v>#VALUE!</v>
      </c>
      <c r="U1622">
        <v>15.1</v>
      </c>
      <c r="V1622" s="154" t="e">
        <f t="shared" si="242"/>
        <v>#VALUE!</v>
      </c>
      <c r="W1622">
        <v>15.1</v>
      </c>
      <c r="X1622" s="157" t="e">
        <f t="shared" si="243"/>
        <v>#VALUE!</v>
      </c>
      <c r="Y1622">
        <v>15.1</v>
      </c>
      <c r="Z1622" s="154" t="e">
        <f t="shared" si="244"/>
        <v>#VALUE!</v>
      </c>
      <c r="AA1622">
        <v>15.1</v>
      </c>
      <c r="AB1622" s="154" t="e">
        <f t="shared" si="245"/>
        <v>#VALUE!</v>
      </c>
      <c r="AC1622">
        <v>15.1</v>
      </c>
      <c r="AD1622" s="154" t="e">
        <f t="shared" si="246"/>
        <v>#VALUE!</v>
      </c>
      <c r="AE1622">
        <v>15.1</v>
      </c>
    </row>
    <row r="1623" spans="12:31" ht="15" x14ac:dyDescent="0.2">
      <c r="L1623" s="154" t="e">
        <f t="shared" si="237"/>
        <v>#VALUE!</v>
      </c>
      <c r="M1623">
        <v>15.11</v>
      </c>
      <c r="N1623" s="154" t="e">
        <f t="shared" si="238"/>
        <v>#VALUE!</v>
      </c>
      <c r="O1623">
        <v>15.11</v>
      </c>
      <c r="P1623" s="154" t="e">
        <f t="shared" si="239"/>
        <v>#VALUE!</v>
      </c>
      <c r="Q1623">
        <v>15.11</v>
      </c>
      <c r="R1623" s="154" t="e">
        <f t="shared" si="240"/>
        <v>#VALUE!</v>
      </c>
      <c r="S1623">
        <v>15.11</v>
      </c>
      <c r="T1623" s="154" t="e">
        <f t="shared" si="241"/>
        <v>#VALUE!</v>
      </c>
      <c r="U1623">
        <v>15.11</v>
      </c>
      <c r="V1623" s="154" t="e">
        <f t="shared" si="242"/>
        <v>#VALUE!</v>
      </c>
      <c r="W1623">
        <v>15.11</v>
      </c>
      <c r="X1623" s="157" t="e">
        <f t="shared" si="243"/>
        <v>#VALUE!</v>
      </c>
      <c r="Y1623">
        <v>15.11</v>
      </c>
      <c r="Z1623" s="154" t="e">
        <f t="shared" si="244"/>
        <v>#VALUE!</v>
      </c>
      <c r="AA1623">
        <v>15.11</v>
      </c>
      <c r="AB1623" s="154" t="e">
        <f t="shared" si="245"/>
        <v>#VALUE!</v>
      </c>
      <c r="AC1623">
        <v>15.11</v>
      </c>
      <c r="AD1623" s="154" t="e">
        <f t="shared" si="246"/>
        <v>#VALUE!</v>
      </c>
      <c r="AE1623">
        <v>15.11</v>
      </c>
    </row>
    <row r="1624" spans="12:31" ht="15" x14ac:dyDescent="0.2">
      <c r="L1624" s="154" t="e">
        <f t="shared" si="237"/>
        <v>#VALUE!</v>
      </c>
      <c r="M1624">
        <v>15.12</v>
      </c>
      <c r="N1624" s="154" t="e">
        <f t="shared" si="238"/>
        <v>#VALUE!</v>
      </c>
      <c r="O1624">
        <v>15.12</v>
      </c>
      <c r="P1624" s="154" t="e">
        <f t="shared" si="239"/>
        <v>#VALUE!</v>
      </c>
      <c r="Q1624">
        <v>15.12</v>
      </c>
      <c r="R1624" s="154" t="e">
        <f t="shared" si="240"/>
        <v>#VALUE!</v>
      </c>
      <c r="S1624">
        <v>15.12</v>
      </c>
      <c r="T1624" s="154" t="e">
        <f t="shared" si="241"/>
        <v>#VALUE!</v>
      </c>
      <c r="U1624">
        <v>15.12</v>
      </c>
      <c r="V1624" s="154" t="e">
        <f t="shared" si="242"/>
        <v>#VALUE!</v>
      </c>
      <c r="W1624">
        <v>15.12</v>
      </c>
      <c r="X1624" s="157" t="e">
        <f t="shared" si="243"/>
        <v>#VALUE!</v>
      </c>
      <c r="Y1624">
        <v>15.12</v>
      </c>
      <c r="Z1624" s="154" t="e">
        <f t="shared" si="244"/>
        <v>#VALUE!</v>
      </c>
      <c r="AA1624">
        <v>15.12</v>
      </c>
      <c r="AB1624" s="154" t="e">
        <f t="shared" si="245"/>
        <v>#VALUE!</v>
      </c>
      <c r="AC1624">
        <v>15.12</v>
      </c>
      <c r="AD1624" s="154" t="e">
        <f t="shared" si="246"/>
        <v>#VALUE!</v>
      </c>
      <c r="AE1624">
        <v>15.12</v>
      </c>
    </row>
    <row r="1625" spans="12:31" ht="15" x14ac:dyDescent="0.2">
      <c r="L1625" s="154" t="e">
        <f t="shared" si="237"/>
        <v>#VALUE!</v>
      </c>
      <c r="M1625">
        <v>15.13</v>
      </c>
      <c r="N1625" s="154" t="e">
        <f t="shared" si="238"/>
        <v>#VALUE!</v>
      </c>
      <c r="O1625">
        <v>15.13</v>
      </c>
      <c r="P1625" s="154" t="e">
        <f t="shared" si="239"/>
        <v>#VALUE!</v>
      </c>
      <c r="Q1625">
        <v>15.13</v>
      </c>
      <c r="R1625" s="154" t="e">
        <f t="shared" si="240"/>
        <v>#VALUE!</v>
      </c>
      <c r="S1625">
        <v>15.13</v>
      </c>
      <c r="T1625" s="154" t="e">
        <f t="shared" si="241"/>
        <v>#VALUE!</v>
      </c>
      <c r="U1625">
        <v>15.13</v>
      </c>
      <c r="V1625" s="154" t="e">
        <f t="shared" si="242"/>
        <v>#VALUE!</v>
      </c>
      <c r="W1625">
        <v>15.13</v>
      </c>
      <c r="X1625" s="157" t="e">
        <f t="shared" si="243"/>
        <v>#VALUE!</v>
      </c>
      <c r="Y1625">
        <v>15.13</v>
      </c>
      <c r="Z1625" s="154" t="e">
        <f t="shared" si="244"/>
        <v>#VALUE!</v>
      </c>
      <c r="AA1625">
        <v>15.13</v>
      </c>
      <c r="AB1625" s="154" t="e">
        <f t="shared" si="245"/>
        <v>#VALUE!</v>
      </c>
      <c r="AC1625">
        <v>15.13</v>
      </c>
      <c r="AD1625" s="154" t="e">
        <f t="shared" si="246"/>
        <v>#VALUE!</v>
      </c>
      <c r="AE1625">
        <v>15.13</v>
      </c>
    </row>
    <row r="1626" spans="12:31" ht="15" x14ac:dyDescent="0.2">
      <c r="L1626" s="154" t="e">
        <f t="shared" si="237"/>
        <v>#VALUE!</v>
      </c>
      <c r="M1626">
        <v>15.14</v>
      </c>
      <c r="N1626" s="154" t="e">
        <f t="shared" si="238"/>
        <v>#VALUE!</v>
      </c>
      <c r="O1626">
        <v>15.14</v>
      </c>
      <c r="P1626" s="154" t="e">
        <f t="shared" si="239"/>
        <v>#VALUE!</v>
      </c>
      <c r="Q1626">
        <v>15.14</v>
      </c>
      <c r="R1626" s="154" t="e">
        <f t="shared" si="240"/>
        <v>#VALUE!</v>
      </c>
      <c r="S1626">
        <v>15.14</v>
      </c>
      <c r="T1626" s="154" t="e">
        <f t="shared" si="241"/>
        <v>#VALUE!</v>
      </c>
      <c r="U1626">
        <v>15.14</v>
      </c>
      <c r="V1626" s="154" t="e">
        <f t="shared" si="242"/>
        <v>#VALUE!</v>
      </c>
      <c r="W1626">
        <v>15.14</v>
      </c>
      <c r="X1626" s="157" t="e">
        <f t="shared" si="243"/>
        <v>#VALUE!</v>
      </c>
      <c r="Y1626">
        <v>15.14</v>
      </c>
      <c r="Z1626" s="154" t="e">
        <f t="shared" si="244"/>
        <v>#VALUE!</v>
      </c>
      <c r="AA1626">
        <v>15.14</v>
      </c>
      <c r="AB1626" s="154" t="e">
        <f t="shared" si="245"/>
        <v>#VALUE!</v>
      </c>
      <c r="AC1626">
        <v>15.14</v>
      </c>
      <c r="AD1626" s="154" t="e">
        <f t="shared" si="246"/>
        <v>#VALUE!</v>
      </c>
      <c r="AE1626">
        <v>15.14</v>
      </c>
    </row>
    <row r="1627" spans="12:31" ht="15" x14ac:dyDescent="0.2">
      <c r="L1627" s="154" t="e">
        <f t="shared" si="237"/>
        <v>#VALUE!</v>
      </c>
      <c r="M1627">
        <v>15.15</v>
      </c>
      <c r="N1627" s="154" t="e">
        <f t="shared" si="238"/>
        <v>#VALUE!</v>
      </c>
      <c r="O1627">
        <v>15.15</v>
      </c>
      <c r="P1627" s="154" t="e">
        <f t="shared" si="239"/>
        <v>#VALUE!</v>
      </c>
      <c r="Q1627">
        <v>15.15</v>
      </c>
      <c r="R1627" s="154" t="e">
        <f t="shared" si="240"/>
        <v>#VALUE!</v>
      </c>
      <c r="S1627">
        <v>15.15</v>
      </c>
      <c r="T1627" s="154" t="e">
        <f t="shared" si="241"/>
        <v>#VALUE!</v>
      </c>
      <c r="U1627">
        <v>15.15</v>
      </c>
      <c r="V1627" s="154" t="e">
        <f t="shared" si="242"/>
        <v>#VALUE!</v>
      </c>
      <c r="W1627">
        <v>15.15</v>
      </c>
      <c r="X1627" s="157" t="e">
        <f t="shared" si="243"/>
        <v>#VALUE!</v>
      </c>
      <c r="Y1627">
        <v>15.15</v>
      </c>
      <c r="Z1627" s="154" t="e">
        <f t="shared" si="244"/>
        <v>#VALUE!</v>
      </c>
      <c r="AA1627">
        <v>15.15</v>
      </c>
      <c r="AB1627" s="154" t="e">
        <f t="shared" si="245"/>
        <v>#VALUE!</v>
      </c>
      <c r="AC1627">
        <v>15.15</v>
      </c>
      <c r="AD1627" s="154" t="e">
        <f t="shared" si="246"/>
        <v>#VALUE!</v>
      </c>
      <c r="AE1627">
        <v>15.15</v>
      </c>
    </row>
    <row r="1628" spans="12:31" ht="15" x14ac:dyDescent="0.2">
      <c r="L1628" s="154" t="e">
        <f t="shared" si="237"/>
        <v>#VALUE!</v>
      </c>
      <c r="M1628">
        <v>15.16</v>
      </c>
      <c r="N1628" s="154" t="e">
        <f t="shared" si="238"/>
        <v>#VALUE!</v>
      </c>
      <c r="O1628">
        <v>15.16</v>
      </c>
      <c r="P1628" s="154" t="e">
        <f t="shared" si="239"/>
        <v>#VALUE!</v>
      </c>
      <c r="Q1628">
        <v>15.16</v>
      </c>
      <c r="R1628" s="154" t="e">
        <f t="shared" si="240"/>
        <v>#VALUE!</v>
      </c>
      <c r="S1628">
        <v>15.16</v>
      </c>
      <c r="T1628" s="154" t="e">
        <f t="shared" si="241"/>
        <v>#VALUE!</v>
      </c>
      <c r="U1628">
        <v>15.16</v>
      </c>
      <c r="V1628" s="154" t="e">
        <f t="shared" si="242"/>
        <v>#VALUE!</v>
      </c>
      <c r="W1628">
        <v>15.16</v>
      </c>
      <c r="X1628" s="157" t="e">
        <f t="shared" si="243"/>
        <v>#VALUE!</v>
      </c>
      <c r="Y1628">
        <v>15.16</v>
      </c>
      <c r="Z1628" s="154" t="e">
        <f t="shared" si="244"/>
        <v>#VALUE!</v>
      </c>
      <c r="AA1628">
        <v>15.16</v>
      </c>
      <c r="AB1628" s="154" t="e">
        <f t="shared" si="245"/>
        <v>#VALUE!</v>
      </c>
      <c r="AC1628">
        <v>15.16</v>
      </c>
      <c r="AD1628" s="154" t="e">
        <f t="shared" si="246"/>
        <v>#VALUE!</v>
      </c>
      <c r="AE1628">
        <v>15.16</v>
      </c>
    </row>
    <row r="1629" spans="12:31" ht="15" x14ac:dyDescent="0.2">
      <c r="L1629" s="154" t="e">
        <f t="shared" si="237"/>
        <v>#VALUE!</v>
      </c>
      <c r="M1629">
        <v>15.17</v>
      </c>
      <c r="N1629" s="154" t="e">
        <f t="shared" si="238"/>
        <v>#VALUE!</v>
      </c>
      <c r="O1629">
        <v>15.17</v>
      </c>
      <c r="P1629" s="154" t="e">
        <f t="shared" si="239"/>
        <v>#VALUE!</v>
      </c>
      <c r="Q1629">
        <v>15.17</v>
      </c>
      <c r="R1629" s="154" t="e">
        <f t="shared" si="240"/>
        <v>#VALUE!</v>
      </c>
      <c r="S1629">
        <v>15.17</v>
      </c>
      <c r="T1629" s="154" t="e">
        <f t="shared" si="241"/>
        <v>#VALUE!</v>
      </c>
      <c r="U1629">
        <v>15.17</v>
      </c>
      <c r="V1629" s="154" t="e">
        <f t="shared" si="242"/>
        <v>#VALUE!</v>
      </c>
      <c r="W1629">
        <v>15.17</v>
      </c>
      <c r="X1629" s="157" t="e">
        <f t="shared" si="243"/>
        <v>#VALUE!</v>
      </c>
      <c r="Y1629">
        <v>15.17</v>
      </c>
      <c r="Z1629" s="154" t="e">
        <f t="shared" si="244"/>
        <v>#VALUE!</v>
      </c>
      <c r="AA1629">
        <v>15.17</v>
      </c>
      <c r="AB1629" s="154" t="e">
        <f t="shared" si="245"/>
        <v>#VALUE!</v>
      </c>
      <c r="AC1629">
        <v>15.17</v>
      </c>
      <c r="AD1629" s="154" t="e">
        <f t="shared" si="246"/>
        <v>#VALUE!</v>
      </c>
      <c r="AE1629">
        <v>15.17</v>
      </c>
    </row>
    <row r="1630" spans="12:31" ht="15" x14ac:dyDescent="0.2">
      <c r="L1630" s="154" t="e">
        <f t="shared" si="237"/>
        <v>#VALUE!</v>
      </c>
      <c r="M1630">
        <v>15.18</v>
      </c>
      <c r="N1630" s="154" t="e">
        <f t="shared" si="238"/>
        <v>#VALUE!</v>
      </c>
      <c r="O1630">
        <v>15.18</v>
      </c>
      <c r="P1630" s="154" t="e">
        <f t="shared" si="239"/>
        <v>#VALUE!</v>
      </c>
      <c r="Q1630">
        <v>15.18</v>
      </c>
      <c r="R1630" s="154" t="e">
        <f t="shared" si="240"/>
        <v>#VALUE!</v>
      </c>
      <c r="S1630">
        <v>15.18</v>
      </c>
      <c r="T1630" s="154" t="e">
        <f t="shared" si="241"/>
        <v>#VALUE!</v>
      </c>
      <c r="U1630">
        <v>15.18</v>
      </c>
      <c r="V1630" s="154" t="e">
        <f t="shared" si="242"/>
        <v>#VALUE!</v>
      </c>
      <c r="W1630">
        <v>15.18</v>
      </c>
      <c r="X1630" s="157" t="e">
        <f t="shared" si="243"/>
        <v>#VALUE!</v>
      </c>
      <c r="Y1630">
        <v>15.18</v>
      </c>
      <c r="Z1630" s="154" t="e">
        <f t="shared" si="244"/>
        <v>#VALUE!</v>
      </c>
      <c r="AA1630">
        <v>15.18</v>
      </c>
      <c r="AB1630" s="154" t="e">
        <f t="shared" si="245"/>
        <v>#VALUE!</v>
      </c>
      <c r="AC1630">
        <v>15.18</v>
      </c>
      <c r="AD1630" s="154" t="e">
        <f t="shared" si="246"/>
        <v>#VALUE!</v>
      </c>
      <c r="AE1630">
        <v>15.18</v>
      </c>
    </row>
    <row r="1631" spans="12:31" ht="15" x14ac:dyDescent="0.2">
      <c r="L1631" s="154" t="e">
        <f t="shared" si="237"/>
        <v>#VALUE!</v>
      </c>
      <c r="M1631">
        <v>15.19</v>
      </c>
      <c r="N1631" s="154" t="e">
        <f t="shared" si="238"/>
        <v>#VALUE!</v>
      </c>
      <c r="O1631">
        <v>15.19</v>
      </c>
      <c r="P1631" s="154" t="e">
        <f t="shared" si="239"/>
        <v>#VALUE!</v>
      </c>
      <c r="Q1631">
        <v>15.19</v>
      </c>
      <c r="R1631" s="154" t="e">
        <f t="shared" si="240"/>
        <v>#VALUE!</v>
      </c>
      <c r="S1631">
        <v>15.19</v>
      </c>
      <c r="T1631" s="154" t="e">
        <f t="shared" si="241"/>
        <v>#VALUE!</v>
      </c>
      <c r="U1631">
        <v>15.19</v>
      </c>
      <c r="V1631" s="154" t="e">
        <f t="shared" si="242"/>
        <v>#VALUE!</v>
      </c>
      <c r="W1631">
        <v>15.19</v>
      </c>
      <c r="X1631" s="157" t="e">
        <f t="shared" si="243"/>
        <v>#VALUE!</v>
      </c>
      <c r="Y1631">
        <v>15.19</v>
      </c>
      <c r="Z1631" s="154" t="e">
        <f t="shared" si="244"/>
        <v>#VALUE!</v>
      </c>
      <c r="AA1631">
        <v>15.19</v>
      </c>
      <c r="AB1631" s="154" t="e">
        <f t="shared" si="245"/>
        <v>#VALUE!</v>
      </c>
      <c r="AC1631">
        <v>15.19</v>
      </c>
      <c r="AD1631" s="154" t="e">
        <f t="shared" si="246"/>
        <v>#VALUE!</v>
      </c>
      <c r="AE1631">
        <v>15.19</v>
      </c>
    </row>
    <row r="1632" spans="12:31" ht="15" x14ac:dyDescent="0.2">
      <c r="L1632" s="154" t="e">
        <f t="shared" si="237"/>
        <v>#VALUE!</v>
      </c>
      <c r="M1632">
        <v>15.2</v>
      </c>
      <c r="N1632" s="154" t="e">
        <f t="shared" si="238"/>
        <v>#VALUE!</v>
      </c>
      <c r="O1632">
        <v>15.2</v>
      </c>
      <c r="P1632" s="154" t="e">
        <f t="shared" si="239"/>
        <v>#VALUE!</v>
      </c>
      <c r="Q1632">
        <v>15.2</v>
      </c>
      <c r="R1632" s="154" t="e">
        <f t="shared" si="240"/>
        <v>#VALUE!</v>
      </c>
      <c r="S1632">
        <v>15.2</v>
      </c>
      <c r="T1632" s="154" t="e">
        <f t="shared" si="241"/>
        <v>#VALUE!</v>
      </c>
      <c r="U1632">
        <v>15.2</v>
      </c>
      <c r="V1632" s="154" t="e">
        <f t="shared" si="242"/>
        <v>#VALUE!</v>
      </c>
      <c r="W1632">
        <v>15.2</v>
      </c>
      <c r="X1632" s="157" t="e">
        <f t="shared" si="243"/>
        <v>#VALUE!</v>
      </c>
      <c r="Y1632">
        <v>15.2</v>
      </c>
      <c r="Z1632" s="154" t="e">
        <f t="shared" si="244"/>
        <v>#VALUE!</v>
      </c>
      <c r="AA1632">
        <v>15.2</v>
      </c>
      <c r="AB1632" s="154" t="e">
        <f t="shared" si="245"/>
        <v>#VALUE!</v>
      </c>
      <c r="AC1632">
        <v>15.2</v>
      </c>
      <c r="AD1632" s="154" t="e">
        <f t="shared" si="246"/>
        <v>#VALUE!</v>
      </c>
      <c r="AE1632">
        <v>15.2</v>
      </c>
    </row>
    <row r="1633" spans="12:31" ht="15" x14ac:dyDescent="0.2">
      <c r="L1633" s="154" t="e">
        <f t="shared" si="237"/>
        <v>#VALUE!</v>
      </c>
      <c r="M1633">
        <v>15.21</v>
      </c>
      <c r="N1633" s="154" t="e">
        <f t="shared" si="238"/>
        <v>#VALUE!</v>
      </c>
      <c r="O1633">
        <v>15.21</v>
      </c>
      <c r="P1633" s="154" t="e">
        <f t="shared" si="239"/>
        <v>#VALUE!</v>
      </c>
      <c r="Q1633">
        <v>15.21</v>
      </c>
      <c r="R1633" s="154" t="e">
        <f t="shared" si="240"/>
        <v>#VALUE!</v>
      </c>
      <c r="S1633">
        <v>15.21</v>
      </c>
      <c r="T1633" s="154" t="e">
        <f t="shared" si="241"/>
        <v>#VALUE!</v>
      </c>
      <c r="U1633">
        <v>15.21</v>
      </c>
      <c r="V1633" s="154" t="e">
        <f t="shared" si="242"/>
        <v>#VALUE!</v>
      </c>
      <c r="W1633">
        <v>15.21</v>
      </c>
      <c r="X1633" s="157" t="e">
        <f t="shared" si="243"/>
        <v>#VALUE!</v>
      </c>
      <c r="Y1633">
        <v>15.21</v>
      </c>
      <c r="Z1633" s="154" t="e">
        <f t="shared" si="244"/>
        <v>#VALUE!</v>
      </c>
      <c r="AA1633">
        <v>15.21</v>
      </c>
      <c r="AB1633" s="154" t="e">
        <f t="shared" si="245"/>
        <v>#VALUE!</v>
      </c>
      <c r="AC1633">
        <v>15.21</v>
      </c>
      <c r="AD1633" s="154" t="e">
        <f t="shared" si="246"/>
        <v>#VALUE!</v>
      </c>
      <c r="AE1633">
        <v>15.21</v>
      </c>
    </row>
    <row r="1634" spans="12:31" ht="15" x14ac:dyDescent="0.2">
      <c r="L1634" s="154" t="e">
        <f t="shared" si="237"/>
        <v>#VALUE!</v>
      </c>
      <c r="M1634">
        <v>15.22</v>
      </c>
      <c r="N1634" s="154" t="e">
        <f t="shared" si="238"/>
        <v>#VALUE!</v>
      </c>
      <c r="O1634">
        <v>15.22</v>
      </c>
      <c r="P1634" s="154" t="e">
        <f t="shared" si="239"/>
        <v>#VALUE!</v>
      </c>
      <c r="Q1634">
        <v>15.22</v>
      </c>
      <c r="R1634" s="154" t="e">
        <f t="shared" si="240"/>
        <v>#VALUE!</v>
      </c>
      <c r="S1634">
        <v>15.22</v>
      </c>
      <c r="T1634" s="154" t="e">
        <f t="shared" si="241"/>
        <v>#VALUE!</v>
      </c>
      <c r="U1634">
        <v>15.22</v>
      </c>
      <c r="V1634" s="154" t="e">
        <f t="shared" si="242"/>
        <v>#VALUE!</v>
      </c>
      <c r="W1634">
        <v>15.22</v>
      </c>
      <c r="X1634" s="157" t="e">
        <f t="shared" si="243"/>
        <v>#VALUE!</v>
      </c>
      <c r="Y1634">
        <v>15.22</v>
      </c>
      <c r="Z1634" s="154" t="e">
        <f t="shared" si="244"/>
        <v>#VALUE!</v>
      </c>
      <c r="AA1634">
        <v>15.22</v>
      </c>
      <c r="AB1634" s="154" t="e">
        <f t="shared" si="245"/>
        <v>#VALUE!</v>
      </c>
      <c r="AC1634">
        <v>15.22</v>
      </c>
      <c r="AD1634" s="154" t="e">
        <f t="shared" si="246"/>
        <v>#VALUE!</v>
      </c>
      <c r="AE1634">
        <v>15.22</v>
      </c>
    </row>
    <row r="1635" spans="12:31" ht="15" x14ac:dyDescent="0.2">
      <c r="L1635" s="154" t="e">
        <f t="shared" si="237"/>
        <v>#VALUE!</v>
      </c>
      <c r="M1635">
        <v>15.23</v>
      </c>
      <c r="N1635" s="154" t="e">
        <f t="shared" si="238"/>
        <v>#VALUE!</v>
      </c>
      <c r="O1635">
        <v>15.23</v>
      </c>
      <c r="P1635" s="154" t="e">
        <f t="shared" si="239"/>
        <v>#VALUE!</v>
      </c>
      <c r="Q1635">
        <v>15.23</v>
      </c>
      <c r="R1635" s="154" t="e">
        <f t="shared" si="240"/>
        <v>#VALUE!</v>
      </c>
      <c r="S1635">
        <v>15.23</v>
      </c>
      <c r="T1635" s="154" t="e">
        <f t="shared" si="241"/>
        <v>#VALUE!</v>
      </c>
      <c r="U1635">
        <v>15.23</v>
      </c>
      <c r="V1635" s="154" t="e">
        <f t="shared" si="242"/>
        <v>#VALUE!</v>
      </c>
      <c r="W1635">
        <v>15.23</v>
      </c>
      <c r="X1635" s="157" t="e">
        <f t="shared" si="243"/>
        <v>#VALUE!</v>
      </c>
      <c r="Y1635">
        <v>15.23</v>
      </c>
      <c r="Z1635" s="154" t="e">
        <f t="shared" si="244"/>
        <v>#VALUE!</v>
      </c>
      <c r="AA1635">
        <v>15.23</v>
      </c>
      <c r="AB1635" s="154" t="e">
        <f t="shared" si="245"/>
        <v>#VALUE!</v>
      </c>
      <c r="AC1635">
        <v>15.23</v>
      </c>
      <c r="AD1635" s="154" t="e">
        <f t="shared" si="246"/>
        <v>#VALUE!</v>
      </c>
      <c r="AE1635">
        <v>15.23</v>
      </c>
    </row>
    <row r="1636" spans="12:31" ht="15" x14ac:dyDescent="0.2">
      <c r="L1636" s="154" t="e">
        <f t="shared" si="237"/>
        <v>#VALUE!</v>
      </c>
      <c r="M1636">
        <v>15.24</v>
      </c>
      <c r="N1636" s="154" t="e">
        <f t="shared" si="238"/>
        <v>#VALUE!</v>
      </c>
      <c r="O1636">
        <v>15.24</v>
      </c>
      <c r="P1636" s="154" t="e">
        <f t="shared" si="239"/>
        <v>#VALUE!</v>
      </c>
      <c r="Q1636">
        <v>15.24</v>
      </c>
      <c r="R1636" s="154" t="e">
        <f t="shared" si="240"/>
        <v>#VALUE!</v>
      </c>
      <c r="S1636">
        <v>15.24</v>
      </c>
      <c r="T1636" s="154" t="e">
        <f t="shared" si="241"/>
        <v>#VALUE!</v>
      </c>
      <c r="U1636">
        <v>15.24</v>
      </c>
      <c r="V1636" s="154" t="e">
        <f t="shared" si="242"/>
        <v>#VALUE!</v>
      </c>
      <c r="W1636">
        <v>15.24</v>
      </c>
      <c r="X1636" s="157" t="e">
        <f t="shared" si="243"/>
        <v>#VALUE!</v>
      </c>
      <c r="Y1636">
        <v>15.24</v>
      </c>
      <c r="Z1636" s="154" t="e">
        <f t="shared" si="244"/>
        <v>#VALUE!</v>
      </c>
      <c r="AA1636">
        <v>15.24</v>
      </c>
      <c r="AB1636" s="154" t="e">
        <f t="shared" si="245"/>
        <v>#VALUE!</v>
      </c>
      <c r="AC1636">
        <v>15.24</v>
      </c>
      <c r="AD1636" s="154" t="e">
        <f t="shared" si="246"/>
        <v>#VALUE!</v>
      </c>
      <c r="AE1636">
        <v>15.24</v>
      </c>
    </row>
    <row r="1637" spans="12:31" ht="15" x14ac:dyDescent="0.2">
      <c r="L1637" s="154" t="e">
        <f t="shared" si="237"/>
        <v>#VALUE!</v>
      </c>
      <c r="M1637">
        <v>15.25</v>
      </c>
      <c r="N1637" s="154" t="e">
        <f t="shared" si="238"/>
        <v>#VALUE!</v>
      </c>
      <c r="O1637">
        <v>15.25</v>
      </c>
      <c r="P1637" s="154" t="e">
        <f t="shared" si="239"/>
        <v>#VALUE!</v>
      </c>
      <c r="Q1637">
        <v>15.25</v>
      </c>
      <c r="R1637" s="154" t="e">
        <f t="shared" si="240"/>
        <v>#VALUE!</v>
      </c>
      <c r="S1637">
        <v>15.25</v>
      </c>
      <c r="T1637" s="154" t="e">
        <f t="shared" si="241"/>
        <v>#VALUE!</v>
      </c>
      <c r="U1637">
        <v>15.25</v>
      </c>
      <c r="V1637" s="154" t="e">
        <f t="shared" si="242"/>
        <v>#VALUE!</v>
      </c>
      <c r="W1637">
        <v>15.25</v>
      </c>
      <c r="X1637" s="157" t="e">
        <f t="shared" si="243"/>
        <v>#VALUE!</v>
      </c>
      <c r="Y1637">
        <v>15.25</v>
      </c>
      <c r="Z1637" s="154" t="e">
        <f t="shared" si="244"/>
        <v>#VALUE!</v>
      </c>
      <c r="AA1637">
        <v>15.25</v>
      </c>
      <c r="AB1637" s="154" t="e">
        <f t="shared" si="245"/>
        <v>#VALUE!</v>
      </c>
      <c r="AC1637">
        <v>15.25</v>
      </c>
      <c r="AD1637" s="154" t="e">
        <f t="shared" si="246"/>
        <v>#VALUE!</v>
      </c>
      <c r="AE1637">
        <v>15.25</v>
      </c>
    </row>
    <row r="1638" spans="12:31" ht="15" x14ac:dyDescent="0.2">
      <c r="L1638" s="154" t="e">
        <f t="shared" si="237"/>
        <v>#VALUE!</v>
      </c>
      <c r="M1638">
        <v>15.26</v>
      </c>
      <c r="N1638" s="154" t="e">
        <f t="shared" si="238"/>
        <v>#VALUE!</v>
      </c>
      <c r="O1638">
        <v>15.26</v>
      </c>
      <c r="P1638" s="154" t="e">
        <f t="shared" si="239"/>
        <v>#VALUE!</v>
      </c>
      <c r="Q1638">
        <v>15.26</v>
      </c>
      <c r="R1638" s="154" t="e">
        <f t="shared" si="240"/>
        <v>#VALUE!</v>
      </c>
      <c r="S1638">
        <v>15.26</v>
      </c>
      <c r="T1638" s="154" t="e">
        <f t="shared" si="241"/>
        <v>#VALUE!</v>
      </c>
      <c r="U1638">
        <v>15.26</v>
      </c>
      <c r="V1638" s="154" t="e">
        <f t="shared" si="242"/>
        <v>#VALUE!</v>
      </c>
      <c r="W1638">
        <v>15.26</v>
      </c>
      <c r="X1638" s="157" t="e">
        <f t="shared" si="243"/>
        <v>#VALUE!</v>
      </c>
      <c r="Y1638">
        <v>15.26</v>
      </c>
      <c r="Z1638" s="154" t="e">
        <f t="shared" si="244"/>
        <v>#VALUE!</v>
      </c>
      <c r="AA1638">
        <v>15.26</v>
      </c>
      <c r="AB1638" s="154" t="e">
        <f t="shared" si="245"/>
        <v>#VALUE!</v>
      </c>
      <c r="AC1638">
        <v>15.26</v>
      </c>
      <c r="AD1638" s="154" t="e">
        <f t="shared" si="246"/>
        <v>#VALUE!</v>
      </c>
      <c r="AE1638">
        <v>15.26</v>
      </c>
    </row>
    <row r="1639" spans="12:31" ht="15" x14ac:dyDescent="0.2">
      <c r="L1639" s="154" t="e">
        <f t="shared" si="237"/>
        <v>#VALUE!</v>
      </c>
      <c r="M1639">
        <v>15.27</v>
      </c>
      <c r="N1639" s="154" t="e">
        <f t="shared" si="238"/>
        <v>#VALUE!</v>
      </c>
      <c r="O1639">
        <v>15.27</v>
      </c>
      <c r="P1639" s="154" t="e">
        <f t="shared" si="239"/>
        <v>#VALUE!</v>
      </c>
      <c r="Q1639">
        <v>15.27</v>
      </c>
      <c r="R1639" s="154" t="e">
        <f t="shared" si="240"/>
        <v>#VALUE!</v>
      </c>
      <c r="S1639">
        <v>15.27</v>
      </c>
      <c r="T1639" s="154" t="e">
        <f t="shared" si="241"/>
        <v>#VALUE!</v>
      </c>
      <c r="U1639">
        <v>15.27</v>
      </c>
      <c r="V1639" s="154" t="e">
        <f t="shared" si="242"/>
        <v>#VALUE!</v>
      </c>
      <c r="W1639">
        <v>15.27</v>
      </c>
      <c r="X1639" s="157" t="e">
        <f t="shared" si="243"/>
        <v>#VALUE!</v>
      </c>
      <c r="Y1639">
        <v>15.27</v>
      </c>
      <c r="Z1639" s="154" t="e">
        <f t="shared" si="244"/>
        <v>#VALUE!</v>
      </c>
      <c r="AA1639">
        <v>15.27</v>
      </c>
      <c r="AB1639" s="154" t="e">
        <f t="shared" si="245"/>
        <v>#VALUE!</v>
      </c>
      <c r="AC1639">
        <v>15.27</v>
      </c>
      <c r="AD1639" s="154" t="e">
        <f t="shared" si="246"/>
        <v>#VALUE!</v>
      </c>
      <c r="AE1639">
        <v>15.27</v>
      </c>
    </row>
    <row r="1640" spans="12:31" ht="15" x14ac:dyDescent="0.2">
      <c r="L1640" s="154" t="e">
        <f t="shared" si="237"/>
        <v>#VALUE!</v>
      </c>
      <c r="M1640">
        <v>15.28</v>
      </c>
      <c r="N1640" s="154" t="e">
        <f t="shared" si="238"/>
        <v>#VALUE!</v>
      </c>
      <c r="O1640">
        <v>15.28</v>
      </c>
      <c r="P1640" s="154" t="e">
        <f t="shared" si="239"/>
        <v>#VALUE!</v>
      </c>
      <c r="Q1640">
        <v>15.28</v>
      </c>
      <c r="R1640" s="154" t="e">
        <f t="shared" si="240"/>
        <v>#VALUE!</v>
      </c>
      <c r="S1640">
        <v>15.28</v>
      </c>
      <c r="T1640" s="154" t="e">
        <f t="shared" si="241"/>
        <v>#VALUE!</v>
      </c>
      <c r="U1640">
        <v>15.28</v>
      </c>
      <c r="V1640" s="154" t="e">
        <f t="shared" si="242"/>
        <v>#VALUE!</v>
      </c>
      <c r="W1640">
        <v>15.28</v>
      </c>
      <c r="X1640" s="157" t="e">
        <f t="shared" si="243"/>
        <v>#VALUE!</v>
      </c>
      <c r="Y1640">
        <v>15.28</v>
      </c>
      <c r="Z1640" s="154" t="e">
        <f t="shared" si="244"/>
        <v>#VALUE!</v>
      </c>
      <c r="AA1640">
        <v>15.28</v>
      </c>
      <c r="AB1640" s="154" t="e">
        <f t="shared" si="245"/>
        <v>#VALUE!</v>
      </c>
      <c r="AC1640">
        <v>15.28</v>
      </c>
      <c r="AD1640" s="154" t="e">
        <f t="shared" si="246"/>
        <v>#VALUE!</v>
      </c>
      <c r="AE1640">
        <v>15.28</v>
      </c>
    </row>
    <row r="1641" spans="12:31" ht="15" x14ac:dyDescent="0.2">
      <c r="L1641" s="154" t="e">
        <f t="shared" si="237"/>
        <v>#VALUE!</v>
      </c>
      <c r="M1641">
        <v>15.29</v>
      </c>
      <c r="N1641" s="154" t="e">
        <f t="shared" si="238"/>
        <v>#VALUE!</v>
      </c>
      <c r="O1641">
        <v>15.29</v>
      </c>
      <c r="P1641" s="154" t="e">
        <f t="shared" si="239"/>
        <v>#VALUE!</v>
      </c>
      <c r="Q1641">
        <v>15.29</v>
      </c>
      <c r="R1641" s="154" t="e">
        <f t="shared" si="240"/>
        <v>#VALUE!</v>
      </c>
      <c r="S1641">
        <v>15.29</v>
      </c>
      <c r="T1641" s="154" t="e">
        <f t="shared" si="241"/>
        <v>#VALUE!</v>
      </c>
      <c r="U1641">
        <v>15.29</v>
      </c>
      <c r="V1641" s="154" t="e">
        <f t="shared" si="242"/>
        <v>#VALUE!</v>
      </c>
      <c r="W1641">
        <v>15.29</v>
      </c>
      <c r="X1641" s="157" t="e">
        <f t="shared" si="243"/>
        <v>#VALUE!</v>
      </c>
      <c r="Y1641">
        <v>15.29</v>
      </c>
      <c r="Z1641" s="154" t="e">
        <f t="shared" si="244"/>
        <v>#VALUE!</v>
      </c>
      <c r="AA1641">
        <v>15.29</v>
      </c>
      <c r="AB1641" s="154" t="e">
        <f t="shared" si="245"/>
        <v>#VALUE!</v>
      </c>
      <c r="AC1641">
        <v>15.29</v>
      </c>
      <c r="AD1641" s="154" t="e">
        <f t="shared" si="246"/>
        <v>#VALUE!</v>
      </c>
      <c r="AE1641">
        <v>15.29</v>
      </c>
    </row>
    <row r="1642" spans="12:31" ht="15" x14ac:dyDescent="0.2">
      <c r="L1642" s="154" t="e">
        <f t="shared" si="237"/>
        <v>#VALUE!</v>
      </c>
      <c r="M1642">
        <v>15.3</v>
      </c>
      <c r="N1642" s="154" t="e">
        <f t="shared" si="238"/>
        <v>#VALUE!</v>
      </c>
      <c r="O1642">
        <v>15.3</v>
      </c>
      <c r="P1642" s="154" t="e">
        <f t="shared" si="239"/>
        <v>#VALUE!</v>
      </c>
      <c r="Q1642">
        <v>15.3</v>
      </c>
      <c r="R1642" s="154" t="e">
        <f t="shared" si="240"/>
        <v>#VALUE!</v>
      </c>
      <c r="S1642">
        <v>15.3</v>
      </c>
      <c r="T1642" s="154" t="e">
        <f t="shared" si="241"/>
        <v>#VALUE!</v>
      </c>
      <c r="U1642">
        <v>15.3</v>
      </c>
      <c r="V1642" s="154" t="e">
        <f t="shared" si="242"/>
        <v>#VALUE!</v>
      </c>
      <c r="W1642">
        <v>15.3</v>
      </c>
      <c r="X1642" s="157" t="e">
        <f t="shared" si="243"/>
        <v>#VALUE!</v>
      </c>
      <c r="Y1642">
        <v>15.3</v>
      </c>
      <c r="Z1642" s="154" t="e">
        <f t="shared" si="244"/>
        <v>#VALUE!</v>
      </c>
      <c r="AA1642">
        <v>15.3</v>
      </c>
      <c r="AB1642" s="154" t="e">
        <f t="shared" si="245"/>
        <v>#VALUE!</v>
      </c>
      <c r="AC1642">
        <v>15.3</v>
      </c>
      <c r="AD1642" s="154" t="e">
        <f t="shared" si="246"/>
        <v>#VALUE!</v>
      </c>
      <c r="AE1642">
        <v>15.3</v>
      </c>
    </row>
    <row r="1643" spans="12:31" ht="15" x14ac:dyDescent="0.2">
      <c r="L1643" s="154" t="e">
        <f t="shared" si="237"/>
        <v>#VALUE!</v>
      </c>
      <c r="M1643">
        <v>15.31</v>
      </c>
      <c r="N1643" s="154" t="e">
        <f t="shared" si="238"/>
        <v>#VALUE!</v>
      </c>
      <c r="O1643">
        <v>15.31</v>
      </c>
      <c r="P1643" s="154" t="e">
        <f t="shared" si="239"/>
        <v>#VALUE!</v>
      </c>
      <c r="Q1643">
        <v>15.31</v>
      </c>
      <c r="R1643" s="154" t="e">
        <f t="shared" si="240"/>
        <v>#VALUE!</v>
      </c>
      <c r="S1643">
        <v>15.31</v>
      </c>
      <c r="T1643" s="154" t="e">
        <f t="shared" si="241"/>
        <v>#VALUE!</v>
      </c>
      <c r="U1643">
        <v>15.31</v>
      </c>
      <c r="V1643" s="154" t="e">
        <f t="shared" si="242"/>
        <v>#VALUE!</v>
      </c>
      <c r="W1643">
        <v>15.31</v>
      </c>
      <c r="X1643" s="157" t="e">
        <f t="shared" si="243"/>
        <v>#VALUE!</v>
      </c>
      <c r="Y1643">
        <v>15.31</v>
      </c>
      <c r="Z1643" s="154" t="e">
        <f t="shared" si="244"/>
        <v>#VALUE!</v>
      </c>
      <c r="AA1643">
        <v>15.31</v>
      </c>
      <c r="AB1643" s="154" t="e">
        <f t="shared" si="245"/>
        <v>#VALUE!</v>
      </c>
      <c r="AC1643">
        <v>15.31</v>
      </c>
      <c r="AD1643" s="154" t="e">
        <f t="shared" si="246"/>
        <v>#VALUE!</v>
      </c>
      <c r="AE1643">
        <v>15.31</v>
      </c>
    </row>
    <row r="1644" spans="12:31" ht="15" x14ac:dyDescent="0.2">
      <c r="L1644" s="154" t="e">
        <f t="shared" si="237"/>
        <v>#VALUE!</v>
      </c>
      <c r="M1644">
        <v>15.32</v>
      </c>
      <c r="N1644" s="154" t="e">
        <f t="shared" si="238"/>
        <v>#VALUE!</v>
      </c>
      <c r="O1644">
        <v>15.32</v>
      </c>
      <c r="P1644" s="154" t="e">
        <f t="shared" si="239"/>
        <v>#VALUE!</v>
      </c>
      <c r="Q1644">
        <v>15.32</v>
      </c>
      <c r="R1644" s="154" t="e">
        <f t="shared" si="240"/>
        <v>#VALUE!</v>
      </c>
      <c r="S1644">
        <v>15.32</v>
      </c>
      <c r="T1644" s="154" t="e">
        <f t="shared" si="241"/>
        <v>#VALUE!</v>
      </c>
      <c r="U1644">
        <v>15.32</v>
      </c>
      <c r="V1644" s="154" t="e">
        <f t="shared" si="242"/>
        <v>#VALUE!</v>
      </c>
      <c r="W1644">
        <v>15.32</v>
      </c>
      <c r="X1644" s="157" t="e">
        <f t="shared" si="243"/>
        <v>#VALUE!</v>
      </c>
      <c r="Y1644">
        <v>15.32</v>
      </c>
      <c r="Z1644" s="154" t="e">
        <f t="shared" si="244"/>
        <v>#VALUE!</v>
      </c>
      <c r="AA1644">
        <v>15.32</v>
      </c>
      <c r="AB1644" s="154" t="e">
        <f t="shared" si="245"/>
        <v>#VALUE!</v>
      </c>
      <c r="AC1644">
        <v>15.32</v>
      </c>
      <c r="AD1644" s="154" t="e">
        <f t="shared" si="246"/>
        <v>#VALUE!</v>
      </c>
      <c r="AE1644">
        <v>15.32</v>
      </c>
    </row>
    <row r="1645" spans="12:31" ht="15" x14ac:dyDescent="0.2">
      <c r="L1645" s="154" t="e">
        <f t="shared" si="237"/>
        <v>#VALUE!</v>
      </c>
      <c r="M1645">
        <v>15.33</v>
      </c>
      <c r="N1645" s="154" t="e">
        <f t="shared" si="238"/>
        <v>#VALUE!</v>
      </c>
      <c r="O1645">
        <v>15.33</v>
      </c>
      <c r="P1645" s="154" t="e">
        <f t="shared" si="239"/>
        <v>#VALUE!</v>
      </c>
      <c r="Q1645">
        <v>15.33</v>
      </c>
      <c r="R1645" s="154" t="e">
        <f t="shared" si="240"/>
        <v>#VALUE!</v>
      </c>
      <c r="S1645">
        <v>15.33</v>
      </c>
      <c r="T1645" s="154" t="e">
        <f t="shared" si="241"/>
        <v>#VALUE!</v>
      </c>
      <c r="U1645">
        <v>15.33</v>
      </c>
      <c r="V1645" s="154" t="e">
        <f t="shared" si="242"/>
        <v>#VALUE!</v>
      </c>
      <c r="W1645">
        <v>15.33</v>
      </c>
      <c r="X1645" s="157" t="e">
        <f t="shared" si="243"/>
        <v>#VALUE!</v>
      </c>
      <c r="Y1645">
        <v>15.33</v>
      </c>
      <c r="Z1645" s="154" t="e">
        <f t="shared" si="244"/>
        <v>#VALUE!</v>
      </c>
      <c r="AA1645">
        <v>15.33</v>
      </c>
      <c r="AB1645" s="154" t="e">
        <f t="shared" si="245"/>
        <v>#VALUE!</v>
      </c>
      <c r="AC1645">
        <v>15.33</v>
      </c>
      <c r="AD1645" s="154" t="e">
        <f t="shared" si="246"/>
        <v>#VALUE!</v>
      </c>
      <c r="AE1645">
        <v>15.33</v>
      </c>
    </row>
    <row r="1646" spans="12:31" ht="15" x14ac:dyDescent="0.2">
      <c r="L1646" s="154" t="e">
        <f t="shared" si="237"/>
        <v>#VALUE!</v>
      </c>
      <c r="M1646">
        <v>15.34</v>
      </c>
      <c r="N1646" s="154" t="e">
        <f t="shared" si="238"/>
        <v>#VALUE!</v>
      </c>
      <c r="O1646">
        <v>15.34</v>
      </c>
      <c r="P1646" s="154" t="e">
        <f t="shared" si="239"/>
        <v>#VALUE!</v>
      </c>
      <c r="Q1646">
        <v>15.34</v>
      </c>
      <c r="R1646" s="154" t="e">
        <f t="shared" si="240"/>
        <v>#VALUE!</v>
      </c>
      <c r="S1646">
        <v>15.34</v>
      </c>
      <c r="T1646" s="154" t="e">
        <f t="shared" si="241"/>
        <v>#VALUE!</v>
      </c>
      <c r="U1646">
        <v>15.34</v>
      </c>
      <c r="V1646" s="154" t="e">
        <f t="shared" si="242"/>
        <v>#VALUE!</v>
      </c>
      <c r="W1646">
        <v>15.34</v>
      </c>
      <c r="X1646" s="157" t="e">
        <f t="shared" si="243"/>
        <v>#VALUE!</v>
      </c>
      <c r="Y1646">
        <v>15.34</v>
      </c>
      <c r="Z1646" s="154" t="e">
        <f t="shared" si="244"/>
        <v>#VALUE!</v>
      </c>
      <c r="AA1646">
        <v>15.34</v>
      </c>
      <c r="AB1646" s="154" t="e">
        <f t="shared" si="245"/>
        <v>#VALUE!</v>
      </c>
      <c r="AC1646">
        <v>15.34</v>
      </c>
      <c r="AD1646" s="154" t="e">
        <f t="shared" si="246"/>
        <v>#VALUE!</v>
      </c>
      <c r="AE1646">
        <v>15.34</v>
      </c>
    </row>
    <row r="1647" spans="12:31" ht="15" x14ac:dyDescent="0.2">
      <c r="L1647" s="154" t="e">
        <f t="shared" si="237"/>
        <v>#VALUE!</v>
      </c>
      <c r="M1647">
        <v>15.35</v>
      </c>
      <c r="N1647" s="154" t="e">
        <f t="shared" si="238"/>
        <v>#VALUE!</v>
      </c>
      <c r="O1647">
        <v>15.35</v>
      </c>
      <c r="P1647" s="154" t="e">
        <f t="shared" si="239"/>
        <v>#VALUE!</v>
      </c>
      <c r="Q1647">
        <v>15.35</v>
      </c>
      <c r="R1647" s="154" t="e">
        <f t="shared" si="240"/>
        <v>#VALUE!</v>
      </c>
      <c r="S1647">
        <v>15.35</v>
      </c>
      <c r="T1647" s="154" t="e">
        <f t="shared" si="241"/>
        <v>#VALUE!</v>
      </c>
      <c r="U1647">
        <v>15.35</v>
      </c>
      <c r="V1647" s="154" t="e">
        <f t="shared" si="242"/>
        <v>#VALUE!</v>
      </c>
      <c r="W1647">
        <v>15.35</v>
      </c>
      <c r="X1647" s="157" t="e">
        <f t="shared" si="243"/>
        <v>#VALUE!</v>
      </c>
      <c r="Y1647">
        <v>15.35</v>
      </c>
      <c r="Z1647" s="154" t="e">
        <f t="shared" si="244"/>
        <v>#VALUE!</v>
      </c>
      <c r="AA1647">
        <v>15.35</v>
      </c>
      <c r="AB1647" s="154" t="e">
        <f t="shared" si="245"/>
        <v>#VALUE!</v>
      </c>
      <c r="AC1647">
        <v>15.35</v>
      </c>
      <c r="AD1647" s="154" t="e">
        <f t="shared" si="246"/>
        <v>#VALUE!</v>
      </c>
      <c r="AE1647">
        <v>15.35</v>
      </c>
    </row>
    <row r="1648" spans="12:31" ht="15" x14ac:dyDescent="0.2">
      <c r="L1648" s="154" t="e">
        <f t="shared" si="237"/>
        <v>#VALUE!</v>
      </c>
      <c r="M1648">
        <v>15.36</v>
      </c>
      <c r="N1648" s="154" t="e">
        <f t="shared" si="238"/>
        <v>#VALUE!</v>
      </c>
      <c r="O1648">
        <v>15.36</v>
      </c>
      <c r="P1648" s="154" t="e">
        <f t="shared" si="239"/>
        <v>#VALUE!</v>
      </c>
      <c r="Q1648">
        <v>15.36</v>
      </c>
      <c r="R1648" s="154" t="e">
        <f t="shared" si="240"/>
        <v>#VALUE!</v>
      </c>
      <c r="S1648">
        <v>15.36</v>
      </c>
      <c r="T1648" s="154" t="e">
        <f t="shared" si="241"/>
        <v>#VALUE!</v>
      </c>
      <c r="U1648">
        <v>15.36</v>
      </c>
      <c r="V1648" s="154" t="e">
        <f t="shared" si="242"/>
        <v>#VALUE!</v>
      </c>
      <c r="W1648">
        <v>15.36</v>
      </c>
      <c r="X1648" s="157" t="e">
        <f t="shared" si="243"/>
        <v>#VALUE!</v>
      </c>
      <c r="Y1648">
        <v>15.36</v>
      </c>
      <c r="Z1648" s="154" t="e">
        <f t="shared" si="244"/>
        <v>#VALUE!</v>
      </c>
      <c r="AA1648">
        <v>15.36</v>
      </c>
      <c r="AB1648" s="154" t="e">
        <f t="shared" si="245"/>
        <v>#VALUE!</v>
      </c>
      <c r="AC1648">
        <v>15.36</v>
      </c>
      <c r="AD1648" s="154" t="e">
        <f t="shared" si="246"/>
        <v>#VALUE!</v>
      </c>
      <c r="AE1648">
        <v>15.36</v>
      </c>
    </row>
    <row r="1649" spans="12:31" ht="15" x14ac:dyDescent="0.2">
      <c r="L1649" s="154" t="e">
        <f t="shared" ref="L1649:L1712" si="247">((1.486/$D$33)*((((PI()*($D$46/12)^2)/4)-((($D$46/12)/2)^2*((2*ACOS(((($D$46/12)/2)-(($D$46/12)-(M1649/12)))/(($D$46/12)/2)))-SIN(2*ACOS(((($D$46/12)/2)-(($D$46/12)-(M1649/12)))/(($D$46/12)/2))))/2))/((PI()*($D$46/12))-((2*ACOS(((($D$46/12)/2)-(($D$46/12)-(M1649/12)))/(($D$46/12)/2)))*(($D$46/12)/2))))^(2/3)*$H$17^0.5)*(((PI()*($D$46/12)^2)/4)-((($D$46/12)/2)^2*((2*ACOS(((($D$46/12)/2)-(($D$46/12)-(M1649/12)))/(($D$46/12)/2)))-SIN(2*ACOS(((($D$46/12)/2)-(($D$46/12)-(M1649/12)))/(($D$46/12)/2))))/2))</f>
        <v>#VALUE!</v>
      </c>
      <c r="M1649">
        <v>15.37</v>
      </c>
      <c r="N1649" s="154" t="e">
        <f t="shared" ref="N1649:N1712" si="248">((1.486/$D$34)*((((PI()*($D$47/12)^2)/4)-((($D$47/12)/2)^2*((2*ACOS(((($D$47/12)/2)-(($D$47/12)-(O1649/12)))/(($D$47/12)/2)))-SIN(2*ACOS(((($D$47/12)/2)-(($D$47/12)-(O1649/12)))/(($D$47/12)/2))))/2))/((PI()*($D$47/12))-((2*ACOS(((($D$47/12)/2)-(($D$47/12)-(O1649/12)))/(($D$47/12)/2)))*(($D$47/12)/2))))^(2/3)*$H$18^0.5)*(((PI()*($D$47/12)^2)/4)-((($D$47/12)/2)^2*((2*ACOS(((($D$47/12)/2)-(($D$47/12)-(O1649/12)))/(($D$47/12)/2)))-SIN(2*ACOS(((($D$47/12)/2)-(($D$47/12)-(O1649/12)))/(($D$47/12)/2))))/2))</f>
        <v>#VALUE!</v>
      </c>
      <c r="O1649">
        <v>15.37</v>
      </c>
      <c r="P1649" s="154" t="e">
        <f t="shared" ref="P1649:P1712" si="249">((1.486/$D$35)*((((PI()*($D$48/12)^2)/4)-((($D$48/12)/2)^2*((2*ACOS(((($D$48/12)/2)-(($D$48/12)-(Q1649/12)))/(($D$48/12)/2)))-SIN(2*ACOS(((($D$48/12)/2)-(($D$48/12)-(Q1649/12)))/(($D$48/12)/2))))/2))/((PI()*($D$48/12))-((2*ACOS(((($D$48/12)/2)-(($D$48/12)-(Q1649/12)))/(($D$48/12)/2)))*(($D$48/12)/2))))^(2/3)*$H$19^0.5)*(((PI()*($D$48/12)^2)/4)-((($D$48/12)/2)^2*((2*ACOS(((($D$48/12)/2)-(($D$48/12)-(Q1649/12)))/(($D$48/12)/2)))-SIN(2*ACOS(((($D$48/12)/2)-(($D$48/12)-(Q1649/12)))/(($D$48/12)/2))))/2))</f>
        <v>#VALUE!</v>
      </c>
      <c r="Q1649">
        <v>15.37</v>
      </c>
      <c r="R1649" s="154" t="e">
        <f t="shared" ref="R1649:R1712" si="250">((1.486/$D$36)*((((PI()*($D$49/12)^2)/4)-((($D$49/12)/2)^2*((2*ACOS(((($D$49/12)/2)-(($D$49/12)-(S1649/12)))/(($D$49/12)/2)))-SIN(2*ACOS(((($D$49/12)/2)-(($D$49/12)-(S1649/12)))/(($D$49/12)/2))))/2))/((PI()*($D$49/12))-((2*ACOS(((($D$49/12)/2)-(($D$49/12)-(S1649/12)))/(($D$49/12)/2)))*(($D$49/12)/2))))^(2/3)*$H$20^0.5)*(((PI()*($D$49/12)^2)/4)-((($D$49/12)/2)^2*((2*ACOS(((($D$49/12)/2)-(($D$49/12)-(S1649/12)))/(($D$49/12)/2)))-SIN(2*ACOS(((($D$49/12)/2)-(($D$49/12)-(S1649/12)))/(($D$49/12)/2))))/2))</f>
        <v>#VALUE!</v>
      </c>
      <c r="S1649">
        <v>15.37</v>
      </c>
      <c r="T1649" s="154" t="e">
        <f t="shared" ref="T1649:T1712" si="251">((1.486/$D$37)*((((PI()*($D$50/12)^2)/4)-((($D$50/12)/2)^2*((2*ACOS(((($D$50/12)/2)-(($D$50/12)-(U1649/12)))/(($D$50/12)/2)))-SIN(2*ACOS(((($D$50/12)/2)-(($D$50/12)-(U1649/12)))/(($D$50/12)/2))))/2))/((PI()*($D$50/12))-((2*ACOS(((($D$50/12)/2)-(($D$50/12)-(U1649/12)))/(($D$50/12)/2)))*(($D$50/12)/2))))^(2/3)*$H$21^0.5)*(((PI()*($D$50/12)^2)/4)-((($D$50/12)/2)^2*((2*ACOS(((($D$50/12)/2)-(($D$50/12)-(U1649/12)))/(($D$50/12)/2)))-SIN(2*ACOS(((($D$50/12)/2)-(($D$50/12)-(U1649/12)))/(($D$50/12)/2))))/2))</f>
        <v>#VALUE!</v>
      </c>
      <c r="U1649">
        <v>15.37</v>
      </c>
      <c r="V1649" s="154" t="e">
        <f t="shared" ref="V1649:V1712" si="252">((1.486/$D$38)*((((PI()*($D$51/12)^2)/4)-((($D$51/12)/2)^2*((2*ACOS(((($D$51/12)/2)-(($D$51/12)-(W1649/12)))/(($D$51/12)/2)))-SIN(2*ACOS(((($D$51/12)/2)-(($D$51/12)-(W1649/12)))/(($D$51/12)/2))))/2))/((PI()*($D$51/12))-((2*ACOS(((($D$51/12)/2)-(($D$51/12)-(W1649/12)))/(($D$51/12)/2)))*(($D$51/12)/2))))^(2/3)*$H$22^0.5)*(((PI()*($D$51/12)^2)/4)-((($D$51/12)/2)^2*((2*ACOS(((($D$51/12)/2)-(($D$51/12)-(W1649/12)))/(($D$51/12)/2)))-SIN(2*ACOS(((($D$51/12)/2)-(($D$51/12)-(W1649/12)))/(($D$51/12)/2))))/2))</f>
        <v>#VALUE!</v>
      </c>
      <c r="W1649">
        <v>15.37</v>
      </c>
      <c r="X1649" s="157" t="e">
        <f t="shared" ref="X1649:X1712" si="253">((1.486/$D$39)*((((PI()*($D$52/12)^2)/4)-((($D$52/12)/2)^2*((2*ACOS(((($D$52/12)/2)-(($D$52/12)-(Y1649/12)))/(($D$52/12)/2)))-SIN(2*ACOS(((($D$52/12)/2)-(($D$52/12)-(Y1649/12)))/(($D$52/12)/2))))/2))/((PI()*($D$52/12))-((2*ACOS(((($D$52/12)/2)-(($D$52/12)-(Y1649/12)))/(($D$52/12)/2)))*(($D$52/12)/2))))^(2/3)*$H$23^0.5)*(((PI()*($D$52/12)^2)/4)-((($D$52/12)/2)^2*((2*ACOS(((($D$52/12)/2)-(($D$52/12)-(Y1649/12)))/(($D$52/12)/2)))-SIN(2*ACOS(((($D$52/12)/2)-(($D$52/12)-(Y1649/12)))/(($D$52/12)/2))))/2))</f>
        <v>#VALUE!</v>
      </c>
      <c r="Y1649">
        <v>15.37</v>
      </c>
      <c r="Z1649" s="154" t="e">
        <f t="shared" ref="Z1649:Z1712" si="254">((1.486/$D$40)*((((PI()*($D$53/12)^2)/4)-((($D$53/12)/2)^2*((2*ACOS(((($D$53/12)/2)-(($D$53/12)-(AA1649/12)))/(($D$53/12)/2)))-SIN(2*ACOS(((($D$53/12)/2)-(($D$53/12)-(AA1649/12)))/(($D$53/12)/2))))/2))/((PI()*($D$53/12))-((2*ACOS(((($D$53/12)/2)-(($D$53/12)-(AA1649/12)))/(($D$53/12)/2)))*(($D$53/12)/2))))^(2/3)*$H$24^0.5)*(((PI()*($D$53/12)^2)/4)-((($D$53/12)/2)^2*((2*ACOS(((($D$53/12)/2)-(($D$53/12)-(AA1649/12)))/(($D$53/12)/2)))-SIN(2*ACOS(((($D$53/12)/2)-(($D$53/12)-(AA1649/12)))/(($D$53/12)/2))))/2))</f>
        <v>#VALUE!</v>
      </c>
      <c r="AA1649">
        <v>15.37</v>
      </c>
      <c r="AB1649" s="154" t="e">
        <f t="shared" ref="AB1649:AB1712" si="255">((1.486/$D$41)*((((PI()*($D$54/12)^2)/4)-((($D$54/12)/2)^2*((2*ACOS(((($D$54/12)/2)-(($D$54/12)-(AC1649/12)))/(($D$54/12)/2)))-SIN(2*ACOS(((($D$54/12)/2)-(($D$54/12)-(AC1649/12)))/(($D$54/12)/2))))/2))/((PI()*($D$54/12))-((2*ACOS(((($D$54/12)/2)-(($D$54/12)-(AC1649/12)))/(($D$54/12)/2)))*(($D$54/12)/2))))^(2/3)*$H$25^0.5)*(((PI()*($D$54/12)^2)/4)-((($D$54/12)/2)^2*((2*ACOS(((($D$54/12)/2)-(($D$54/12)-(AC1649/12)))/(($D$54/12)/2)))-SIN(2*ACOS(((($D$54/12)/2)-(($D$54/12)-(AC1649/12)))/(($D$54/12)/2))))/2))</f>
        <v>#VALUE!</v>
      </c>
      <c r="AC1649">
        <v>15.37</v>
      </c>
      <c r="AD1649" s="154" t="e">
        <f t="shared" ref="AD1649:AD1712" si="256">((1.486/$D$42)*((((PI()*($D$55/12)^2)/4)-((($D$55/12)/2)^2*((2*ACOS(((($D$55/12)/2)-(($D$55/12)-(AE1649/12)))/(($D$55/12)/2)))-SIN(2*ACOS(((($D$55/12)/2)-(($D$55/12)-(AE1649/12)))/(($D$55/12)/2))))/2))/((PI()*($D$55/12))-((2*ACOS(((($D$55/12)/2)-(($D$55/12)-(AE1649/12)))/(($D$55/12)/2)))*(($D$55/12)/2))))^(2/3)*$H$26^0.5)*(((PI()*($D$55/12)^2)/4)-((($D$55/12)/2)^2*((2*ACOS(((($D$55/12)/2)-(($D$55/12)-(AE1649/12)))/(($D$55/12)/2)))-SIN(2*ACOS(((($D$55/12)/2)-(($D$55/12)-(AE1649/12)))/(($D$55/12)/2))))/2))</f>
        <v>#VALUE!</v>
      </c>
      <c r="AE1649">
        <v>15.37</v>
      </c>
    </row>
    <row r="1650" spans="12:31" ht="15" x14ac:dyDescent="0.2">
      <c r="L1650" s="154" t="e">
        <f t="shared" si="247"/>
        <v>#VALUE!</v>
      </c>
      <c r="M1650">
        <v>15.38</v>
      </c>
      <c r="N1650" s="154" t="e">
        <f t="shared" si="248"/>
        <v>#VALUE!</v>
      </c>
      <c r="O1650">
        <v>15.38</v>
      </c>
      <c r="P1650" s="154" t="e">
        <f t="shared" si="249"/>
        <v>#VALUE!</v>
      </c>
      <c r="Q1650">
        <v>15.38</v>
      </c>
      <c r="R1650" s="154" t="e">
        <f t="shared" si="250"/>
        <v>#VALUE!</v>
      </c>
      <c r="S1650">
        <v>15.38</v>
      </c>
      <c r="T1650" s="154" t="e">
        <f t="shared" si="251"/>
        <v>#VALUE!</v>
      </c>
      <c r="U1650">
        <v>15.38</v>
      </c>
      <c r="V1650" s="154" t="e">
        <f t="shared" si="252"/>
        <v>#VALUE!</v>
      </c>
      <c r="W1650">
        <v>15.38</v>
      </c>
      <c r="X1650" s="157" t="e">
        <f t="shared" si="253"/>
        <v>#VALUE!</v>
      </c>
      <c r="Y1650">
        <v>15.38</v>
      </c>
      <c r="Z1650" s="154" t="e">
        <f t="shared" si="254"/>
        <v>#VALUE!</v>
      </c>
      <c r="AA1650">
        <v>15.38</v>
      </c>
      <c r="AB1650" s="154" t="e">
        <f t="shared" si="255"/>
        <v>#VALUE!</v>
      </c>
      <c r="AC1650">
        <v>15.38</v>
      </c>
      <c r="AD1650" s="154" t="e">
        <f t="shared" si="256"/>
        <v>#VALUE!</v>
      </c>
      <c r="AE1650">
        <v>15.38</v>
      </c>
    </row>
    <row r="1651" spans="12:31" ht="15" x14ac:dyDescent="0.2">
      <c r="L1651" s="154" t="e">
        <f t="shared" si="247"/>
        <v>#VALUE!</v>
      </c>
      <c r="M1651">
        <v>15.39</v>
      </c>
      <c r="N1651" s="154" t="e">
        <f t="shared" si="248"/>
        <v>#VALUE!</v>
      </c>
      <c r="O1651">
        <v>15.39</v>
      </c>
      <c r="P1651" s="154" t="e">
        <f t="shared" si="249"/>
        <v>#VALUE!</v>
      </c>
      <c r="Q1651">
        <v>15.39</v>
      </c>
      <c r="R1651" s="154" t="e">
        <f t="shared" si="250"/>
        <v>#VALUE!</v>
      </c>
      <c r="S1651">
        <v>15.39</v>
      </c>
      <c r="T1651" s="154" t="e">
        <f t="shared" si="251"/>
        <v>#VALUE!</v>
      </c>
      <c r="U1651">
        <v>15.39</v>
      </c>
      <c r="V1651" s="154" t="e">
        <f t="shared" si="252"/>
        <v>#VALUE!</v>
      </c>
      <c r="W1651">
        <v>15.39</v>
      </c>
      <c r="X1651" s="157" t="e">
        <f t="shared" si="253"/>
        <v>#VALUE!</v>
      </c>
      <c r="Y1651">
        <v>15.39</v>
      </c>
      <c r="Z1651" s="154" t="e">
        <f t="shared" si="254"/>
        <v>#VALUE!</v>
      </c>
      <c r="AA1651">
        <v>15.39</v>
      </c>
      <c r="AB1651" s="154" t="e">
        <f t="shared" si="255"/>
        <v>#VALUE!</v>
      </c>
      <c r="AC1651">
        <v>15.39</v>
      </c>
      <c r="AD1651" s="154" t="e">
        <f t="shared" si="256"/>
        <v>#VALUE!</v>
      </c>
      <c r="AE1651">
        <v>15.39</v>
      </c>
    </row>
    <row r="1652" spans="12:31" ht="15" x14ac:dyDescent="0.2">
      <c r="L1652" s="154" t="e">
        <f t="shared" si="247"/>
        <v>#VALUE!</v>
      </c>
      <c r="M1652">
        <v>15.4</v>
      </c>
      <c r="N1652" s="154" t="e">
        <f t="shared" si="248"/>
        <v>#VALUE!</v>
      </c>
      <c r="O1652">
        <v>15.4</v>
      </c>
      <c r="P1652" s="154" t="e">
        <f t="shared" si="249"/>
        <v>#VALUE!</v>
      </c>
      <c r="Q1652">
        <v>15.4</v>
      </c>
      <c r="R1652" s="154" t="e">
        <f t="shared" si="250"/>
        <v>#VALUE!</v>
      </c>
      <c r="S1652">
        <v>15.4</v>
      </c>
      <c r="T1652" s="154" t="e">
        <f t="shared" si="251"/>
        <v>#VALUE!</v>
      </c>
      <c r="U1652">
        <v>15.4</v>
      </c>
      <c r="V1652" s="154" t="e">
        <f t="shared" si="252"/>
        <v>#VALUE!</v>
      </c>
      <c r="W1652">
        <v>15.4</v>
      </c>
      <c r="X1652" s="157" t="e">
        <f t="shared" si="253"/>
        <v>#VALUE!</v>
      </c>
      <c r="Y1652">
        <v>15.4</v>
      </c>
      <c r="Z1652" s="154" t="e">
        <f t="shared" si="254"/>
        <v>#VALUE!</v>
      </c>
      <c r="AA1652">
        <v>15.4</v>
      </c>
      <c r="AB1652" s="154" t="e">
        <f t="shared" si="255"/>
        <v>#VALUE!</v>
      </c>
      <c r="AC1652">
        <v>15.4</v>
      </c>
      <c r="AD1652" s="154" t="e">
        <f t="shared" si="256"/>
        <v>#VALUE!</v>
      </c>
      <c r="AE1652">
        <v>15.4</v>
      </c>
    </row>
    <row r="1653" spans="12:31" ht="15" x14ac:dyDescent="0.2">
      <c r="L1653" s="154" t="e">
        <f t="shared" si="247"/>
        <v>#VALUE!</v>
      </c>
      <c r="M1653">
        <v>15.41</v>
      </c>
      <c r="N1653" s="154" t="e">
        <f t="shared" si="248"/>
        <v>#VALUE!</v>
      </c>
      <c r="O1653">
        <v>15.41</v>
      </c>
      <c r="P1653" s="154" t="e">
        <f t="shared" si="249"/>
        <v>#VALUE!</v>
      </c>
      <c r="Q1653">
        <v>15.41</v>
      </c>
      <c r="R1653" s="154" t="e">
        <f t="shared" si="250"/>
        <v>#VALUE!</v>
      </c>
      <c r="S1653">
        <v>15.41</v>
      </c>
      <c r="T1653" s="154" t="e">
        <f t="shared" si="251"/>
        <v>#VALUE!</v>
      </c>
      <c r="U1653">
        <v>15.41</v>
      </c>
      <c r="V1653" s="154" t="e">
        <f t="shared" si="252"/>
        <v>#VALUE!</v>
      </c>
      <c r="W1653">
        <v>15.41</v>
      </c>
      <c r="X1653" s="157" t="e">
        <f t="shared" si="253"/>
        <v>#VALUE!</v>
      </c>
      <c r="Y1653">
        <v>15.41</v>
      </c>
      <c r="Z1653" s="154" t="e">
        <f t="shared" si="254"/>
        <v>#VALUE!</v>
      </c>
      <c r="AA1653">
        <v>15.41</v>
      </c>
      <c r="AB1653" s="154" t="e">
        <f t="shared" si="255"/>
        <v>#VALUE!</v>
      </c>
      <c r="AC1653">
        <v>15.41</v>
      </c>
      <c r="AD1653" s="154" t="e">
        <f t="shared" si="256"/>
        <v>#VALUE!</v>
      </c>
      <c r="AE1653">
        <v>15.41</v>
      </c>
    </row>
    <row r="1654" spans="12:31" ht="15" x14ac:dyDescent="0.2">
      <c r="L1654" s="154" t="e">
        <f t="shared" si="247"/>
        <v>#VALUE!</v>
      </c>
      <c r="M1654">
        <v>15.42</v>
      </c>
      <c r="N1654" s="154" t="e">
        <f t="shared" si="248"/>
        <v>#VALUE!</v>
      </c>
      <c r="O1654">
        <v>15.42</v>
      </c>
      <c r="P1654" s="154" t="e">
        <f t="shared" si="249"/>
        <v>#VALUE!</v>
      </c>
      <c r="Q1654">
        <v>15.42</v>
      </c>
      <c r="R1654" s="154" t="e">
        <f t="shared" si="250"/>
        <v>#VALUE!</v>
      </c>
      <c r="S1654">
        <v>15.42</v>
      </c>
      <c r="T1654" s="154" t="e">
        <f t="shared" si="251"/>
        <v>#VALUE!</v>
      </c>
      <c r="U1654">
        <v>15.42</v>
      </c>
      <c r="V1654" s="154" t="e">
        <f t="shared" si="252"/>
        <v>#VALUE!</v>
      </c>
      <c r="W1654">
        <v>15.42</v>
      </c>
      <c r="X1654" s="157" t="e">
        <f t="shared" si="253"/>
        <v>#VALUE!</v>
      </c>
      <c r="Y1654">
        <v>15.42</v>
      </c>
      <c r="Z1654" s="154" t="e">
        <f t="shared" si="254"/>
        <v>#VALUE!</v>
      </c>
      <c r="AA1654">
        <v>15.42</v>
      </c>
      <c r="AB1654" s="154" t="e">
        <f t="shared" si="255"/>
        <v>#VALUE!</v>
      </c>
      <c r="AC1654">
        <v>15.42</v>
      </c>
      <c r="AD1654" s="154" t="e">
        <f t="shared" si="256"/>
        <v>#VALUE!</v>
      </c>
      <c r="AE1654">
        <v>15.42</v>
      </c>
    </row>
    <row r="1655" spans="12:31" ht="15" x14ac:dyDescent="0.2">
      <c r="L1655" s="154" t="e">
        <f t="shared" si="247"/>
        <v>#VALUE!</v>
      </c>
      <c r="M1655">
        <v>15.43</v>
      </c>
      <c r="N1655" s="154" t="e">
        <f t="shared" si="248"/>
        <v>#VALUE!</v>
      </c>
      <c r="O1655">
        <v>15.43</v>
      </c>
      <c r="P1655" s="154" t="e">
        <f t="shared" si="249"/>
        <v>#VALUE!</v>
      </c>
      <c r="Q1655">
        <v>15.43</v>
      </c>
      <c r="R1655" s="154" t="e">
        <f t="shared" si="250"/>
        <v>#VALUE!</v>
      </c>
      <c r="S1655">
        <v>15.43</v>
      </c>
      <c r="T1655" s="154" t="e">
        <f t="shared" si="251"/>
        <v>#VALUE!</v>
      </c>
      <c r="U1655">
        <v>15.43</v>
      </c>
      <c r="V1655" s="154" t="e">
        <f t="shared" si="252"/>
        <v>#VALUE!</v>
      </c>
      <c r="W1655">
        <v>15.43</v>
      </c>
      <c r="X1655" s="157" t="e">
        <f t="shared" si="253"/>
        <v>#VALUE!</v>
      </c>
      <c r="Y1655">
        <v>15.43</v>
      </c>
      <c r="Z1655" s="154" t="e">
        <f t="shared" si="254"/>
        <v>#VALUE!</v>
      </c>
      <c r="AA1655">
        <v>15.43</v>
      </c>
      <c r="AB1655" s="154" t="e">
        <f t="shared" si="255"/>
        <v>#VALUE!</v>
      </c>
      <c r="AC1655">
        <v>15.43</v>
      </c>
      <c r="AD1655" s="154" t="e">
        <f t="shared" si="256"/>
        <v>#VALUE!</v>
      </c>
      <c r="AE1655">
        <v>15.43</v>
      </c>
    </row>
    <row r="1656" spans="12:31" ht="15" x14ac:dyDescent="0.2">
      <c r="L1656" s="154" t="e">
        <f t="shared" si="247"/>
        <v>#VALUE!</v>
      </c>
      <c r="M1656">
        <v>15.44</v>
      </c>
      <c r="N1656" s="154" t="e">
        <f t="shared" si="248"/>
        <v>#VALUE!</v>
      </c>
      <c r="O1656">
        <v>15.44</v>
      </c>
      <c r="P1656" s="154" t="e">
        <f t="shared" si="249"/>
        <v>#VALUE!</v>
      </c>
      <c r="Q1656">
        <v>15.44</v>
      </c>
      <c r="R1656" s="154" t="e">
        <f t="shared" si="250"/>
        <v>#VALUE!</v>
      </c>
      <c r="S1656">
        <v>15.44</v>
      </c>
      <c r="T1656" s="154" t="e">
        <f t="shared" si="251"/>
        <v>#VALUE!</v>
      </c>
      <c r="U1656">
        <v>15.44</v>
      </c>
      <c r="V1656" s="154" t="e">
        <f t="shared" si="252"/>
        <v>#VALUE!</v>
      </c>
      <c r="W1656">
        <v>15.44</v>
      </c>
      <c r="X1656" s="157" t="e">
        <f t="shared" si="253"/>
        <v>#VALUE!</v>
      </c>
      <c r="Y1656">
        <v>15.44</v>
      </c>
      <c r="Z1656" s="154" t="e">
        <f t="shared" si="254"/>
        <v>#VALUE!</v>
      </c>
      <c r="AA1656">
        <v>15.44</v>
      </c>
      <c r="AB1656" s="154" t="e">
        <f t="shared" si="255"/>
        <v>#VALUE!</v>
      </c>
      <c r="AC1656">
        <v>15.44</v>
      </c>
      <c r="AD1656" s="154" t="e">
        <f t="shared" si="256"/>
        <v>#VALUE!</v>
      </c>
      <c r="AE1656">
        <v>15.44</v>
      </c>
    </row>
    <row r="1657" spans="12:31" ht="15" x14ac:dyDescent="0.2">
      <c r="L1657" s="154" t="e">
        <f t="shared" si="247"/>
        <v>#VALUE!</v>
      </c>
      <c r="M1657">
        <v>15.45</v>
      </c>
      <c r="N1657" s="154" t="e">
        <f t="shared" si="248"/>
        <v>#VALUE!</v>
      </c>
      <c r="O1657">
        <v>15.45</v>
      </c>
      <c r="P1657" s="154" t="e">
        <f t="shared" si="249"/>
        <v>#VALUE!</v>
      </c>
      <c r="Q1657">
        <v>15.45</v>
      </c>
      <c r="R1657" s="154" t="e">
        <f t="shared" si="250"/>
        <v>#VALUE!</v>
      </c>
      <c r="S1657">
        <v>15.45</v>
      </c>
      <c r="T1657" s="154" t="e">
        <f t="shared" si="251"/>
        <v>#VALUE!</v>
      </c>
      <c r="U1657">
        <v>15.45</v>
      </c>
      <c r="V1657" s="154" t="e">
        <f t="shared" si="252"/>
        <v>#VALUE!</v>
      </c>
      <c r="W1657">
        <v>15.45</v>
      </c>
      <c r="X1657" s="157" t="e">
        <f t="shared" si="253"/>
        <v>#VALUE!</v>
      </c>
      <c r="Y1657">
        <v>15.45</v>
      </c>
      <c r="Z1657" s="154" t="e">
        <f t="shared" si="254"/>
        <v>#VALUE!</v>
      </c>
      <c r="AA1657">
        <v>15.45</v>
      </c>
      <c r="AB1657" s="154" t="e">
        <f t="shared" si="255"/>
        <v>#VALUE!</v>
      </c>
      <c r="AC1657">
        <v>15.45</v>
      </c>
      <c r="AD1657" s="154" t="e">
        <f t="shared" si="256"/>
        <v>#VALUE!</v>
      </c>
      <c r="AE1657">
        <v>15.45</v>
      </c>
    </row>
    <row r="1658" spans="12:31" ht="15" x14ac:dyDescent="0.2">
      <c r="L1658" s="154" t="e">
        <f t="shared" si="247"/>
        <v>#VALUE!</v>
      </c>
      <c r="M1658">
        <v>15.46</v>
      </c>
      <c r="N1658" s="154" t="e">
        <f t="shared" si="248"/>
        <v>#VALUE!</v>
      </c>
      <c r="O1658">
        <v>15.46</v>
      </c>
      <c r="P1658" s="154" t="e">
        <f t="shared" si="249"/>
        <v>#VALUE!</v>
      </c>
      <c r="Q1658">
        <v>15.46</v>
      </c>
      <c r="R1658" s="154" t="e">
        <f t="shared" si="250"/>
        <v>#VALUE!</v>
      </c>
      <c r="S1658">
        <v>15.46</v>
      </c>
      <c r="T1658" s="154" t="e">
        <f t="shared" si="251"/>
        <v>#VALUE!</v>
      </c>
      <c r="U1658">
        <v>15.46</v>
      </c>
      <c r="V1658" s="154" t="e">
        <f t="shared" si="252"/>
        <v>#VALUE!</v>
      </c>
      <c r="W1658">
        <v>15.46</v>
      </c>
      <c r="X1658" s="157" t="e">
        <f t="shared" si="253"/>
        <v>#VALUE!</v>
      </c>
      <c r="Y1658">
        <v>15.46</v>
      </c>
      <c r="Z1658" s="154" t="e">
        <f t="shared" si="254"/>
        <v>#VALUE!</v>
      </c>
      <c r="AA1658">
        <v>15.46</v>
      </c>
      <c r="AB1658" s="154" t="e">
        <f t="shared" si="255"/>
        <v>#VALUE!</v>
      </c>
      <c r="AC1658">
        <v>15.46</v>
      </c>
      <c r="AD1658" s="154" t="e">
        <f t="shared" si="256"/>
        <v>#VALUE!</v>
      </c>
      <c r="AE1658">
        <v>15.46</v>
      </c>
    </row>
    <row r="1659" spans="12:31" ht="15" x14ac:dyDescent="0.2">
      <c r="L1659" s="154" t="e">
        <f t="shared" si="247"/>
        <v>#VALUE!</v>
      </c>
      <c r="M1659">
        <v>15.47</v>
      </c>
      <c r="N1659" s="154" t="e">
        <f t="shared" si="248"/>
        <v>#VALUE!</v>
      </c>
      <c r="O1659">
        <v>15.47</v>
      </c>
      <c r="P1659" s="154" t="e">
        <f t="shared" si="249"/>
        <v>#VALUE!</v>
      </c>
      <c r="Q1659">
        <v>15.47</v>
      </c>
      <c r="R1659" s="154" t="e">
        <f t="shared" si="250"/>
        <v>#VALUE!</v>
      </c>
      <c r="S1659">
        <v>15.47</v>
      </c>
      <c r="T1659" s="154" t="e">
        <f t="shared" si="251"/>
        <v>#VALUE!</v>
      </c>
      <c r="U1659">
        <v>15.47</v>
      </c>
      <c r="V1659" s="154" t="e">
        <f t="shared" si="252"/>
        <v>#VALUE!</v>
      </c>
      <c r="W1659">
        <v>15.47</v>
      </c>
      <c r="X1659" s="157" t="e">
        <f t="shared" si="253"/>
        <v>#VALUE!</v>
      </c>
      <c r="Y1659">
        <v>15.47</v>
      </c>
      <c r="Z1659" s="154" t="e">
        <f t="shared" si="254"/>
        <v>#VALUE!</v>
      </c>
      <c r="AA1659">
        <v>15.47</v>
      </c>
      <c r="AB1659" s="154" t="e">
        <f t="shared" si="255"/>
        <v>#VALUE!</v>
      </c>
      <c r="AC1659">
        <v>15.47</v>
      </c>
      <c r="AD1659" s="154" t="e">
        <f t="shared" si="256"/>
        <v>#VALUE!</v>
      </c>
      <c r="AE1659">
        <v>15.47</v>
      </c>
    </row>
    <row r="1660" spans="12:31" ht="15" x14ac:dyDescent="0.2">
      <c r="L1660" s="154" t="e">
        <f t="shared" si="247"/>
        <v>#VALUE!</v>
      </c>
      <c r="M1660">
        <v>15.48</v>
      </c>
      <c r="N1660" s="154" t="e">
        <f t="shared" si="248"/>
        <v>#VALUE!</v>
      </c>
      <c r="O1660">
        <v>15.48</v>
      </c>
      <c r="P1660" s="154" t="e">
        <f t="shared" si="249"/>
        <v>#VALUE!</v>
      </c>
      <c r="Q1660">
        <v>15.48</v>
      </c>
      <c r="R1660" s="154" t="e">
        <f t="shared" si="250"/>
        <v>#VALUE!</v>
      </c>
      <c r="S1660">
        <v>15.48</v>
      </c>
      <c r="T1660" s="154" t="e">
        <f t="shared" si="251"/>
        <v>#VALUE!</v>
      </c>
      <c r="U1660">
        <v>15.48</v>
      </c>
      <c r="V1660" s="154" t="e">
        <f t="shared" si="252"/>
        <v>#VALUE!</v>
      </c>
      <c r="W1660">
        <v>15.48</v>
      </c>
      <c r="X1660" s="157" t="e">
        <f t="shared" si="253"/>
        <v>#VALUE!</v>
      </c>
      <c r="Y1660">
        <v>15.48</v>
      </c>
      <c r="Z1660" s="154" t="e">
        <f t="shared" si="254"/>
        <v>#VALUE!</v>
      </c>
      <c r="AA1660">
        <v>15.48</v>
      </c>
      <c r="AB1660" s="154" t="e">
        <f t="shared" si="255"/>
        <v>#VALUE!</v>
      </c>
      <c r="AC1660">
        <v>15.48</v>
      </c>
      <c r="AD1660" s="154" t="e">
        <f t="shared" si="256"/>
        <v>#VALUE!</v>
      </c>
      <c r="AE1660">
        <v>15.48</v>
      </c>
    </row>
    <row r="1661" spans="12:31" ht="15" x14ac:dyDescent="0.2">
      <c r="L1661" s="154" t="e">
        <f t="shared" si="247"/>
        <v>#VALUE!</v>
      </c>
      <c r="M1661">
        <v>15.49</v>
      </c>
      <c r="N1661" s="154" t="e">
        <f t="shared" si="248"/>
        <v>#VALUE!</v>
      </c>
      <c r="O1661">
        <v>15.49</v>
      </c>
      <c r="P1661" s="154" t="e">
        <f t="shared" si="249"/>
        <v>#VALUE!</v>
      </c>
      <c r="Q1661">
        <v>15.49</v>
      </c>
      <c r="R1661" s="154" t="e">
        <f t="shared" si="250"/>
        <v>#VALUE!</v>
      </c>
      <c r="S1661">
        <v>15.49</v>
      </c>
      <c r="T1661" s="154" t="e">
        <f t="shared" si="251"/>
        <v>#VALUE!</v>
      </c>
      <c r="U1661">
        <v>15.49</v>
      </c>
      <c r="V1661" s="154" t="e">
        <f t="shared" si="252"/>
        <v>#VALUE!</v>
      </c>
      <c r="W1661">
        <v>15.49</v>
      </c>
      <c r="X1661" s="157" t="e">
        <f t="shared" si="253"/>
        <v>#VALUE!</v>
      </c>
      <c r="Y1661">
        <v>15.49</v>
      </c>
      <c r="Z1661" s="154" t="e">
        <f t="shared" si="254"/>
        <v>#VALUE!</v>
      </c>
      <c r="AA1661">
        <v>15.49</v>
      </c>
      <c r="AB1661" s="154" t="e">
        <f t="shared" si="255"/>
        <v>#VALUE!</v>
      </c>
      <c r="AC1661">
        <v>15.49</v>
      </c>
      <c r="AD1661" s="154" t="e">
        <f t="shared" si="256"/>
        <v>#VALUE!</v>
      </c>
      <c r="AE1661">
        <v>15.49</v>
      </c>
    </row>
    <row r="1662" spans="12:31" ht="15" x14ac:dyDescent="0.2">
      <c r="L1662" s="154" t="e">
        <f t="shared" si="247"/>
        <v>#VALUE!</v>
      </c>
      <c r="M1662">
        <v>15.5</v>
      </c>
      <c r="N1662" s="154" t="e">
        <f t="shared" si="248"/>
        <v>#VALUE!</v>
      </c>
      <c r="O1662">
        <v>15.5</v>
      </c>
      <c r="P1662" s="154" t="e">
        <f t="shared" si="249"/>
        <v>#VALUE!</v>
      </c>
      <c r="Q1662">
        <v>15.5</v>
      </c>
      <c r="R1662" s="154" t="e">
        <f t="shared" si="250"/>
        <v>#VALUE!</v>
      </c>
      <c r="S1662">
        <v>15.5</v>
      </c>
      <c r="T1662" s="154" t="e">
        <f t="shared" si="251"/>
        <v>#VALUE!</v>
      </c>
      <c r="U1662">
        <v>15.5</v>
      </c>
      <c r="V1662" s="154" t="e">
        <f t="shared" si="252"/>
        <v>#VALUE!</v>
      </c>
      <c r="W1662">
        <v>15.5</v>
      </c>
      <c r="X1662" s="157" t="e">
        <f t="shared" si="253"/>
        <v>#VALUE!</v>
      </c>
      <c r="Y1662">
        <v>15.5</v>
      </c>
      <c r="Z1662" s="154" t="e">
        <f t="shared" si="254"/>
        <v>#VALUE!</v>
      </c>
      <c r="AA1662">
        <v>15.5</v>
      </c>
      <c r="AB1662" s="154" t="e">
        <f t="shared" si="255"/>
        <v>#VALUE!</v>
      </c>
      <c r="AC1662">
        <v>15.5</v>
      </c>
      <c r="AD1662" s="154" t="e">
        <f t="shared" si="256"/>
        <v>#VALUE!</v>
      </c>
      <c r="AE1662">
        <v>15.5</v>
      </c>
    </row>
    <row r="1663" spans="12:31" ht="15" x14ac:dyDescent="0.2">
      <c r="L1663" s="154" t="e">
        <f t="shared" si="247"/>
        <v>#VALUE!</v>
      </c>
      <c r="M1663">
        <v>15.51</v>
      </c>
      <c r="N1663" s="154" t="e">
        <f t="shared" si="248"/>
        <v>#VALUE!</v>
      </c>
      <c r="O1663">
        <v>15.51</v>
      </c>
      <c r="P1663" s="154" t="e">
        <f t="shared" si="249"/>
        <v>#VALUE!</v>
      </c>
      <c r="Q1663">
        <v>15.51</v>
      </c>
      <c r="R1663" s="154" t="e">
        <f t="shared" si="250"/>
        <v>#VALUE!</v>
      </c>
      <c r="S1663">
        <v>15.51</v>
      </c>
      <c r="T1663" s="154" t="e">
        <f t="shared" si="251"/>
        <v>#VALUE!</v>
      </c>
      <c r="U1663">
        <v>15.51</v>
      </c>
      <c r="V1663" s="154" t="e">
        <f t="shared" si="252"/>
        <v>#VALUE!</v>
      </c>
      <c r="W1663">
        <v>15.51</v>
      </c>
      <c r="X1663" s="157" t="e">
        <f t="shared" si="253"/>
        <v>#VALUE!</v>
      </c>
      <c r="Y1663">
        <v>15.51</v>
      </c>
      <c r="Z1663" s="154" t="e">
        <f t="shared" si="254"/>
        <v>#VALUE!</v>
      </c>
      <c r="AA1663">
        <v>15.51</v>
      </c>
      <c r="AB1663" s="154" t="e">
        <f t="shared" si="255"/>
        <v>#VALUE!</v>
      </c>
      <c r="AC1663">
        <v>15.51</v>
      </c>
      <c r="AD1663" s="154" t="e">
        <f t="shared" si="256"/>
        <v>#VALUE!</v>
      </c>
      <c r="AE1663">
        <v>15.51</v>
      </c>
    </row>
    <row r="1664" spans="12:31" ht="15" x14ac:dyDescent="0.2">
      <c r="L1664" s="154" t="e">
        <f t="shared" si="247"/>
        <v>#VALUE!</v>
      </c>
      <c r="M1664">
        <v>15.52</v>
      </c>
      <c r="N1664" s="154" t="e">
        <f t="shared" si="248"/>
        <v>#VALUE!</v>
      </c>
      <c r="O1664">
        <v>15.52</v>
      </c>
      <c r="P1664" s="154" t="e">
        <f t="shared" si="249"/>
        <v>#VALUE!</v>
      </c>
      <c r="Q1664">
        <v>15.52</v>
      </c>
      <c r="R1664" s="154" t="e">
        <f t="shared" si="250"/>
        <v>#VALUE!</v>
      </c>
      <c r="S1664">
        <v>15.52</v>
      </c>
      <c r="T1664" s="154" t="e">
        <f t="shared" si="251"/>
        <v>#VALUE!</v>
      </c>
      <c r="U1664">
        <v>15.52</v>
      </c>
      <c r="V1664" s="154" t="e">
        <f t="shared" si="252"/>
        <v>#VALUE!</v>
      </c>
      <c r="W1664">
        <v>15.52</v>
      </c>
      <c r="X1664" s="157" t="e">
        <f t="shared" si="253"/>
        <v>#VALUE!</v>
      </c>
      <c r="Y1664">
        <v>15.52</v>
      </c>
      <c r="Z1664" s="154" t="e">
        <f t="shared" si="254"/>
        <v>#VALUE!</v>
      </c>
      <c r="AA1664">
        <v>15.52</v>
      </c>
      <c r="AB1664" s="154" t="e">
        <f t="shared" si="255"/>
        <v>#VALUE!</v>
      </c>
      <c r="AC1664">
        <v>15.52</v>
      </c>
      <c r="AD1664" s="154" t="e">
        <f t="shared" si="256"/>
        <v>#VALUE!</v>
      </c>
      <c r="AE1664">
        <v>15.52</v>
      </c>
    </row>
    <row r="1665" spans="12:31" ht="15" x14ac:dyDescent="0.2">
      <c r="L1665" s="154" t="e">
        <f t="shared" si="247"/>
        <v>#VALUE!</v>
      </c>
      <c r="M1665">
        <v>15.53</v>
      </c>
      <c r="N1665" s="154" t="e">
        <f t="shared" si="248"/>
        <v>#VALUE!</v>
      </c>
      <c r="O1665">
        <v>15.53</v>
      </c>
      <c r="P1665" s="154" t="e">
        <f t="shared" si="249"/>
        <v>#VALUE!</v>
      </c>
      <c r="Q1665">
        <v>15.53</v>
      </c>
      <c r="R1665" s="154" t="e">
        <f t="shared" si="250"/>
        <v>#VALUE!</v>
      </c>
      <c r="S1665">
        <v>15.53</v>
      </c>
      <c r="T1665" s="154" t="e">
        <f t="shared" si="251"/>
        <v>#VALUE!</v>
      </c>
      <c r="U1665">
        <v>15.53</v>
      </c>
      <c r="V1665" s="154" t="e">
        <f t="shared" si="252"/>
        <v>#VALUE!</v>
      </c>
      <c r="W1665">
        <v>15.53</v>
      </c>
      <c r="X1665" s="157" t="e">
        <f t="shared" si="253"/>
        <v>#VALUE!</v>
      </c>
      <c r="Y1665">
        <v>15.53</v>
      </c>
      <c r="Z1665" s="154" t="e">
        <f t="shared" si="254"/>
        <v>#VALUE!</v>
      </c>
      <c r="AA1665">
        <v>15.53</v>
      </c>
      <c r="AB1665" s="154" t="e">
        <f t="shared" si="255"/>
        <v>#VALUE!</v>
      </c>
      <c r="AC1665">
        <v>15.53</v>
      </c>
      <c r="AD1665" s="154" t="e">
        <f t="shared" si="256"/>
        <v>#VALUE!</v>
      </c>
      <c r="AE1665">
        <v>15.53</v>
      </c>
    </row>
    <row r="1666" spans="12:31" ht="15" x14ac:dyDescent="0.2">
      <c r="L1666" s="154" t="e">
        <f t="shared" si="247"/>
        <v>#VALUE!</v>
      </c>
      <c r="M1666">
        <v>15.54</v>
      </c>
      <c r="N1666" s="154" t="e">
        <f t="shared" si="248"/>
        <v>#VALUE!</v>
      </c>
      <c r="O1666">
        <v>15.54</v>
      </c>
      <c r="P1666" s="154" t="e">
        <f t="shared" si="249"/>
        <v>#VALUE!</v>
      </c>
      <c r="Q1666">
        <v>15.54</v>
      </c>
      <c r="R1666" s="154" t="e">
        <f t="shared" si="250"/>
        <v>#VALUE!</v>
      </c>
      <c r="S1666">
        <v>15.54</v>
      </c>
      <c r="T1666" s="154" t="e">
        <f t="shared" si="251"/>
        <v>#VALUE!</v>
      </c>
      <c r="U1666">
        <v>15.54</v>
      </c>
      <c r="V1666" s="154" t="e">
        <f t="shared" si="252"/>
        <v>#VALUE!</v>
      </c>
      <c r="W1666">
        <v>15.54</v>
      </c>
      <c r="X1666" s="157" t="e">
        <f t="shared" si="253"/>
        <v>#VALUE!</v>
      </c>
      <c r="Y1666">
        <v>15.54</v>
      </c>
      <c r="Z1666" s="154" t="e">
        <f t="shared" si="254"/>
        <v>#VALUE!</v>
      </c>
      <c r="AA1666">
        <v>15.54</v>
      </c>
      <c r="AB1666" s="154" t="e">
        <f t="shared" si="255"/>
        <v>#VALUE!</v>
      </c>
      <c r="AC1666">
        <v>15.54</v>
      </c>
      <c r="AD1666" s="154" t="e">
        <f t="shared" si="256"/>
        <v>#VALUE!</v>
      </c>
      <c r="AE1666">
        <v>15.54</v>
      </c>
    </row>
    <row r="1667" spans="12:31" ht="15" x14ac:dyDescent="0.2">
      <c r="L1667" s="154" t="e">
        <f t="shared" si="247"/>
        <v>#VALUE!</v>
      </c>
      <c r="M1667">
        <v>15.55</v>
      </c>
      <c r="N1667" s="154" t="e">
        <f t="shared" si="248"/>
        <v>#VALUE!</v>
      </c>
      <c r="O1667">
        <v>15.55</v>
      </c>
      <c r="P1667" s="154" t="e">
        <f t="shared" si="249"/>
        <v>#VALUE!</v>
      </c>
      <c r="Q1667">
        <v>15.55</v>
      </c>
      <c r="R1667" s="154" t="e">
        <f t="shared" si="250"/>
        <v>#VALUE!</v>
      </c>
      <c r="S1667">
        <v>15.55</v>
      </c>
      <c r="T1667" s="154" t="e">
        <f t="shared" si="251"/>
        <v>#VALUE!</v>
      </c>
      <c r="U1667">
        <v>15.55</v>
      </c>
      <c r="V1667" s="154" t="e">
        <f t="shared" si="252"/>
        <v>#VALUE!</v>
      </c>
      <c r="W1667">
        <v>15.55</v>
      </c>
      <c r="X1667" s="157" t="e">
        <f t="shared" si="253"/>
        <v>#VALUE!</v>
      </c>
      <c r="Y1667">
        <v>15.55</v>
      </c>
      <c r="Z1667" s="154" t="e">
        <f t="shared" si="254"/>
        <v>#VALUE!</v>
      </c>
      <c r="AA1667">
        <v>15.55</v>
      </c>
      <c r="AB1667" s="154" t="e">
        <f t="shared" si="255"/>
        <v>#VALUE!</v>
      </c>
      <c r="AC1667">
        <v>15.55</v>
      </c>
      <c r="AD1667" s="154" t="e">
        <f t="shared" si="256"/>
        <v>#VALUE!</v>
      </c>
      <c r="AE1667">
        <v>15.55</v>
      </c>
    </row>
    <row r="1668" spans="12:31" ht="15" x14ac:dyDescent="0.2">
      <c r="L1668" s="154" t="e">
        <f t="shared" si="247"/>
        <v>#VALUE!</v>
      </c>
      <c r="M1668">
        <v>15.56</v>
      </c>
      <c r="N1668" s="154" t="e">
        <f t="shared" si="248"/>
        <v>#VALUE!</v>
      </c>
      <c r="O1668">
        <v>15.56</v>
      </c>
      <c r="P1668" s="154" t="e">
        <f t="shared" si="249"/>
        <v>#VALUE!</v>
      </c>
      <c r="Q1668">
        <v>15.56</v>
      </c>
      <c r="R1668" s="154" t="e">
        <f t="shared" si="250"/>
        <v>#VALUE!</v>
      </c>
      <c r="S1668">
        <v>15.56</v>
      </c>
      <c r="T1668" s="154" t="e">
        <f t="shared" si="251"/>
        <v>#VALUE!</v>
      </c>
      <c r="U1668">
        <v>15.56</v>
      </c>
      <c r="V1668" s="154" t="e">
        <f t="shared" si="252"/>
        <v>#VALUE!</v>
      </c>
      <c r="W1668">
        <v>15.56</v>
      </c>
      <c r="X1668" s="157" t="e">
        <f t="shared" si="253"/>
        <v>#VALUE!</v>
      </c>
      <c r="Y1668">
        <v>15.56</v>
      </c>
      <c r="Z1668" s="154" t="e">
        <f t="shared" si="254"/>
        <v>#VALUE!</v>
      </c>
      <c r="AA1668">
        <v>15.56</v>
      </c>
      <c r="AB1668" s="154" t="e">
        <f t="shared" si="255"/>
        <v>#VALUE!</v>
      </c>
      <c r="AC1668">
        <v>15.56</v>
      </c>
      <c r="AD1668" s="154" t="e">
        <f t="shared" si="256"/>
        <v>#VALUE!</v>
      </c>
      <c r="AE1668">
        <v>15.56</v>
      </c>
    </row>
    <row r="1669" spans="12:31" ht="15" x14ac:dyDescent="0.2">
      <c r="L1669" s="154" t="e">
        <f t="shared" si="247"/>
        <v>#VALUE!</v>
      </c>
      <c r="M1669">
        <v>15.57</v>
      </c>
      <c r="N1669" s="154" t="e">
        <f t="shared" si="248"/>
        <v>#VALUE!</v>
      </c>
      <c r="O1669">
        <v>15.57</v>
      </c>
      <c r="P1669" s="154" t="e">
        <f t="shared" si="249"/>
        <v>#VALUE!</v>
      </c>
      <c r="Q1669">
        <v>15.57</v>
      </c>
      <c r="R1669" s="154" t="e">
        <f t="shared" si="250"/>
        <v>#VALUE!</v>
      </c>
      <c r="S1669">
        <v>15.57</v>
      </c>
      <c r="T1669" s="154" t="e">
        <f t="shared" si="251"/>
        <v>#VALUE!</v>
      </c>
      <c r="U1669">
        <v>15.57</v>
      </c>
      <c r="V1669" s="154" t="e">
        <f t="shared" si="252"/>
        <v>#VALUE!</v>
      </c>
      <c r="W1669">
        <v>15.57</v>
      </c>
      <c r="X1669" s="157" t="e">
        <f t="shared" si="253"/>
        <v>#VALUE!</v>
      </c>
      <c r="Y1669">
        <v>15.57</v>
      </c>
      <c r="Z1669" s="154" t="e">
        <f t="shared" si="254"/>
        <v>#VALUE!</v>
      </c>
      <c r="AA1669">
        <v>15.57</v>
      </c>
      <c r="AB1669" s="154" t="e">
        <f t="shared" si="255"/>
        <v>#VALUE!</v>
      </c>
      <c r="AC1669">
        <v>15.57</v>
      </c>
      <c r="AD1669" s="154" t="e">
        <f t="shared" si="256"/>
        <v>#VALUE!</v>
      </c>
      <c r="AE1669">
        <v>15.57</v>
      </c>
    </row>
    <row r="1670" spans="12:31" ht="15" x14ac:dyDescent="0.2">
      <c r="L1670" s="154" t="e">
        <f t="shared" si="247"/>
        <v>#VALUE!</v>
      </c>
      <c r="M1670">
        <v>15.58</v>
      </c>
      <c r="N1670" s="154" t="e">
        <f t="shared" si="248"/>
        <v>#VALUE!</v>
      </c>
      <c r="O1670">
        <v>15.58</v>
      </c>
      <c r="P1670" s="154" t="e">
        <f t="shared" si="249"/>
        <v>#VALUE!</v>
      </c>
      <c r="Q1670">
        <v>15.58</v>
      </c>
      <c r="R1670" s="154" t="e">
        <f t="shared" si="250"/>
        <v>#VALUE!</v>
      </c>
      <c r="S1670">
        <v>15.58</v>
      </c>
      <c r="T1670" s="154" t="e">
        <f t="shared" si="251"/>
        <v>#VALUE!</v>
      </c>
      <c r="U1670">
        <v>15.58</v>
      </c>
      <c r="V1670" s="154" t="e">
        <f t="shared" si="252"/>
        <v>#VALUE!</v>
      </c>
      <c r="W1670">
        <v>15.58</v>
      </c>
      <c r="X1670" s="157" t="e">
        <f t="shared" si="253"/>
        <v>#VALUE!</v>
      </c>
      <c r="Y1670">
        <v>15.58</v>
      </c>
      <c r="Z1670" s="154" t="e">
        <f t="shared" si="254"/>
        <v>#VALUE!</v>
      </c>
      <c r="AA1670">
        <v>15.58</v>
      </c>
      <c r="AB1670" s="154" t="e">
        <f t="shared" si="255"/>
        <v>#VALUE!</v>
      </c>
      <c r="AC1670">
        <v>15.58</v>
      </c>
      <c r="AD1670" s="154" t="e">
        <f t="shared" si="256"/>
        <v>#VALUE!</v>
      </c>
      <c r="AE1670">
        <v>15.58</v>
      </c>
    </row>
    <row r="1671" spans="12:31" ht="15" x14ac:dyDescent="0.2">
      <c r="L1671" s="154" t="e">
        <f t="shared" si="247"/>
        <v>#VALUE!</v>
      </c>
      <c r="M1671">
        <v>15.59</v>
      </c>
      <c r="N1671" s="154" t="e">
        <f t="shared" si="248"/>
        <v>#VALUE!</v>
      </c>
      <c r="O1671">
        <v>15.59</v>
      </c>
      <c r="P1671" s="154" t="e">
        <f t="shared" si="249"/>
        <v>#VALUE!</v>
      </c>
      <c r="Q1671">
        <v>15.59</v>
      </c>
      <c r="R1671" s="154" t="e">
        <f t="shared" si="250"/>
        <v>#VALUE!</v>
      </c>
      <c r="S1671">
        <v>15.59</v>
      </c>
      <c r="T1671" s="154" t="e">
        <f t="shared" si="251"/>
        <v>#VALUE!</v>
      </c>
      <c r="U1671">
        <v>15.59</v>
      </c>
      <c r="V1671" s="154" t="e">
        <f t="shared" si="252"/>
        <v>#VALUE!</v>
      </c>
      <c r="W1671">
        <v>15.59</v>
      </c>
      <c r="X1671" s="157" t="e">
        <f t="shared" si="253"/>
        <v>#VALUE!</v>
      </c>
      <c r="Y1671">
        <v>15.59</v>
      </c>
      <c r="Z1671" s="154" t="e">
        <f t="shared" si="254"/>
        <v>#VALUE!</v>
      </c>
      <c r="AA1671">
        <v>15.59</v>
      </c>
      <c r="AB1671" s="154" t="e">
        <f t="shared" si="255"/>
        <v>#VALUE!</v>
      </c>
      <c r="AC1671">
        <v>15.59</v>
      </c>
      <c r="AD1671" s="154" t="e">
        <f t="shared" si="256"/>
        <v>#VALUE!</v>
      </c>
      <c r="AE1671">
        <v>15.59</v>
      </c>
    </row>
    <row r="1672" spans="12:31" ht="15" x14ac:dyDescent="0.2">
      <c r="L1672" s="154" t="e">
        <f t="shared" si="247"/>
        <v>#VALUE!</v>
      </c>
      <c r="M1672">
        <v>15.6</v>
      </c>
      <c r="N1672" s="154" t="e">
        <f t="shared" si="248"/>
        <v>#VALUE!</v>
      </c>
      <c r="O1672">
        <v>15.6</v>
      </c>
      <c r="P1672" s="154" t="e">
        <f t="shared" si="249"/>
        <v>#VALUE!</v>
      </c>
      <c r="Q1672">
        <v>15.6</v>
      </c>
      <c r="R1672" s="154" t="e">
        <f t="shared" si="250"/>
        <v>#VALUE!</v>
      </c>
      <c r="S1672">
        <v>15.6</v>
      </c>
      <c r="T1672" s="154" t="e">
        <f t="shared" si="251"/>
        <v>#VALUE!</v>
      </c>
      <c r="U1672">
        <v>15.6</v>
      </c>
      <c r="V1672" s="154" t="e">
        <f t="shared" si="252"/>
        <v>#VALUE!</v>
      </c>
      <c r="W1672">
        <v>15.6</v>
      </c>
      <c r="X1672" s="157" t="e">
        <f t="shared" si="253"/>
        <v>#VALUE!</v>
      </c>
      <c r="Y1672">
        <v>15.6</v>
      </c>
      <c r="Z1672" s="154" t="e">
        <f t="shared" si="254"/>
        <v>#VALUE!</v>
      </c>
      <c r="AA1672">
        <v>15.6</v>
      </c>
      <c r="AB1672" s="154" t="e">
        <f t="shared" si="255"/>
        <v>#VALUE!</v>
      </c>
      <c r="AC1672">
        <v>15.6</v>
      </c>
      <c r="AD1672" s="154" t="e">
        <f t="shared" si="256"/>
        <v>#VALUE!</v>
      </c>
      <c r="AE1672">
        <v>15.6</v>
      </c>
    </row>
    <row r="1673" spans="12:31" ht="15" x14ac:dyDescent="0.2">
      <c r="L1673" s="154" t="e">
        <f t="shared" si="247"/>
        <v>#VALUE!</v>
      </c>
      <c r="M1673">
        <v>15.61</v>
      </c>
      <c r="N1673" s="154" t="e">
        <f t="shared" si="248"/>
        <v>#VALUE!</v>
      </c>
      <c r="O1673">
        <v>15.61</v>
      </c>
      <c r="P1673" s="154" t="e">
        <f t="shared" si="249"/>
        <v>#VALUE!</v>
      </c>
      <c r="Q1673">
        <v>15.61</v>
      </c>
      <c r="R1673" s="154" t="e">
        <f t="shared" si="250"/>
        <v>#VALUE!</v>
      </c>
      <c r="S1673">
        <v>15.61</v>
      </c>
      <c r="T1673" s="154" t="e">
        <f t="shared" si="251"/>
        <v>#VALUE!</v>
      </c>
      <c r="U1673">
        <v>15.61</v>
      </c>
      <c r="V1673" s="154" t="e">
        <f t="shared" si="252"/>
        <v>#VALUE!</v>
      </c>
      <c r="W1673">
        <v>15.61</v>
      </c>
      <c r="X1673" s="157" t="e">
        <f t="shared" si="253"/>
        <v>#VALUE!</v>
      </c>
      <c r="Y1673">
        <v>15.61</v>
      </c>
      <c r="Z1673" s="154" t="e">
        <f t="shared" si="254"/>
        <v>#VALUE!</v>
      </c>
      <c r="AA1673">
        <v>15.61</v>
      </c>
      <c r="AB1673" s="154" t="e">
        <f t="shared" si="255"/>
        <v>#VALUE!</v>
      </c>
      <c r="AC1673">
        <v>15.61</v>
      </c>
      <c r="AD1673" s="154" t="e">
        <f t="shared" si="256"/>
        <v>#VALUE!</v>
      </c>
      <c r="AE1673">
        <v>15.61</v>
      </c>
    </row>
    <row r="1674" spans="12:31" ht="15" x14ac:dyDescent="0.2">
      <c r="L1674" s="154" t="e">
        <f t="shared" si="247"/>
        <v>#VALUE!</v>
      </c>
      <c r="M1674">
        <v>15.62</v>
      </c>
      <c r="N1674" s="154" t="e">
        <f t="shared" si="248"/>
        <v>#VALUE!</v>
      </c>
      <c r="O1674">
        <v>15.62</v>
      </c>
      <c r="P1674" s="154" t="e">
        <f t="shared" si="249"/>
        <v>#VALUE!</v>
      </c>
      <c r="Q1674">
        <v>15.62</v>
      </c>
      <c r="R1674" s="154" t="e">
        <f t="shared" si="250"/>
        <v>#VALUE!</v>
      </c>
      <c r="S1674">
        <v>15.62</v>
      </c>
      <c r="T1674" s="154" t="e">
        <f t="shared" si="251"/>
        <v>#VALUE!</v>
      </c>
      <c r="U1674">
        <v>15.62</v>
      </c>
      <c r="V1674" s="154" t="e">
        <f t="shared" si="252"/>
        <v>#VALUE!</v>
      </c>
      <c r="W1674">
        <v>15.62</v>
      </c>
      <c r="X1674" s="157" t="e">
        <f t="shared" si="253"/>
        <v>#VALUE!</v>
      </c>
      <c r="Y1674">
        <v>15.62</v>
      </c>
      <c r="Z1674" s="154" t="e">
        <f t="shared" si="254"/>
        <v>#VALUE!</v>
      </c>
      <c r="AA1674">
        <v>15.62</v>
      </c>
      <c r="AB1674" s="154" t="e">
        <f t="shared" si="255"/>
        <v>#VALUE!</v>
      </c>
      <c r="AC1674">
        <v>15.62</v>
      </c>
      <c r="AD1674" s="154" t="e">
        <f t="shared" si="256"/>
        <v>#VALUE!</v>
      </c>
      <c r="AE1674">
        <v>15.62</v>
      </c>
    </row>
    <row r="1675" spans="12:31" ht="15" x14ac:dyDescent="0.2">
      <c r="L1675" s="154" t="e">
        <f t="shared" si="247"/>
        <v>#VALUE!</v>
      </c>
      <c r="M1675">
        <v>15.63</v>
      </c>
      <c r="N1675" s="154" t="e">
        <f t="shared" si="248"/>
        <v>#VALUE!</v>
      </c>
      <c r="O1675">
        <v>15.63</v>
      </c>
      <c r="P1675" s="154" t="e">
        <f t="shared" si="249"/>
        <v>#VALUE!</v>
      </c>
      <c r="Q1675">
        <v>15.63</v>
      </c>
      <c r="R1675" s="154" t="e">
        <f t="shared" si="250"/>
        <v>#VALUE!</v>
      </c>
      <c r="S1675">
        <v>15.63</v>
      </c>
      <c r="T1675" s="154" t="e">
        <f t="shared" si="251"/>
        <v>#VALUE!</v>
      </c>
      <c r="U1675">
        <v>15.63</v>
      </c>
      <c r="V1675" s="154" t="e">
        <f t="shared" si="252"/>
        <v>#VALUE!</v>
      </c>
      <c r="W1675">
        <v>15.63</v>
      </c>
      <c r="X1675" s="157" t="e">
        <f t="shared" si="253"/>
        <v>#VALUE!</v>
      </c>
      <c r="Y1675">
        <v>15.63</v>
      </c>
      <c r="Z1675" s="154" t="e">
        <f t="shared" si="254"/>
        <v>#VALUE!</v>
      </c>
      <c r="AA1675">
        <v>15.63</v>
      </c>
      <c r="AB1675" s="154" t="e">
        <f t="shared" si="255"/>
        <v>#VALUE!</v>
      </c>
      <c r="AC1675">
        <v>15.63</v>
      </c>
      <c r="AD1675" s="154" t="e">
        <f t="shared" si="256"/>
        <v>#VALUE!</v>
      </c>
      <c r="AE1675">
        <v>15.63</v>
      </c>
    </row>
    <row r="1676" spans="12:31" ht="15" x14ac:dyDescent="0.2">
      <c r="L1676" s="154" t="e">
        <f t="shared" si="247"/>
        <v>#VALUE!</v>
      </c>
      <c r="M1676">
        <v>15.64</v>
      </c>
      <c r="N1676" s="154" t="e">
        <f t="shared" si="248"/>
        <v>#VALUE!</v>
      </c>
      <c r="O1676">
        <v>15.64</v>
      </c>
      <c r="P1676" s="154" t="e">
        <f t="shared" si="249"/>
        <v>#VALUE!</v>
      </c>
      <c r="Q1676">
        <v>15.64</v>
      </c>
      <c r="R1676" s="154" t="e">
        <f t="shared" si="250"/>
        <v>#VALUE!</v>
      </c>
      <c r="S1676">
        <v>15.64</v>
      </c>
      <c r="T1676" s="154" t="e">
        <f t="shared" si="251"/>
        <v>#VALUE!</v>
      </c>
      <c r="U1676">
        <v>15.64</v>
      </c>
      <c r="V1676" s="154" t="e">
        <f t="shared" si="252"/>
        <v>#VALUE!</v>
      </c>
      <c r="W1676">
        <v>15.64</v>
      </c>
      <c r="X1676" s="157" t="e">
        <f t="shared" si="253"/>
        <v>#VALUE!</v>
      </c>
      <c r="Y1676">
        <v>15.64</v>
      </c>
      <c r="Z1676" s="154" t="e">
        <f t="shared" si="254"/>
        <v>#VALUE!</v>
      </c>
      <c r="AA1676">
        <v>15.64</v>
      </c>
      <c r="AB1676" s="154" t="e">
        <f t="shared" si="255"/>
        <v>#VALUE!</v>
      </c>
      <c r="AC1676">
        <v>15.64</v>
      </c>
      <c r="AD1676" s="154" t="e">
        <f t="shared" si="256"/>
        <v>#VALUE!</v>
      </c>
      <c r="AE1676">
        <v>15.64</v>
      </c>
    </row>
    <row r="1677" spans="12:31" ht="15" x14ac:dyDescent="0.2">
      <c r="L1677" s="154" t="e">
        <f t="shared" si="247"/>
        <v>#VALUE!</v>
      </c>
      <c r="M1677">
        <v>15.65</v>
      </c>
      <c r="N1677" s="154" t="e">
        <f t="shared" si="248"/>
        <v>#VALUE!</v>
      </c>
      <c r="O1677">
        <v>15.65</v>
      </c>
      <c r="P1677" s="154" t="e">
        <f t="shared" si="249"/>
        <v>#VALUE!</v>
      </c>
      <c r="Q1677">
        <v>15.65</v>
      </c>
      <c r="R1677" s="154" t="e">
        <f t="shared" si="250"/>
        <v>#VALUE!</v>
      </c>
      <c r="S1677">
        <v>15.65</v>
      </c>
      <c r="T1677" s="154" t="e">
        <f t="shared" si="251"/>
        <v>#VALUE!</v>
      </c>
      <c r="U1677">
        <v>15.65</v>
      </c>
      <c r="V1677" s="154" t="e">
        <f t="shared" si="252"/>
        <v>#VALUE!</v>
      </c>
      <c r="W1677">
        <v>15.65</v>
      </c>
      <c r="X1677" s="157" t="e">
        <f t="shared" si="253"/>
        <v>#VALUE!</v>
      </c>
      <c r="Y1677">
        <v>15.65</v>
      </c>
      <c r="Z1677" s="154" t="e">
        <f t="shared" si="254"/>
        <v>#VALUE!</v>
      </c>
      <c r="AA1677">
        <v>15.65</v>
      </c>
      <c r="AB1677" s="154" t="e">
        <f t="shared" si="255"/>
        <v>#VALUE!</v>
      </c>
      <c r="AC1677">
        <v>15.65</v>
      </c>
      <c r="AD1677" s="154" t="e">
        <f t="shared" si="256"/>
        <v>#VALUE!</v>
      </c>
      <c r="AE1677">
        <v>15.65</v>
      </c>
    </row>
    <row r="1678" spans="12:31" ht="15" x14ac:dyDescent="0.2">
      <c r="L1678" s="154" t="e">
        <f t="shared" si="247"/>
        <v>#VALUE!</v>
      </c>
      <c r="M1678">
        <v>15.66</v>
      </c>
      <c r="N1678" s="154" t="e">
        <f t="shared" si="248"/>
        <v>#VALUE!</v>
      </c>
      <c r="O1678">
        <v>15.66</v>
      </c>
      <c r="P1678" s="154" t="e">
        <f t="shared" si="249"/>
        <v>#VALUE!</v>
      </c>
      <c r="Q1678">
        <v>15.66</v>
      </c>
      <c r="R1678" s="154" t="e">
        <f t="shared" si="250"/>
        <v>#VALUE!</v>
      </c>
      <c r="S1678">
        <v>15.66</v>
      </c>
      <c r="T1678" s="154" t="e">
        <f t="shared" si="251"/>
        <v>#VALUE!</v>
      </c>
      <c r="U1678">
        <v>15.66</v>
      </c>
      <c r="V1678" s="154" t="e">
        <f t="shared" si="252"/>
        <v>#VALUE!</v>
      </c>
      <c r="W1678">
        <v>15.66</v>
      </c>
      <c r="X1678" s="157" t="e">
        <f t="shared" si="253"/>
        <v>#VALUE!</v>
      </c>
      <c r="Y1678">
        <v>15.66</v>
      </c>
      <c r="Z1678" s="154" t="e">
        <f t="shared" si="254"/>
        <v>#VALUE!</v>
      </c>
      <c r="AA1678">
        <v>15.66</v>
      </c>
      <c r="AB1678" s="154" t="e">
        <f t="shared" si="255"/>
        <v>#VALUE!</v>
      </c>
      <c r="AC1678">
        <v>15.66</v>
      </c>
      <c r="AD1678" s="154" t="e">
        <f t="shared" si="256"/>
        <v>#VALUE!</v>
      </c>
      <c r="AE1678">
        <v>15.66</v>
      </c>
    </row>
    <row r="1679" spans="12:31" ht="15" x14ac:dyDescent="0.2">
      <c r="L1679" s="154" t="e">
        <f t="shared" si="247"/>
        <v>#VALUE!</v>
      </c>
      <c r="M1679">
        <v>15.67</v>
      </c>
      <c r="N1679" s="154" t="e">
        <f t="shared" si="248"/>
        <v>#VALUE!</v>
      </c>
      <c r="O1679">
        <v>15.67</v>
      </c>
      <c r="P1679" s="154" t="e">
        <f t="shared" si="249"/>
        <v>#VALUE!</v>
      </c>
      <c r="Q1679">
        <v>15.67</v>
      </c>
      <c r="R1679" s="154" t="e">
        <f t="shared" si="250"/>
        <v>#VALUE!</v>
      </c>
      <c r="S1679">
        <v>15.67</v>
      </c>
      <c r="T1679" s="154" t="e">
        <f t="shared" si="251"/>
        <v>#VALUE!</v>
      </c>
      <c r="U1679">
        <v>15.67</v>
      </c>
      <c r="V1679" s="154" t="e">
        <f t="shared" si="252"/>
        <v>#VALUE!</v>
      </c>
      <c r="W1679">
        <v>15.67</v>
      </c>
      <c r="X1679" s="157" t="e">
        <f t="shared" si="253"/>
        <v>#VALUE!</v>
      </c>
      <c r="Y1679">
        <v>15.67</v>
      </c>
      <c r="Z1679" s="154" t="e">
        <f t="shared" si="254"/>
        <v>#VALUE!</v>
      </c>
      <c r="AA1679">
        <v>15.67</v>
      </c>
      <c r="AB1679" s="154" t="e">
        <f t="shared" si="255"/>
        <v>#VALUE!</v>
      </c>
      <c r="AC1679">
        <v>15.67</v>
      </c>
      <c r="AD1679" s="154" t="e">
        <f t="shared" si="256"/>
        <v>#VALUE!</v>
      </c>
      <c r="AE1679">
        <v>15.67</v>
      </c>
    </row>
    <row r="1680" spans="12:31" ht="15" x14ac:dyDescent="0.2">
      <c r="L1680" s="154" t="e">
        <f t="shared" si="247"/>
        <v>#VALUE!</v>
      </c>
      <c r="M1680">
        <v>15.68</v>
      </c>
      <c r="N1680" s="154" t="e">
        <f t="shared" si="248"/>
        <v>#VALUE!</v>
      </c>
      <c r="O1680">
        <v>15.68</v>
      </c>
      <c r="P1680" s="154" t="e">
        <f t="shared" si="249"/>
        <v>#VALUE!</v>
      </c>
      <c r="Q1680">
        <v>15.68</v>
      </c>
      <c r="R1680" s="154" t="e">
        <f t="shared" si="250"/>
        <v>#VALUE!</v>
      </c>
      <c r="S1680">
        <v>15.68</v>
      </c>
      <c r="T1680" s="154" t="e">
        <f t="shared" si="251"/>
        <v>#VALUE!</v>
      </c>
      <c r="U1680">
        <v>15.68</v>
      </c>
      <c r="V1680" s="154" t="e">
        <f t="shared" si="252"/>
        <v>#VALUE!</v>
      </c>
      <c r="W1680">
        <v>15.68</v>
      </c>
      <c r="X1680" s="157" t="e">
        <f t="shared" si="253"/>
        <v>#VALUE!</v>
      </c>
      <c r="Y1680">
        <v>15.68</v>
      </c>
      <c r="Z1680" s="154" t="e">
        <f t="shared" si="254"/>
        <v>#VALUE!</v>
      </c>
      <c r="AA1680">
        <v>15.68</v>
      </c>
      <c r="AB1680" s="154" t="e">
        <f t="shared" si="255"/>
        <v>#VALUE!</v>
      </c>
      <c r="AC1680">
        <v>15.68</v>
      </c>
      <c r="AD1680" s="154" t="e">
        <f t="shared" si="256"/>
        <v>#VALUE!</v>
      </c>
      <c r="AE1680">
        <v>15.68</v>
      </c>
    </row>
    <row r="1681" spans="12:31" ht="15" x14ac:dyDescent="0.2">
      <c r="L1681" s="154" t="e">
        <f t="shared" si="247"/>
        <v>#VALUE!</v>
      </c>
      <c r="M1681">
        <v>15.69</v>
      </c>
      <c r="N1681" s="154" t="e">
        <f t="shared" si="248"/>
        <v>#VALUE!</v>
      </c>
      <c r="O1681">
        <v>15.69</v>
      </c>
      <c r="P1681" s="154" t="e">
        <f t="shared" si="249"/>
        <v>#VALUE!</v>
      </c>
      <c r="Q1681">
        <v>15.69</v>
      </c>
      <c r="R1681" s="154" t="e">
        <f t="shared" si="250"/>
        <v>#VALUE!</v>
      </c>
      <c r="S1681">
        <v>15.69</v>
      </c>
      <c r="T1681" s="154" t="e">
        <f t="shared" si="251"/>
        <v>#VALUE!</v>
      </c>
      <c r="U1681">
        <v>15.69</v>
      </c>
      <c r="V1681" s="154" t="e">
        <f t="shared" si="252"/>
        <v>#VALUE!</v>
      </c>
      <c r="W1681">
        <v>15.69</v>
      </c>
      <c r="X1681" s="157" t="e">
        <f t="shared" si="253"/>
        <v>#VALUE!</v>
      </c>
      <c r="Y1681">
        <v>15.69</v>
      </c>
      <c r="Z1681" s="154" t="e">
        <f t="shared" si="254"/>
        <v>#VALUE!</v>
      </c>
      <c r="AA1681">
        <v>15.69</v>
      </c>
      <c r="AB1681" s="154" t="e">
        <f t="shared" si="255"/>
        <v>#VALUE!</v>
      </c>
      <c r="AC1681">
        <v>15.69</v>
      </c>
      <c r="AD1681" s="154" t="e">
        <f t="shared" si="256"/>
        <v>#VALUE!</v>
      </c>
      <c r="AE1681">
        <v>15.69</v>
      </c>
    </row>
    <row r="1682" spans="12:31" ht="15" x14ac:dyDescent="0.2">
      <c r="L1682" s="154" t="e">
        <f t="shared" si="247"/>
        <v>#VALUE!</v>
      </c>
      <c r="M1682">
        <v>15.7</v>
      </c>
      <c r="N1682" s="154" t="e">
        <f t="shared" si="248"/>
        <v>#VALUE!</v>
      </c>
      <c r="O1682">
        <v>15.7</v>
      </c>
      <c r="P1682" s="154" t="e">
        <f t="shared" si="249"/>
        <v>#VALUE!</v>
      </c>
      <c r="Q1682">
        <v>15.7</v>
      </c>
      <c r="R1682" s="154" t="e">
        <f t="shared" si="250"/>
        <v>#VALUE!</v>
      </c>
      <c r="S1682">
        <v>15.7</v>
      </c>
      <c r="T1682" s="154" t="e">
        <f t="shared" si="251"/>
        <v>#VALUE!</v>
      </c>
      <c r="U1682">
        <v>15.7</v>
      </c>
      <c r="V1682" s="154" t="e">
        <f t="shared" si="252"/>
        <v>#VALUE!</v>
      </c>
      <c r="W1682">
        <v>15.7</v>
      </c>
      <c r="X1682" s="157" t="e">
        <f t="shared" si="253"/>
        <v>#VALUE!</v>
      </c>
      <c r="Y1682">
        <v>15.7</v>
      </c>
      <c r="Z1682" s="154" t="e">
        <f t="shared" si="254"/>
        <v>#VALUE!</v>
      </c>
      <c r="AA1682">
        <v>15.7</v>
      </c>
      <c r="AB1682" s="154" t="e">
        <f t="shared" si="255"/>
        <v>#VALUE!</v>
      </c>
      <c r="AC1682">
        <v>15.7</v>
      </c>
      <c r="AD1682" s="154" t="e">
        <f t="shared" si="256"/>
        <v>#VALUE!</v>
      </c>
      <c r="AE1682">
        <v>15.7</v>
      </c>
    </row>
    <row r="1683" spans="12:31" ht="15" x14ac:dyDescent="0.2">
      <c r="L1683" s="154" t="e">
        <f t="shared" si="247"/>
        <v>#VALUE!</v>
      </c>
      <c r="M1683">
        <v>15.71</v>
      </c>
      <c r="N1683" s="154" t="e">
        <f t="shared" si="248"/>
        <v>#VALUE!</v>
      </c>
      <c r="O1683">
        <v>15.71</v>
      </c>
      <c r="P1683" s="154" t="e">
        <f t="shared" si="249"/>
        <v>#VALUE!</v>
      </c>
      <c r="Q1683">
        <v>15.71</v>
      </c>
      <c r="R1683" s="154" t="e">
        <f t="shared" si="250"/>
        <v>#VALUE!</v>
      </c>
      <c r="S1683">
        <v>15.71</v>
      </c>
      <c r="T1683" s="154" t="e">
        <f t="shared" si="251"/>
        <v>#VALUE!</v>
      </c>
      <c r="U1683">
        <v>15.71</v>
      </c>
      <c r="V1683" s="154" t="e">
        <f t="shared" si="252"/>
        <v>#VALUE!</v>
      </c>
      <c r="W1683">
        <v>15.71</v>
      </c>
      <c r="X1683" s="157" t="e">
        <f t="shared" si="253"/>
        <v>#VALUE!</v>
      </c>
      <c r="Y1683">
        <v>15.71</v>
      </c>
      <c r="Z1683" s="154" t="e">
        <f t="shared" si="254"/>
        <v>#VALUE!</v>
      </c>
      <c r="AA1683">
        <v>15.71</v>
      </c>
      <c r="AB1683" s="154" t="e">
        <f t="shared" si="255"/>
        <v>#VALUE!</v>
      </c>
      <c r="AC1683">
        <v>15.71</v>
      </c>
      <c r="AD1683" s="154" t="e">
        <f t="shared" si="256"/>
        <v>#VALUE!</v>
      </c>
      <c r="AE1683">
        <v>15.71</v>
      </c>
    </row>
    <row r="1684" spans="12:31" ht="15" x14ac:dyDescent="0.2">
      <c r="L1684" s="154" t="e">
        <f t="shared" si="247"/>
        <v>#VALUE!</v>
      </c>
      <c r="M1684">
        <v>15.72</v>
      </c>
      <c r="N1684" s="154" t="e">
        <f t="shared" si="248"/>
        <v>#VALUE!</v>
      </c>
      <c r="O1684">
        <v>15.72</v>
      </c>
      <c r="P1684" s="154" t="e">
        <f t="shared" si="249"/>
        <v>#VALUE!</v>
      </c>
      <c r="Q1684">
        <v>15.72</v>
      </c>
      <c r="R1684" s="154" t="e">
        <f t="shared" si="250"/>
        <v>#VALUE!</v>
      </c>
      <c r="S1684">
        <v>15.72</v>
      </c>
      <c r="T1684" s="154" t="e">
        <f t="shared" si="251"/>
        <v>#VALUE!</v>
      </c>
      <c r="U1684">
        <v>15.72</v>
      </c>
      <c r="V1684" s="154" t="e">
        <f t="shared" si="252"/>
        <v>#VALUE!</v>
      </c>
      <c r="W1684">
        <v>15.72</v>
      </c>
      <c r="X1684" s="157" t="e">
        <f t="shared" si="253"/>
        <v>#VALUE!</v>
      </c>
      <c r="Y1684">
        <v>15.72</v>
      </c>
      <c r="Z1684" s="154" t="e">
        <f t="shared" si="254"/>
        <v>#VALUE!</v>
      </c>
      <c r="AA1684">
        <v>15.72</v>
      </c>
      <c r="AB1684" s="154" t="e">
        <f t="shared" si="255"/>
        <v>#VALUE!</v>
      </c>
      <c r="AC1684">
        <v>15.72</v>
      </c>
      <c r="AD1684" s="154" t="e">
        <f t="shared" si="256"/>
        <v>#VALUE!</v>
      </c>
      <c r="AE1684">
        <v>15.72</v>
      </c>
    </row>
    <row r="1685" spans="12:31" ht="15" x14ac:dyDescent="0.2">
      <c r="L1685" s="154" t="e">
        <f t="shared" si="247"/>
        <v>#VALUE!</v>
      </c>
      <c r="M1685">
        <v>15.73</v>
      </c>
      <c r="N1685" s="154" t="e">
        <f t="shared" si="248"/>
        <v>#VALUE!</v>
      </c>
      <c r="O1685">
        <v>15.73</v>
      </c>
      <c r="P1685" s="154" t="e">
        <f t="shared" si="249"/>
        <v>#VALUE!</v>
      </c>
      <c r="Q1685">
        <v>15.73</v>
      </c>
      <c r="R1685" s="154" t="e">
        <f t="shared" si="250"/>
        <v>#VALUE!</v>
      </c>
      <c r="S1685">
        <v>15.73</v>
      </c>
      <c r="T1685" s="154" t="e">
        <f t="shared" si="251"/>
        <v>#VALUE!</v>
      </c>
      <c r="U1685">
        <v>15.73</v>
      </c>
      <c r="V1685" s="154" t="e">
        <f t="shared" si="252"/>
        <v>#VALUE!</v>
      </c>
      <c r="W1685">
        <v>15.73</v>
      </c>
      <c r="X1685" s="157" t="e">
        <f t="shared" si="253"/>
        <v>#VALUE!</v>
      </c>
      <c r="Y1685">
        <v>15.73</v>
      </c>
      <c r="Z1685" s="154" t="e">
        <f t="shared" si="254"/>
        <v>#VALUE!</v>
      </c>
      <c r="AA1685">
        <v>15.73</v>
      </c>
      <c r="AB1685" s="154" t="e">
        <f t="shared" si="255"/>
        <v>#VALUE!</v>
      </c>
      <c r="AC1685">
        <v>15.73</v>
      </c>
      <c r="AD1685" s="154" t="e">
        <f t="shared" si="256"/>
        <v>#VALUE!</v>
      </c>
      <c r="AE1685">
        <v>15.73</v>
      </c>
    </row>
    <row r="1686" spans="12:31" ht="15" x14ac:dyDescent="0.2">
      <c r="L1686" s="154" t="e">
        <f t="shared" si="247"/>
        <v>#VALUE!</v>
      </c>
      <c r="M1686">
        <v>15.74</v>
      </c>
      <c r="N1686" s="154" t="e">
        <f t="shared" si="248"/>
        <v>#VALUE!</v>
      </c>
      <c r="O1686">
        <v>15.74</v>
      </c>
      <c r="P1686" s="154" t="e">
        <f t="shared" si="249"/>
        <v>#VALUE!</v>
      </c>
      <c r="Q1686">
        <v>15.74</v>
      </c>
      <c r="R1686" s="154" t="e">
        <f t="shared" si="250"/>
        <v>#VALUE!</v>
      </c>
      <c r="S1686">
        <v>15.74</v>
      </c>
      <c r="T1686" s="154" t="e">
        <f t="shared" si="251"/>
        <v>#VALUE!</v>
      </c>
      <c r="U1686">
        <v>15.74</v>
      </c>
      <c r="V1686" s="154" t="e">
        <f t="shared" si="252"/>
        <v>#VALUE!</v>
      </c>
      <c r="W1686">
        <v>15.74</v>
      </c>
      <c r="X1686" s="157" t="e">
        <f t="shared" si="253"/>
        <v>#VALUE!</v>
      </c>
      <c r="Y1686">
        <v>15.74</v>
      </c>
      <c r="Z1686" s="154" t="e">
        <f t="shared" si="254"/>
        <v>#VALUE!</v>
      </c>
      <c r="AA1686">
        <v>15.74</v>
      </c>
      <c r="AB1686" s="154" t="e">
        <f t="shared" si="255"/>
        <v>#VALUE!</v>
      </c>
      <c r="AC1686">
        <v>15.74</v>
      </c>
      <c r="AD1686" s="154" t="e">
        <f t="shared" si="256"/>
        <v>#VALUE!</v>
      </c>
      <c r="AE1686">
        <v>15.74</v>
      </c>
    </row>
    <row r="1687" spans="12:31" ht="15" x14ac:dyDescent="0.2">
      <c r="L1687" s="154" t="e">
        <f t="shared" si="247"/>
        <v>#VALUE!</v>
      </c>
      <c r="M1687">
        <v>15.75</v>
      </c>
      <c r="N1687" s="154" t="e">
        <f t="shared" si="248"/>
        <v>#VALUE!</v>
      </c>
      <c r="O1687">
        <v>15.75</v>
      </c>
      <c r="P1687" s="154" t="e">
        <f t="shared" si="249"/>
        <v>#VALUE!</v>
      </c>
      <c r="Q1687">
        <v>15.75</v>
      </c>
      <c r="R1687" s="154" t="e">
        <f t="shared" si="250"/>
        <v>#VALUE!</v>
      </c>
      <c r="S1687">
        <v>15.75</v>
      </c>
      <c r="T1687" s="154" t="e">
        <f t="shared" si="251"/>
        <v>#VALUE!</v>
      </c>
      <c r="U1687">
        <v>15.75</v>
      </c>
      <c r="V1687" s="154" t="e">
        <f t="shared" si="252"/>
        <v>#VALUE!</v>
      </c>
      <c r="W1687">
        <v>15.75</v>
      </c>
      <c r="X1687" s="157" t="e">
        <f t="shared" si="253"/>
        <v>#VALUE!</v>
      </c>
      <c r="Y1687">
        <v>15.75</v>
      </c>
      <c r="Z1687" s="154" t="e">
        <f t="shared" si="254"/>
        <v>#VALUE!</v>
      </c>
      <c r="AA1687">
        <v>15.75</v>
      </c>
      <c r="AB1687" s="154" t="e">
        <f t="shared" si="255"/>
        <v>#VALUE!</v>
      </c>
      <c r="AC1687">
        <v>15.75</v>
      </c>
      <c r="AD1687" s="154" t="e">
        <f t="shared" si="256"/>
        <v>#VALUE!</v>
      </c>
      <c r="AE1687">
        <v>15.75</v>
      </c>
    </row>
    <row r="1688" spans="12:31" ht="15" x14ac:dyDescent="0.2">
      <c r="L1688" s="154" t="e">
        <f t="shared" si="247"/>
        <v>#VALUE!</v>
      </c>
      <c r="M1688">
        <v>15.76</v>
      </c>
      <c r="N1688" s="154" t="e">
        <f t="shared" si="248"/>
        <v>#VALUE!</v>
      </c>
      <c r="O1688">
        <v>15.76</v>
      </c>
      <c r="P1688" s="154" t="e">
        <f t="shared" si="249"/>
        <v>#VALUE!</v>
      </c>
      <c r="Q1688">
        <v>15.76</v>
      </c>
      <c r="R1688" s="154" t="e">
        <f t="shared" si="250"/>
        <v>#VALUE!</v>
      </c>
      <c r="S1688">
        <v>15.76</v>
      </c>
      <c r="T1688" s="154" t="e">
        <f t="shared" si="251"/>
        <v>#VALUE!</v>
      </c>
      <c r="U1688">
        <v>15.76</v>
      </c>
      <c r="V1688" s="154" t="e">
        <f t="shared" si="252"/>
        <v>#VALUE!</v>
      </c>
      <c r="W1688">
        <v>15.76</v>
      </c>
      <c r="X1688" s="157" t="e">
        <f t="shared" si="253"/>
        <v>#VALUE!</v>
      </c>
      <c r="Y1688">
        <v>15.76</v>
      </c>
      <c r="Z1688" s="154" t="e">
        <f t="shared" si="254"/>
        <v>#VALUE!</v>
      </c>
      <c r="AA1688">
        <v>15.76</v>
      </c>
      <c r="AB1688" s="154" t="e">
        <f t="shared" si="255"/>
        <v>#VALUE!</v>
      </c>
      <c r="AC1688">
        <v>15.76</v>
      </c>
      <c r="AD1688" s="154" t="e">
        <f t="shared" si="256"/>
        <v>#VALUE!</v>
      </c>
      <c r="AE1688">
        <v>15.76</v>
      </c>
    </row>
    <row r="1689" spans="12:31" ht="15" x14ac:dyDescent="0.2">
      <c r="L1689" s="154" t="e">
        <f t="shared" si="247"/>
        <v>#VALUE!</v>
      </c>
      <c r="M1689">
        <v>15.77</v>
      </c>
      <c r="N1689" s="154" t="e">
        <f t="shared" si="248"/>
        <v>#VALUE!</v>
      </c>
      <c r="O1689">
        <v>15.77</v>
      </c>
      <c r="P1689" s="154" t="e">
        <f t="shared" si="249"/>
        <v>#VALUE!</v>
      </c>
      <c r="Q1689">
        <v>15.77</v>
      </c>
      <c r="R1689" s="154" t="e">
        <f t="shared" si="250"/>
        <v>#VALUE!</v>
      </c>
      <c r="S1689">
        <v>15.77</v>
      </c>
      <c r="T1689" s="154" t="e">
        <f t="shared" si="251"/>
        <v>#VALUE!</v>
      </c>
      <c r="U1689">
        <v>15.77</v>
      </c>
      <c r="V1689" s="154" t="e">
        <f t="shared" si="252"/>
        <v>#VALUE!</v>
      </c>
      <c r="W1689">
        <v>15.77</v>
      </c>
      <c r="X1689" s="157" t="e">
        <f t="shared" si="253"/>
        <v>#VALUE!</v>
      </c>
      <c r="Y1689">
        <v>15.77</v>
      </c>
      <c r="Z1689" s="154" t="e">
        <f t="shared" si="254"/>
        <v>#VALUE!</v>
      </c>
      <c r="AA1689">
        <v>15.77</v>
      </c>
      <c r="AB1689" s="154" t="e">
        <f t="shared" si="255"/>
        <v>#VALUE!</v>
      </c>
      <c r="AC1689">
        <v>15.77</v>
      </c>
      <c r="AD1689" s="154" t="e">
        <f t="shared" si="256"/>
        <v>#VALUE!</v>
      </c>
      <c r="AE1689">
        <v>15.77</v>
      </c>
    </row>
    <row r="1690" spans="12:31" ht="15" x14ac:dyDescent="0.2">
      <c r="L1690" s="154" t="e">
        <f t="shared" si="247"/>
        <v>#VALUE!</v>
      </c>
      <c r="M1690">
        <v>15.78</v>
      </c>
      <c r="N1690" s="154" t="e">
        <f t="shared" si="248"/>
        <v>#VALUE!</v>
      </c>
      <c r="O1690">
        <v>15.78</v>
      </c>
      <c r="P1690" s="154" t="e">
        <f t="shared" si="249"/>
        <v>#VALUE!</v>
      </c>
      <c r="Q1690">
        <v>15.78</v>
      </c>
      <c r="R1690" s="154" t="e">
        <f t="shared" si="250"/>
        <v>#VALUE!</v>
      </c>
      <c r="S1690">
        <v>15.78</v>
      </c>
      <c r="T1690" s="154" t="e">
        <f t="shared" si="251"/>
        <v>#VALUE!</v>
      </c>
      <c r="U1690">
        <v>15.78</v>
      </c>
      <c r="V1690" s="154" t="e">
        <f t="shared" si="252"/>
        <v>#VALUE!</v>
      </c>
      <c r="W1690">
        <v>15.78</v>
      </c>
      <c r="X1690" s="157" t="e">
        <f t="shared" si="253"/>
        <v>#VALUE!</v>
      </c>
      <c r="Y1690">
        <v>15.78</v>
      </c>
      <c r="Z1690" s="154" t="e">
        <f t="shared" si="254"/>
        <v>#VALUE!</v>
      </c>
      <c r="AA1690">
        <v>15.78</v>
      </c>
      <c r="AB1690" s="154" t="e">
        <f t="shared" si="255"/>
        <v>#VALUE!</v>
      </c>
      <c r="AC1690">
        <v>15.78</v>
      </c>
      <c r="AD1690" s="154" t="e">
        <f t="shared" si="256"/>
        <v>#VALUE!</v>
      </c>
      <c r="AE1690">
        <v>15.78</v>
      </c>
    </row>
    <row r="1691" spans="12:31" ht="15" x14ac:dyDescent="0.2">
      <c r="L1691" s="154" t="e">
        <f t="shared" si="247"/>
        <v>#VALUE!</v>
      </c>
      <c r="M1691">
        <v>15.79</v>
      </c>
      <c r="N1691" s="154" t="e">
        <f t="shared" si="248"/>
        <v>#VALUE!</v>
      </c>
      <c r="O1691">
        <v>15.79</v>
      </c>
      <c r="P1691" s="154" t="e">
        <f t="shared" si="249"/>
        <v>#VALUE!</v>
      </c>
      <c r="Q1691">
        <v>15.79</v>
      </c>
      <c r="R1691" s="154" t="e">
        <f t="shared" si="250"/>
        <v>#VALUE!</v>
      </c>
      <c r="S1691">
        <v>15.79</v>
      </c>
      <c r="T1691" s="154" t="e">
        <f t="shared" si="251"/>
        <v>#VALUE!</v>
      </c>
      <c r="U1691">
        <v>15.79</v>
      </c>
      <c r="V1691" s="154" t="e">
        <f t="shared" si="252"/>
        <v>#VALUE!</v>
      </c>
      <c r="W1691">
        <v>15.79</v>
      </c>
      <c r="X1691" s="157" t="e">
        <f t="shared" si="253"/>
        <v>#VALUE!</v>
      </c>
      <c r="Y1691">
        <v>15.79</v>
      </c>
      <c r="Z1691" s="154" t="e">
        <f t="shared" si="254"/>
        <v>#VALUE!</v>
      </c>
      <c r="AA1691">
        <v>15.79</v>
      </c>
      <c r="AB1691" s="154" t="e">
        <f t="shared" si="255"/>
        <v>#VALUE!</v>
      </c>
      <c r="AC1691">
        <v>15.79</v>
      </c>
      <c r="AD1691" s="154" t="e">
        <f t="shared" si="256"/>
        <v>#VALUE!</v>
      </c>
      <c r="AE1691">
        <v>15.79</v>
      </c>
    </row>
    <row r="1692" spans="12:31" ht="15" x14ac:dyDescent="0.2">
      <c r="L1692" s="154" t="e">
        <f t="shared" si="247"/>
        <v>#VALUE!</v>
      </c>
      <c r="M1692">
        <v>15.8</v>
      </c>
      <c r="N1692" s="154" t="e">
        <f t="shared" si="248"/>
        <v>#VALUE!</v>
      </c>
      <c r="O1692">
        <v>15.8</v>
      </c>
      <c r="P1692" s="154" t="e">
        <f t="shared" si="249"/>
        <v>#VALUE!</v>
      </c>
      <c r="Q1692">
        <v>15.8</v>
      </c>
      <c r="R1692" s="154" t="e">
        <f t="shared" si="250"/>
        <v>#VALUE!</v>
      </c>
      <c r="S1692">
        <v>15.8</v>
      </c>
      <c r="T1692" s="154" t="e">
        <f t="shared" si="251"/>
        <v>#VALUE!</v>
      </c>
      <c r="U1692">
        <v>15.8</v>
      </c>
      <c r="V1692" s="154" t="e">
        <f t="shared" si="252"/>
        <v>#VALUE!</v>
      </c>
      <c r="W1692">
        <v>15.8</v>
      </c>
      <c r="X1692" s="157" t="e">
        <f t="shared" si="253"/>
        <v>#VALUE!</v>
      </c>
      <c r="Y1692">
        <v>15.8</v>
      </c>
      <c r="Z1692" s="154" t="e">
        <f t="shared" si="254"/>
        <v>#VALUE!</v>
      </c>
      <c r="AA1692">
        <v>15.8</v>
      </c>
      <c r="AB1692" s="154" t="e">
        <f t="shared" si="255"/>
        <v>#VALUE!</v>
      </c>
      <c r="AC1692">
        <v>15.8</v>
      </c>
      <c r="AD1692" s="154" t="e">
        <f t="shared" si="256"/>
        <v>#VALUE!</v>
      </c>
      <c r="AE1692">
        <v>15.8</v>
      </c>
    </row>
    <row r="1693" spans="12:31" ht="15" x14ac:dyDescent="0.2">
      <c r="L1693" s="154" t="e">
        <f t="shared" si="247"/>
        <v>#VALUE!</v>
      </c>
      <c r="M1693">
        <v>15.81</v>
      </c>
      <c r="N1693" s="154" t="e">
        <f t="shared" si="248"/>
        <v>#VALUE!</v>
      </c>
      <c r="O1693">
        <v>15.81</v>
      </c>
      <c r="P1693" s="154" t="e">
        <f t="shared" si="249"/>
        <v>#VALUE!</v>
      </c>
      <c r="Q1693">
        <v>15.81</v>
      </c>
      <c r="R1693" s="154" t="e">
        <f t="shared" si="250"/>
        <v>#VALUE!</v>
      </c>
      <c r="S1693">
        <v>15.81</v>
      </c>
      <c r="T1693" s="154" t="e">
        <f t="shared" si="251"/>
        <v>#VALUE!</v>
      </c>
      <c r="U1693">
        <v>15.81</v>
      </c>
      <c r="V1693" s="154" t="e">
        <f t="shared" si="252"/>
        <v>#VALUE!</v>
      </c>
      <c r="W1693">
        <v>15.81</v>
      </c>
      <c r="X1693" s="157" t="e">
        <f t="shared" si="253"/>
        <v>#VALUE!</v>
      </c>
      <c r="Y1693">
        <v>15.81</v>
      </c>
      <c r="Z1693" s="154" t="e">
        <f t="shared" si="254"/>
        <v>#VALUE!</v>
      </c>
      <c r="AA1693">
        <v>15.81</v>
      </c>
      <c r="AB1693" s="154" t="e">
        <f t="shared" si="255"/>
        <v>#VALUE!</v>
      </c>
      <c r="AC1693">
        <v>15.81</v>
      </c>
      <c r="AD1693" s="154" t="e">
        <f t="shared" si="256"/>
        <v>#VALUE!</v>
      </c>
      <c r="AE1693">
        <v>15.81</v>
      </c>
    </row>
    <row r="1694" spans="12:31" ht="15" x14ac:dyDescent="0.2">
      <c r="L1694" s="154" t="e">
        <f t="shared" si="247"/>
        <v>#VALUE!</v>
      </c>
      <c r="M1694">
        <v>15.82</v>
      </c>
      <c r="N1694" s="154" t="e">
        <f t="shared" si="248"/>
        <v>#VALUE!</v>
      </c>
      <c r="O1694">
        <v>15.82</v>
      </c>
      <c r="P1694" s="154" t="e">
        <f t="shared" si="249"/>
        <v>#VALUE!</v>
      </c>
      <c r="Q1694">
        <v>15.82</v>
      </c>
      <c r="R1694" s="154" t="e">
        <f t="shared" si="250"/>
        <v>#VALUE!</v>
      </c>
      <c r="S1694">
        <v>15.82</v>
      </c>
      <c r="T1694" s="154" t="e">
        <f t="shared" si="251"/>
        <v>#VALUE!</v>
      </c>
      <c r="U1694">
        <v>15.82</v>
      </c>
      <c r="V1694" s="154" t="e">
        <f t="shared" si="252"/>
        <v>#VALUE!</v>
      </c>
      <c r="W1694">
        <v>15.82</v>
      </c>
      <c r="X1694" s="157" t="e">
        <f t="shared" si="253"/>
        <v>#VALUE!</v>
      </c>
      <c r="Y1694">
        <v>15.82</v>
      </c>
      <c r="Z1694" s="154" t="e">
        <f t="shared" si="254"/>
        <v>#VALUE!</v>
      </c>
      <c r="AA1694">
        <v>15.82</v>
      </c>
      <c r="AB1694" s="154" t="e">
        <f t="shared" si="255"/>
        <v>#VALUE!</v>
      </c>
      <c r="AC1694">
        <v>15.82</v>
      </c>
      <c r="AD1694" s="154" t="e">
        <f t="shared" si="256"/>
        <v>#VALUE!</v>
      </c>
      <c r="AE1694">
        <v>15.82</v>
      </c>
    </row>
    <row r="1695" spans="12:31" ht="15" x14ac:dyDescent="0.2">
      <c r="L1695" s="154" t="e">
        <f t="shared" si="247"/>
        <v>#VALUE!</v>
      </c>
      <c r="M1695">
        <v>15.83</v>
      </c>
      <c r="N1695" s="154" t="e">
        <f t="shared" si="248"/>
        <v>#VALUE!</v>
      </c>
      <c r="O1695">
        <v>15.83</v>
      </c>
      <c r="P1695" s="154" t="e">
        <f t="shared" si="249"/>
        <v>#VALUE!</v>
      </c>
      <c r="Q1695">
        <v>15.83</v>
      </c>
      <c r="R1695" s="154" t="e">
        <f t="shared" si="250"/>
        <v>#VALUE!</v>
      </c>
      <c r="S1695">
        <v>15.83</v>
      </c>
      <c r="T1695" s="154" t="e">
        <f t="shared" si="251"/>
        <v>#VALUE!</v>
      </c>
      <c r="U1695">
        <v>15.83</v>
      </c>
      <c r="V1695" s="154" t="e">
        <f t="shared" si="252"/>
        <v>#VALUE!</v>
      </c>
      <c r="W1695">
        <v>15.83</v>
      </c>
      <c r="X1695" s="157" t="e">
        <f t="shared" si="253"/>
        <v>#VALUE!</v>
      </c>
      <c r="Y1695">
        <v>15.83</v>
      </c>
      <c r="Z1695" s="154" t="e">
        <f t="shared" si="254"/>
        <v>#VALUE!</v>
      </c>
      <c r="AA1695">
        <v>15.83</v>
      </c>
      <c r="AB1695" s="154" t="e">
        <f t="shared" si="255"/>
        <v>#VALUE!</v>
      </c>
      <c r="AC1695">
        <v>15.83</v>
      </c>
      <c r="AD1695" s="154" t="e">
        <f t="shared" si="256"/>
        <v>#VALUE!</v>
      </c>
      <c r="AE1695">
        <v>15.83</v>
      </c>
    </row>
    <row r="1696" spans="12:31" ht="15" x14ac:dyDescent="0.2">
      <c r="L1696" s="154" t="e">
        <f t="shared" si="247"/>
        <v>#VALUE!</v>
      </c>
      <c r="M1696">
        <v>15.84</v>
      </c>
      <c r="N1696" s="154" t="e">
        <f t="shared" si="248"/>
        <v>#VALUE!</v>
      </c>
      <c r="O1696">
        <v>15.84</v>
      </c>
      <c r="P1696" s="154" t="e">
        <f t="shared" si="249"/>
        <v>#VALUE!</v>
      </c>
      <c r="Q1696">
        <v>15.84</v>
      </c>
      <c r="R1696" s="154" t="e">
        <f t="shared" si="250"/>
        <v>#VALUE!</v>
      </c>
      <c r="S1696">
        <v>15.84</v>
      </c>
      <c r="T1696" s="154" t="e">
        <f t="shared" si="251"/>
        <v>#VALUE!</v>
      </c>
      <c r="U1696">
        <v>15.84</v>
      </c>
      <c r="V1696" s="154" t="e">
        <f t="shared" si="252"/>
        <v>#VALUE!</v>
      </c>
      <c r="W1696">
        <v>15.84</v>
      </c>
      <c r="X1696" s="157" t="e">
        <f t="shared" si="253"/>
        <v>#VALUE!</v>
      </c>
      <c r="Y1696">
        <v>15.84</v>
      </c>
      <c r="Z1696" s="154" t="e">
        <f t="shared" si="254"/>
        <v>#VALUE!</v>
      </c>
      <c r="AA1696">
        <v>15.84</v>
      </c>
      <c r="AB1696" s="154" t="e">
        <f t="shared" si="255"/>
        <v>#VALUE!</v>
      </c>
      <c r="AC1696">
        <v>15.84</v>
      </c>
      <c r="AD1696" s="154" t="e">
        <f t="shared" si="256"/>
        <v>#VALUE!</v>
      </c>
      <c r="AE1696">
        <v>15.84</v>
      </c>
    </row>
    <row r="1697" spans="12:31" ht="15" x14ac:dyDescent="0.2">
      <c r="L1697" s="154" t="e">
        <f t="shared" si="247"/>
        <v>#VALUE!</v>
      </c>
      <c r="M1697">
        <v>15.85</v>
      </c>
      <c r="N1697" s="154" t="e">
        <f t="shared" si="248"/>
        <v>#VALUE!</v>
      </c>
      <c r="O1697">
        <v>15.85</v>
      </c>
      <c r="P1697" s="154" t="e">
        <f t="shared" si="249"/>
        <v>#VALUE!</v>
      </c>
      <c r="Q1697">
        <v>15.85</v>
      </c>
      <c r="R1697" s="154" t="e">
        <f t="shared" si="250"/>
        <v>#VALUE!</v>
      </c>
      <c r="S1697">
        <v>15.85</v>
      </c>
      <c r="T1697" s="154" t="e">
        <f t="shared" si="251"/>
        <v>#VALUE!</v>
      </c>
      <c r="U1697">
        <v>15.85</v>
      </c>
      <c r="V1697" s="154" t="e">
        <f t="shared" si="252"/>
        <v>#VALUE!</v>
      </c>
      <c r="W1697">
        <v>15.85</v>
      </c>
      <c r="X1697" s="157" t="e">
        <f t="shared" si="253"/>
        <v>#VALUE!</v>
      </c>
      <c r="Y1697">
        <v>15.85</v>
      </c>
      <c r="Z1697" s="154" t="e">
        <f t="shared" si="254"/>
        <v>#VALUE!</v>
      </c>
      <c r="AA1697">
        <v>15.85</v>
      </c>
      <c r="AB1697" s="154" t="e">
        <f t="shared" si="255"/>
        <v>#VALUE!</v>
      </c>
      <c r="AC1697">
        <v>15.85</v>
      </c>
      <c r="AD1697" s="154" t="e">
        <f t="shared" si="256"/>
        <v>#VALUE!</v>
      </c>
      <c r="AE1697">
        <v>15.85</v>
      </c>
    </row>
    <row r="1698" spans="12:31" ht="15" x14ac:dyDescent="0.2">
      <c r="L1698" s="154" t="e">
        <f t="shared" si="247"/>
        <v>#VALUE!</v>
      </c>
      <c r="M1698">
        <v>15.86</v>
      </c>
      <c r="N1698" s="154" t="e">
        <f t="shared" si="248"/>
        <v>#VALUE!</v>
      </c>
      <c r="O1698">
        <v>15.86</v>
      </c>
      <c r="P1698" s="154" t="e">
        <f t="shared" si="249"/>
        <v>#VALUE!</v>
      </c>
      <c r="Q1698">
        <v>15.86</v>
      </c>
      <c r="R1698" s="154" t="e">
        <f t="shared" si="250"/>
        <v>#VALUE!</v>
      </c>
      <c r="S1698">
        <v>15.86</v>
      </c>
      <c r="T1698" s="154" t="e">
        <f t="shared" si="251"/>
        <v>#VALUE!</v>
      </c>
      <c r="U1698">
        <v>15.86</v>
      </c>
      <c r="V1698" s="154" t="e">
        <f t="shared" si="252"/>
        <v>#VALUE!</v>
      </c>
      <c r="W1698">
        <v>15.86</v>
      </c>
      <c r="X1698" s="157" t="e">
        <f t="shared" si="253"/>
        <v>#VALUE!</v>
      </c>
      <c r="Y1698">
        <v>15.86</v>
      </c>
      <c r="Z1698" s="154" t="e">
        <f t="shared" si="254"/>
        <v>#VALUE!</v>
      </c>
      <c r="AA1698">
        <v>15.86</v>
      </c>
      <c r="AB1698" s="154" t="e">
        <f t="shared" si="255"/>
        <v>#VALUE!</v>
      </c>
      <c r="AC1698">
        <v>15.86</v>
      </c>
      <c r="AD1698" s="154" t="e">
        <f t="shared" si="256"/>
        <v>#VALUE!</v>
      </c>
      <c r="AE1698">
        <v>15.86</v>
      </c>
    </row>
    <row r="1699" spans="12:31" ht="15" x14ac:dyDescent="0.2">
      <c r="L1699" s="154" t="e">
        <f t="shared" si="247"/>
        <v>#VALUE!</v>
      </c>
      <c r="M1699">
        <v>15.87</v>
      </c>
      <c r="N1699" s="154" t="e">
        <f t="shared" si="248"/>
        <v>#VALUE!</v>
      </c>
      <c r="O1699">
        <v>15.87</v>
      </c>
      <c r="P1699" s="154" t="e">
        <f t="shared" si="249"/>
        <v>#VALUE!</v>
      </c>
      <c r="Q1699">
        <v>15.87</v>
      </c>
      <c r="R1699" s="154" t="e">
        <f t="shared" si="250"/>
        <v>#VALUE!</v>
      </c>
      <c r="S1699">
        <v>15.87</v>
      </c>
      <c r="T1699" s="154" t="e">
        <f t="shared" si="251"/>
        <v>#VALUE!</v>
      </c>
      <c r="U1699">
        <v>15.87</v>
      </c>
      <c r="V1699" s="154" t="e">
        <f t="shared" si="252"/>
        <v>#VALUE!</v>
      </c>
      <c r="W1699">
        <v>15.87</v>
      </c>
      <c r="X1699" s="157" t="e">
        <f t="shared" si="253"/>
        <v>#VALUE!</v>
      </c>
      <c r="Y1699">
        <v>15.87</v>
      </c>
      <c r="Z1699" s="154" t="e">
        <f t="shared" si="254"/>
        <v>#VALUE!</v>
      </c>
      <c r="AA1699">
        <v>15.87</v>
      </c>
      <c r="AB1699" s="154" t="e">
        <f t="shared" si="255"/>
        <v>#VALUE!</v>
      </c>
      <c r="AC1699">
        <v>15.87</v>
      </c>
      <c r="AD1699" s="154" t="e">
        <f t="shared" si="256"/>
        <v>#VALUE!</v>
      </c>
      <c r="AE1699">
        <v>15.87</v>
      </c>
    </row>
    <row r="1700" spans="12:31" ht="15" x14ac:dyDescent="0.2">
      <c r="L1700" s="154" t="e">
        <f t="shared" si="247"/>
        <v>#VALUE!</v>
      </c>
      <c r="M1700">
        <v>15.88</v>
      </c>
      <c r="N1700" s="154" t="e">
        <f t="shared" si="248"/>
        <v>#VALUE!</v>
      </c>
      <c r="O1700">
        <v>15.88</v>
      </c>
      <c r="P1700" s="154" t="e">
        <f t="shared" si="249"/>
        <v>#VALUE!</v>
      </c>
      <c r="Q1700">
        <v>15.88</v>
      </c>
      <c r="R1700" s="154" t="e">
        <f t="shared" si="250"/>
        <v>#VALUE!</v>
      </c>
      <c r="S1700">
        <v>15.88</v>
      </c>
      <c r="T1700" s="154" t="e">
        <f t="shared" si="251"/>
        <v>#VALUE!</v>
      </c>
      <c r="U1700">
        <v>15.88</v>
      </c>
      <c r="V1700" s="154" t="e">
        <f t="shared" si="252"/>
        <v>#VALUE!</v>
      </c>
      <c r="W1700">
        <v>15.88</v>
      </c>
      <c r="X1700" s="157" t="e">
        <f t="shared" si="253"/>
        <v>#VALUE!</v>
      </c>
      <c r="Y1700">
        <v>15.88</v>
      </c>
      <c r="Z1700" s="154" t="e">
        <f t="shared" si="254"/>
        <v>#VALUE!</v>
      </c>
      <c r="AA1700">
        <v>15.88</v>
      </c>
      <c r="AB1700" s="154" t="e">
        <f t="shared" si="255"/>
        <v>#VALUE!</v>
      </c>
      <c r="AC1700">
        <v>15.88</v>
      </c>
      <c r="AD1700" s="154" t="e">
        <f t="shared" si="256"/>
        <v>#VALUE!</v>
      </c>
      <c r="AE1700">
        <v>15.88</v>
      </c>
    </row>
    <row r="1701" spans="12:31" ht="15" x14ac:dyDescent="0.2">
      <c r="L1701" s="154" t="e">
        <f t="shared" si="247"/>
        <v>#VALUE!</v>
      </c>
      <c r="M1701">
        <v>15.89</v>
      </c>
      <c r="N1701" s="154" t="e">
        <f t="shared" si="248"/>
        <v>#VALUE!</v>
      </c>
      <c r="O1701">
        <v>15.89</v>
      </c>
      <c r="P1701" s="154" t="e">
        <f t="shared" si="249"/>
        <v>#VALUE!</v>
      </c>
      <c r="Q1701">
        <v>15.89</v>
      </c>
      <c r="R1701" s="154" t="e">
        <f t="shared" si="250"/>
        <v>#VALUE!</v>
      </c>
      <c r="S1701">
        <v>15.89</v>
      </c>
      <c r="T1701" s="154" t="e">
        <f t="shared" si="251"/>
        <v>#VALUE!</v>
      </c>
      <c r="U1701">
        <v>15.89</v>
      </c>
      <c r="V1701" s="154" t="e">
        <f t="shared" si="252"/>
        <v>#VALUE!</v>
      </c>
      <c r="W1701">
        <v>15.89</v>
      </c>
      <c r="X1701" s="157" t="e">
        <f t="shared" si="253"/>
        <v>#VALUE!</v>
      </c>
      <c r="Y1701">
        <v>15.89</v>
      </c>
      <c r="Z1701" s="154" t="e">
        <f t="shared" si="254"/>
        <v>#VALUE!</v>
      </c>
      <c r="AA1701">
        <v>15.89</v>
      </c>
      <c r="AB1701" s="154" t="e">
        <f t="shared" si="255"/>
        <v>#VALUE!</v>
      </c>
      <c r="AC1701">
        <v>15.89</v>
      </c>
      <c r="AD1701" s="154" t="e">
        <f t="shared" si="256"/>
        <v>#VALUE!</v>
      </c>
      <c r="AE1701">
        <v>15.89</v>
      </c>
    </row>
    <row r="1702" spans="12:31" ht="15" x14ac:dyDescent="0.2">
      <c r="L1702" s="154" t="e">
        <f t="shared" si="247"/>
        <v>#VALUE!</v>
      </c>
      <c r="M1702">
        <v>15.9</v>
      </c>
      <c r="N1702" s="154" t="e">
        <f t="shared" si="248"/>
        <v>#VALUE!</v>
      </c>
      <c r="O1702">
        <v>15.9</v>
      </c>
      <c r="P1702" s="154" t="e">
        <f t="shared" si="249"/>
        <v>#VALUE!</v>
      </c>
      <c r="Q1702">
        <v>15.9</v>
      </c>
      <c r="R1702" s="154" t="e">
        <f t="shared" si="250"/>
        <v>#VALUE!</v>
      </c>
      <c r="S1702">
        <v>15.9</v>
      </c>
      <c r="T1702" s="154" t="e">
        <f t="shared" si="251"/>
        <v>#VALUE!</v>
      </c>
      <c r="U1702">
        <v>15.9</v>
      </c>
      <c r="V1702" s="154" t="e">
        <f t="shared" si="252"/>
        <v>#VALUE!</v>
      </c>
      <c r="W1702">
        <v>15.9</v>
      </c>
      <c r="X1702" s="157" t="e">
        <f t="shared" si="253"/>
        <v>#VALUE!</v>
      </c>
      <c r="Y1702">
        <v>15.9</v>
      </c>
      <c r="Z1702" s="154" t="e">
        <f t="shared" si="254"/>
        <v>#VALUE!</v>
      </c>
      <c r="AA1702">
        <v>15.9</v>
      </c>
      <c r="AB1702" s="154" t="e">
        <f t="shared" si="255"/>
        <v>#VALUE!</v>
      </c>
      <c r="AC1702">
        <v>15.9</v>
      </c>
      <c r="AD1702" s="154" t="e">
        <f t="shared" si="256"/>
        <v>#VALUE!</v>
      </c>
      <c r="AE1702">
        <v>15.9</v>
      </c>
    </row>
    <row r="1703" spans="12:31" ht="15" x14ac:dyDescent="0.2">
      <c r="L1703" s="154" t="e">
        <f t="shared" si="247"/>
        <v>#VALUE!</v>
      </c>
      <c r="M1703">
        <v>15.91</v>
      </c>
      <c r="N1703" s="154" t="e">
        <f t="shared" si="248"/>
        <v>#VALUE!</v>
      </c>
      <c r="O1703">
        <v>15.91</v>
      </c>
      <c r="P1703" s="154" t="e">
        <f t="shared" si="249"/>
        <v>#VALUE!</v>
      </c>
      <c r="Q1703">
        <v>15.91</v>
      </c>
      <c r="R1703" s="154" t="e">
        <f t="shared" si="250"/>
        <v>#VALUE!</v>
      </c>
      <c r="S1703">
        <v>15.91</v>
      </c>
      <c r="T1703" s="154" t="e">
        <f t="shared" si="251"/>
        <v>#VALUE!</v>
      </c>
      <c r="U1703">
        <v>15.91</v>
      </c>
      <c r="V1703" s="154" t="e">
        <f t="shared" si="252"/>
        <v>#VALUE!</v>
      </c>
      <c r="W1703">
        <v>15.91</v>
      </c>
      <c r="X1703" s="157" t="e">
        <f t="shared" si="253"/>
        <v>#VALUE!</v>
      </c>
      <c r="Y1703">
        <v>15.91</v>
      </c>
      <c r="Z1703" s="154" t="e">
        <f t="shared" si="254"/>
        <v>#VALUE!</v>
      </c>
      <c r="AA1703">
        <v>15.91</v>
      </c>
      <c r="AB1703" s="154" t="e">
        <f t="shared" si="255"/>
        <v>#VALUE!</v>
      </c>
      <c r="AC1703">
        <v>15.91</v>
      </c>
      <c r="AD1703" s="154" t="e">
        <f t="shared" si="256"/>
        <v>#VALUE!</v>
      </c>
      <c r="AE1703">
        <v>15.91</v>
      </c>
    </row>
    <row r="1704" spans="12:31" ht="15" x14ac:dyDescent="0.2">
      <c r="L1704" s="154" t="e">
        <f t="shared" si="247"/>
        <v>#VALUE!</v>
      </c>
      <c r="M1704">
        <v>15.92</v>
      </c>
      <c r="N1704" s="154" t="e">
        <f t="shared" si="248"/>
        <v>#VALUE!</v>
      </c>
      <c r="O1704">
        <v>15.92</v>
      </c>
      <c r="P1704" s="154" t="e">
        <f t="shared" si="249"/>
        <v>#VALUE!</v>
      </c>
      <c r="Q1704">
        <v>15.92</v>
      </c>
      <c r="R1704" s="154" t="e">
        <f t="shared" si="250"/>
        <v>#VALUE!</v>
      </c>
      <c r="S1704">
        <v>15.92</v>
      </c>
      <c r="T1704" s="154" t="e">
        <f t="shared" si="251"/>
        <v>#VALUE!</v>
      </c>
      <c r="U1704">
        <v>15.92</v>
      </c>
      <c r="V1704" s="154" t="e">
        <f t="shared" si="252"/>
        <v>#VALUE!</v>
      </c>
      <c r="W1704">
        <v>15.92</v>
      </c>
      <c r="X1704" s="157" t="e">
        <f t="shared" si="253"/>
        <v>#VALUE!</v>
      </c>
      <c r="Y1704">
        <v>15.92</v>
      </c>
      <c r="Z1704" s="154" t="e">
        <f t="shared" si="254"/>
        <v>#VALUE!</v>
      </c>
      <c r="AA1704">
        <v>15.92</v>
      </c>
      <c r="AB1704" s="154" t="e">
        <f t="shared" si="255"/>
        <v>#VALUE!</v>
      </c>
      <c r="AC1704">
        <v>15.92</v>
      </c>
      <c r="AD1704" s="154" t="e">
        <f t="shared" si="256"/>
        <v>#VALUE!</v>
      </c>
      <c r="AE1704">
        <v>15.92</v>
      </c>
    </row>
    <row r="1705" spans="12:31" ht="15" x14ac:dyDescent="0.2">
      <c r="L1705" s="154" t="e">
        <f t="shared" si="247"/>
        <v>#VALUE!</v>
      </c>
      <c r="M1705">
        <v>15.93</v>
      </c>
      <c r="N1705" s="154" t="e">
        <f t="shared" si="248"/>
        <v>#VALUE!</v>
      </c>
      <c r="O1705">
        <v>15.93</v>
      </c>
      <c r="P1705" s="154" t="e">
        <f t="shared" si="249"/>
        <v>#VALUE!</v>
      </c>
      <c r="Q1705">
        <v>15.93</v>
      </c>
      <c r="R1705" s="154" t="e">
        <f t="shared" si="250"/>
        <v>#VALUE!</v>
      </c>
      <c r="S1705">
        <v>15.93</v>
      </c>
      <c r="T1705" s="154" t="e">
        <f t="shared" si="251"/>
        <v>#VALUE!</v>
      </c>
      <c r="U1705">
        <v>15.93</v>
      </c>
      <c r="V1705" s="154" t="e">
        <f t="shared" si="252"/>
        <v>#VALUE!</v>
      </c>
      <c r="W1705">
        <v>15.93</v>
      </c>
      <c r="X1705" s="157" t="e">
        <f t="shared" si="253"/>
        <v>#VALUE!</v>
      </c>
      <c r="Y1705">
        <v>15.93</v>
      </c>
      <c r="Z1705" s="154" t="e">
        <f t="shared" si="254"/>
        <v>#VALUE!</v>
      </c>
      <c r="AA1705">
        <v>15.93</v>
      </c>
      <c r="AB1705" s="154" t="e">
        <f t="shared" si="255"/>
        <v>#VALUE!</v>
      </c>
      <c r="AC1705">
        <v>15.93</v>
      </c>
      <c r="AD1705" s="154" t="e">
        <f t="shared" si="256"/>
        <v>#VALUE!</v>
      </c>
      <c r="AE1705">
        <v>15.93</v>
      </c>
    </row>
    <row r="1706" spans="12:31" ht="15" x14ac:dyDescent="0.2">
      <c r="L1706" s="154" t="e">
        <f t="shared" si="247"/>
        <v>#VALUE!</v>
      </c>
      <c r="M1706">
        <v>15.94</v>
      </c>
      <c r="N1706" s="154" t="e">
        <f t="shared" si="248"/>
        <v>#VALUE!</v>
      </c>
      <c r="O1706">
        <v>15.94</v>
      </c>
      <c r="P1706" s="154" t="e">
        <f t="shared" si="249"/>
        <v>#VALUE!</v>
      </c>
      <c r="Q1706">
        <v>15.94</v>
      </c>
      <c r="R1706" s="154" t="e">
        <f t="shared" si="250"/>
        <v>#VALUE!</v>
      </c>
      <c r="S1706">
        <v>15.94</v>
      </c>
      <c r="T1706" s="154" t="e">
        <f t="shared" si="251"/>
        <v>#VALUE!</v>
      </c>
      <c r="U1706">
        <v>15.94</v>
      </c>
      <c r="V1706" s="154" t="e">
        <f t="shared" si="252"/>
        <v>#VALUE!</v>
      </c>
      <c r="W1706">
        <v>15.94</v>
      </c>
      <c r="X1706" s="157" t="e">
        <f t="shared" si="253"/>
        <v>#VALUE!</v>
      </c>
      <c r="Y1706">
        <v>15.94</v>
      </c>
      <c r="Z1706" s="154" t="e">
        <f t="shared" si="254"/>
        <v>#VALUE!</v>
      </c>
      <c r="AA1706">
        <v>15.94</v>
      </c>
      <c r="AB1706" s="154" t="e">
        <f t="shared" si="255"/>
        <v>#VALUE!</v>
      </c>
      <c r="AC1706">
        <v>15.94</v>
      </c>
      <c r="AD1706" s="154" t="e">
        <f t="shared" si="256"/>
        <v>#VALUE!</v>
      </c>
      <c r="AE1706">
        <v>15.94</v>
      </c>
    </row>
    <row r="1707" spans="12:31" ht="15" x14ac:dyDescent="0.2">
      <c r="L1707" s="154" t="e">
        <f t="shared" si="247"/>
        <v>#VALUE!</v>
      </c>
      <c r="M1707">
        <v>15.95</v>
      </c>
      <c r="N1707" s="154" t="e">
        <f t="shared" si="248"/>
        <v>#VALUE!</v>
      </c>
      <c r="O1707">
        <v>15.95</v>
      </c>
      <c r="P1707" s="154" t="e">
        <f t="shared" si="249"/>
        <v>#VALUE!</v>
      </c>
      <c r="Q1707">
        <v>15.95</v>
      </c>
      <c r="R1707" s="154" t="e">
        <f t="shared" si="250"/>
        <v>#VALUE!</v>
      </c>
      <c r="S1707">
        <v>15.95</v>
      </c>
      <c r="T1707" s="154" t="e">
        <f t="shared" si="251"/>
        <v>#VALUE!</v>
      </c>
      <c r="U1707">
        <v>15.95</v>
      </c>
      <c r="V1707" s="154" t="e">
        <f t="shared" si="252"/>
        <v>#VALUE!</v>
      </c>
      <c r="W1707">
        <v>15.95</v>
      </c>
      <c r="X1707" s="157" t="e">
        <f t="shared" si="253"/>
        <v>#VALUE!</v>
      </c>
      <c r="Y1707">
        <v>15.95</v>
      </c>
      <c r="Z1707" s="154" t="e">
        <f t="shared" si="254"/>
        <v>#VALUE!</v>
      </c>
      <c r="AA1707">
        <v>15.95</v>
      </c>
      <c r="AB1707" s="154" t="e">
        <f t="shared" si="255"/>
        <v>#VALUE!</v>
      </c>
      <c r="AC1707">
        <v>15.95</v>
      </c>
      <c r="AD1707" s="154" t="e">
        <f t="shared" si="256"/>
        <v>#VALUE!</v>
      </c>
      <c r="AE1707">
        <v>15.95</v>
      </c>
    </row>
    <row r="1708" spans="12:31" ht="15" x14ac:dyDescent="0.2">
      <c r="L1708" s="154" t="e">
        <f t="shared" si="247"/>
        <v>#VALUE!</v>
      </c>
      <c r="M1708">
        <v>15.96</v>
      </c>
      <c r="N1708" s="154" t="e">
        <f t="shared" si="248"/>
        <v>#VALUE!</v>
      </c>
      <c r="O1708">
        <v>15.96</v>
      </c>
      <c r="P1708" s="154" t="e">
        <f t="shared" si="249"/>
        <v>#VALUE!</v>
      </c>
      <c r="Q1708">
        <v>15.96</v>
      </c>
      <c r="R1708" s="154" t="e">
        <f t="shared" si="250"/>
        <v>#VALUE!</v>
      </c>
      <c r="S1708">
        <v>15.96</v>
      </c>
      <c r="T1708" s="154" t="e">
        <f t="shared" si="251"/>
        <v>#VALUE!</v>
      </c>
      <c r="U1708">
        <v>15.96</v>
      </c>
      <c r="V1708" s="154" t="e">
        <f t="shared" si="252"/>
        <v>#VALUE!</v>
      </c>
      <c r="W1708">
        <v>15.96</v>
      </c>
      <c r="X1708" s="157" t="e">
        <f t="shared" si="253"/>
        <v>#VALUE!</v>
      </c>
      <c r="Y1708">
        <v>15.96</v>
      </c>
      <c r="Z1708" s="154" t="e">
        <f t="shared" si="254"/>
        <v>#VALUE!</v>
      </c>
      <c r="AA1708">
        <v>15.96</v>
      </c>
      <c r="AB1708" s="154" t="e">
        <f t="shared" si="255"/>
        <v>#VALUE!</v>
      </c>
      <c r="AC1708">
        <v>15.96</v>
      </c>
      <c r="AD1708" s="154" t="e">
        <f t="shared" si="256"/>
        <v>#VALUE!</v>
      </c>
      <c r="AE1708">
        <v>15.96</v>
      </c>
    </row>
    <row r="1709" spans="12:31" ht="15" x14ac:dyDescent="0.2">
      <c r="L1709" s="154" t="e">
        <f t="shared" si="247"/>
        <v>#VALUE!</v>
      </c>
      <c r="M1709">
        <v>15.97</v>
      </c>
      <c r="N1709" s="154" t="e">
        <f t="shared" si="248"/>
        <v>#VALUE!</v>
      </c>
      <c r="O1709">
        <v>15.97</v>
      </c>
      <c r="P1709" s="154" t="e">
        <f t="shared" si="249"/>
        <v>#VALUE!</v>
      </c>
      <c r="Q1709">
        <v>15.97</v>
      </c>
      <c r="R1709" s="154" t="e">
        <f t="shared" si="250"/>
        <v>#VALUE!</v>
      </c>
      <c r="S1709">
        <v>15.97</v>
      </c>
      <c r="T1709" s="154" t="e">
        <f t="shared" si="251"/>
        <v>#VALUE!</v>
      </c>
      <c r="U1709">
        <v>15.97</v>
      </c>
      <c r="V1709" s="154" t="e">
        <f t="shared" si="252"/>
        <v>#VALUE!</v>
      </c>
      <c r="W1709">
        <v>15.97</v>
      </c>
      <c r="X1709" s="157" t="e">
        <f t="shared" si="253"/>
        <v>#VALUE!</v>
      </c>
      <c r="Y1709">
        <v>15.97</v>
      </c>
      <c r="Z1709" s="154" t="e">
        <f t="shared" si="254"/>
        <v>#VALUE!</v>
      </c>
      <c r="AA1709">
        <v>15.97</v>
      </c>
      <c r="AB1709" s="154" t="e">
        <f t="shared" si="255"/>
        <v>#VALUE!</v>
      </c>
      <c r="AC1709">
        <v>15.97</v>
      </c>
      <c r="AD1709" s="154" t="e">
        <f t="shared" si="256"/>
        <v>#VALUE!</v>
      </c>
      <c r="AE1709">
        <v>15.97</v>
      </c>
    </row>
    <row r="1710" spans="12:31" ht="15" x14ac:dyDescent="0.2">
      <c r="L1710" s="154" t="e">
        <f t="shared" si="247"/>
        <v>#VALUE!</v>
      </c>
      <c r="M1710">
        <v>15.98</v>
      </c>
      <c r="N1710" s="154" t="e">
        <f t="shared" si="248"/>
        <v>#VALUE!</v>
      </c>
      <c r="O1710">
        <v>15.98</v>
      </c>
      <c r="P1710" s="154" t="e">
        <f t="shared" si="249"/>
        <v>#VALUE!</v>
      </c>
      <c r="Q1710">
        <v>15.98</v>
      </c>
      <c r="R1710" s="154" t="e">
        <f t="shared" si="250"/>
        <v>#VALUE!</v>
      </c>
      <c r="S1710">
        <v>15.98</v>
      </c>
      <c r="T1710" s="154" t="e">
        <f t="shared" si="251"/>
        <v>#VALUE!</v>
      </c>
      <c r="U1710">
        <v>15.98</v>
      </c>
      <c r="V1710" s="154" t="e">
        <f t="shared" si="252"/>
        <v>#VALUE!</v>
      </c>
      <c r="W1710">
        <v>15.98</v>
      </c>
      <c r="X1710" s="157" t="e">
        <f t="shared" si="253"/>
        <v>#VALUE!</v>
      </c>
      <c r="Y1710">
        <v>15.98</v>
      </c>
      <c r="Z1710" s="154" t="e">
        <f t="shared" si="254"/>
        <v>#VALUE!</v>
      </c>
      <c r="AA1710">
        <v>15.98</v>
      </c>
      <c r="AB1710" s="154" t="e">
        <f t="shared" si="255"/>
        <v>#VALUE!</v>
      </c>
      <c r="AC1710">
        <v>15.98</v>
      </c>
      <c r="AD1710" s="154" t="e">
        <f t="shared" si="256"/>
        <v>#VALUE!</v>
      </c>
      <c r="AE1710">
        <v>15.98</v>
      </c>
    </row>
    <row r="1711" spans="12:31" ht="15" x14ac:dyDescent="0.2">
      <c r="L1711" s="154" t="e">
        <f t="shared" si="247"/>
        <v>#VALUE!</v>
      </c>
      <c r="M1711">
        <v>15.99</v>
      </c>
      <c r="N1711" s="154" t="e">
        <f t="shared" si="248"/>
        <v>#VALUE!</v>
      </c>
      <c r="O1711">
        <v>15.99</v>
      </c>
      <c r="P1711" s="154" t="e">
        <f t="shared" si="249"/>
        <v>#VALUE!</v>
      </c>
      <c r="Q1711">
        <v>15.99</v>
      </c>
      <c r="R1711" s="154" t="e">
        <f t="shared" si="250"/>
        <v>#VALUE!</v>
      </c>
      <c r="S1711">
        <v>15.99</v>
      </c>
      <c r="T1711" s="154" t="e">
        <f t="shared" si="251"/>
        <v>#VALUE!</v>
      </c>
      <c r="U1711">
        <v>15.99</v>
      </c>
      <c r="V1711" s="154" t="e">
        <f t="shared" si="252"/>
        <v>#VALUE!</v>
      </c>
      <c r="W1711">
        <v>15.99</v>
      </c>
      <c r="X1711" s="157" t="e">
        <f t="shared" si="253"/>
        <v>#VALUE!</v>
      </c>
      <c r="Y1711">
        <v>15.99</v>
      </c>
      <c r="Z1711" s="154" t="e">
        <f t="shared" si="254"/>
        <v>#VALUE!</v>
      </c>
      <c r="AA1711">
        <v>15.99</v>
      </c>
      <c r="AB1711" s="154" t="e">
        <f t="shared" si="255"/>
        <v>#VALUE!</v>
      </c>
      <c r="AC1711">
        <v>15.99</v>
      </c>
      <c r="AD1711" s="154" t="e">
        <f t="shared" si="256"/>
        <v>#VALUE!</v>
      </c>
      <c r="AE1711">
        <v>15.99</v>
      </c>
    </row>
    <row r="1712" spans="12:31" ht="15" x14ac:dyDescent="0.2">
      <c r="L1712" s="154" t="e">
        <f t="shared" si="247"/>
        <v>#VALUE!</v>
      </c>
      <c r="M1712">
        <v>16</v>
      </c>
      <c r="N1712" s="154" t="e">
        <f t="shared" si="248"/>
        <v>#VALUE!</v>
      </c>
      <c r="O1712">
        <v>16</v>
      </c>
      <c r="P1712" s="154" t="e">
        <f t="shared" si="249"/>
        <v>#VALUE!</v>
      </c>
      <c r="Q1712">
        <v>16</v>
      </c>
      <c r="R1712" s="154" t="e">
        <f t="shared" si="250"/>
        <v>#VALUE!</v>
      </c>
      <c r="S1712">
        <v>16</v>
      </c>
      <c r="T1712" s="154" t="e">
        <f t="shared" si="251"/>
        <v>#VALUE!</v>
      </c>
      <c r="U1712">
        <v>16</v>
      </c>
      <c r="V1712" s="154" t="e">
        <f t="shared" si="252"/>
        <v>#VALUE!</v>
      </c>
      <c r="W1712">
        <v>16</v>
      </c>
      <c r="X1712" s="157" t="e">
        <f t="shared" si="253"/>
        <v>#VALUE!</v>
      </c>
      <c r="Y1712">
        <v>16</v>
      </c>
      <c r="Z1712" s="154" t="e">
        <f t="shared" si="254"/>
        <v>#VALUE!</v>
      </c>
      <c r="AA1712">
        <v>16</v>
      </c>
      <c r="AB1712" s="154" t="e">
        <f t="shared" si="255"/>
        <v>#VALUE!</v>
      </c>
      <c r="AC1712">
        <v>16</v>
      </c>
      <c r="AD1712" s="154" t="e">
        <f t="shared" si="256"/>
        <v>#VALUE!</v>
      </c>
      <c r="AE1712">
        <v>16</v>
      </c>
    </row>
    <row r="1713" spans="12:31" ht="15" x14ac:dyDescent="0.2">
      <c r="L1713" s="154" t="e">
        <f t="shared" ref="L1713:L1776" si="257">((1.486/$D$33)*((((PI()*($D$46/12)^2)/4)-((($D$46/12)/2)^2*((2*ACOS(((($D$46/12)/2)-(($D$46/12)-(M1713/12)))/(($D$46/12)/2)))-SIN(2*ACOS(((($D$46/12)/2)-(($D$46/12)-(M1713/12)))/(($D$46/12)/2))))/2))/((PI()*($D$46/12))-((2*ACOS(((($D$46/12)/2)-(($D$46/12)-(M1713/12)))/(($D$46/12)/2)))*(($D$46/12)/2))))^(2/3)*$H$17^0.5)*(((PI()*($D$46/12)^2)/4)-((($D$46/12)/2)^2*((2*ACOS(((($D$46/12)/2)-(($D$46/12)-(M1713/12)))/(($D$46/12)/2)))-SIN(2*ACOS(((($D$46/12)/2)-(($D$46/12)-(M1713/12)))/(($D$46/12)/2))))/2))</f>
        <v>#VALUE!</v>
      </c>
      <c r="M1713">
        <v>16.010000000000002</v>
      </c>
      <c r="N1713" s="154" t="e">
        <f t="shared" ref="N1713:N1776" si="258">((1.486/$D$34)*((((PI()*($D$47/12)^2)/4)-((($D$47/12)/2)^2*((2*ACOS(((($D$47/12)/2)-(($D$47/12)-(O1713/12)))/(($D$47/12)/2)))-SIN(2*ACOS(((($D$47/12)/2)-(($D$47/12)-(O1713/12)))/(($D$47/12)/2))))/2))/((PI()*($D$47/12))-((2*ACOS(((($D$47/12)/2)-(($D$47/12)-(O1713/12)))/(($D$47/12)/2)))*(($D$47/12)/2))))^(2/3)*$H$18^0.5)*(((PI()*($D$47/12)^2)/4)-((($D$47/12)/2)^2*((2*ACOS(((($D$47/12)/2)-(($D$47/12)-(O1713/12)))/(($D$47/12)/2)))-SIN(2*ACOS(((($D$47/12)/2)-(($D$47/12)-(O1713/12)))/(($D$47/12)/2))))/2))</f>
        <v>#VALUE!</v>
      </c>
      <c r="O1713">
        <v>16.010000000000002</v>
      </c>
      <c r="P1713" s="154" t="e">
        <f t="shared" ref="P1713:P1776" si="259">((1.486/$D$35)*((((PI()*($D$48/12)^2)/4)-((($D$48/12)/2)^2*((2*ACOS(((($D$48/12)/2)-(($D$48/12)-(Q1713/12)))/(($D$48/12)/2)))-SIN(2*ACOS(((($D$48/12)/2)-(($D$48/12)-(Q1713/12)))/(($D$48/12)/2))))/2))/((PI()*($D$48/12))-((2*ACOS(((($D$48/12)/2)-(($D$48/12)-(Q1713/12)))/(($D$48/12)/2)))*(($D$48/12)/2))))^(2/3)*$H$19^0.5)*(((PI()*($D$48/12)^2)/4)-((($D$48/12)/2)^2*((2*ACOS(((($D$48/12)/2)-(($D$48/12)-(Q1713/12)))/(($D$48/12)/2)))-SIN(2*ACOS(((($D$48/12)/2)-(($D$48/12)-(Q1713/12)))/(($D$48/12)/2))))/2))</f>
        <v>#VALUE!</v>
      </c>
      <c r="Q1713">
        <v>16.010000000000002</v>
      </c>
      <c r="R1713" s="154" t="e">
        <f t="shared" ref="R1713:R1776" si="260">((1.486/$D$36)*((((PI()*($D$49/12)^2)/4)-((($D$49/12)/2)^2*((2*ACOS(((($D$49/12)/2)-(($D$49/12)-(S1713/12)))/(($D$49/12)/2)))-SIN(2*ACOS(((($D$49/12)/2)-(($D$49/12)-(S1713/12)))/(($D$49/12)/2))))/2))/((PI()*($D$49/12))-((2*ACOS(((($D$49/12)/2)-(($D$49/12)-(S1713/12)))/(($D$49/12)/2)))*(($D$49/12)/2))))^(2/3)*$H$20^0.5)*(((PI()*($D$49/12)^2)/4)-((($D$49/12)/2)^2*((2*ACOS(((($D$49/12)/2)-(($D$49/12)-(S1713/12)))/(($D$49/12)/2)))-SIN(2*ACOS(((($D$49/12)/2)-(($D$49/12)-(S1713/12)))/(($D$49/12)/2))))/2))</f>
        <v>#VALUE!</v>
      </c>
      <c r="S1713">
        <v>16.010000000000002</v>
      </c>
      <c r="T1713" s="154" t="e">
        <f t="shared" ref="T1713:T1776" si="261">((1.486/$D$37)*((((PI()*($D$50/12)^2)/4)-((($D$50/12)/2)^2*((2*ACOS(((($D$50/12)/2)-(($D$50/12)-(U1713/12)))/(($D$50/12)/2)))-SIN(2*ACOS(((($D$50/12)/2)-(($D$50/12)-(U1713/12)))/(($D$50/12)/2))))/2))/((PI()*($D$50/12))-((2*ACOS(((($D$50/12)/2)-(($D$50/12)-(U1713/12)))/(($D$50/12)/2)))*(($D$50/12)/2))))^(2/3)*$H$21^0.5)*(((PI()*($D$50/12)^2)/4)-((($D$50/12)/2)^2*((2*ACOS(((($D$50/12)/2)-(($D$50/12)-(U1713/12)))/(($D$50/12)/2)))-SIN(2*ACOS(((($D$50/12)/2)-(($D$50/12)-(U1713/12)))/(($D$50/12)/2))))/2))</f>
        <v>#VALUE!</v>
      </c>
      <c r="U1713">
        <v>16.010000000000002</v>
      </c>
      <c r="V1713" s="154" t="e">
        <f t="shared" ref="V1713:V1776" si="262">((1.486/$D$38)*((((PI()*($D$51/12)^2)/4)-((($D$51/12)/2)^2*((2*ACOS(((($D$51/12)/2)-(($D$51/12)-(W1713/12)))/(($D$51/12)/2)))-SIN(2*ACOS(((($D$51/12)/2)-(($D$51/12)-(W1713/12)))/(($D$51/12)/2))))/2))/((PI()*($D$51/12))-((2*ACOS(((($D$51/12)/2)-(($D$51/12)-(W1713/12)))/(($D$51/12)/2)))*(($D$51/12)/2))))^(2/3)*$H$22^0.5)*(((PI()*($D$51/12)^2)/4)-((($D$51/12)/2)^2*((2*ACOS(((($D$51/12)/2)-(($D$51/12)-(W1713/12)))/(($D$51/12)/2)))-SIN(2*ACOS(((($D$51/12)/2)-(($D$51/12)-(W1713/12)))/(($D$51/12)/2))))/2))</f>
        <v>#VALUE!</v>
      </c>
      <c r="W1713">
        <v>16.010000000000002</v>
      </c>
      <c r="X1713" s="157" t="e">
        <f t="shared" ref="X1713:X1776" si="263">((1.486/$D$39)*((((PI()*($D$52/12)^2)/4)-((($D$52/12)/2)^2*((2*ACOS(((($D$52/12)/2)-(($D$52/12)-(Y1713/12)))/(($D$52/12)/2)))-SIN(2*ACOS(((($D$52/12)/2)-(($D$52/12)-(Y1713/12)))/(($D$52/12)/2))))/2))/((PI()*($D$52/12))-((2*ACOS(((($D$52/12)/2)-(($D$52/12)-(Y1713/12)))/(($D$52/12)/2)))*(($D$52/12)/2))))^(2/3)*$H$23^0.5)*(((PI()*($D$52/12)^2)/4)-((($D$52/12)/2)^2*((2*ACOS(((($D$52/12)/2)-(($D$52/12)-(Y1713/12)))/(($D$52/12)/2)))-SIN(2*ACOS(((($D$52/12)/2)-(($D$52/12)-(Y1713/12)))/(($D$52/12)/2))))/2))</f>
        <v>#VALUE!</v>
      </c>
      <c r="Y1713">
        <v>16.010000000000002</v>
      </c>
      <c r="Z1713" s="154" t="e">
        <f t="shared" ref="Z1713:Z1776" si="264">((1.486/$D$40)*((((PI()*($D$53/12)^2)/4)-((($D$53/12)/2)^2*((2*ACOS(((($D$53/12)/2)-(($D$53/12)-(AA1713/12)))/(($D$53/12)/2)))-SIN(2*ACOS(((($D$53/12)/2)-(($D$53/12)-(AA1713/12)))/(($D$53/12)/2))))/2))/((PI()*($D$53/12))-((2*ACOS(((($D$53/12)/2)-(($D$53/12)-(AA1713/12)))/(($D$53/12)/2)))*(($D$53/12)/2))))^(2/3)*$H$24^0.5)*(((PI()*($D$53/12)^2)/4)-((($D$53/12)/2)^2*((2*ACOS(((($D$53/12)/2)-(($D$53/12)-(AA1713/12)))/(($D$53/12)/2)))-SIN(2*ACOS(((($D$53/12)/2)-(($D$53/12)-(AA1713/12)))/(($D$53/12)/2))))/2))</f>
        <v>#VALUE!</v>
      </c>
      <c r="AA1713">
        <v>16.010000000000002</v>
      </c>
      <c r="AB1713" s="154" t="e">
        <f t="shared" ref="AB1713:AB1776" si="265">((1.486/$D$41)*((((PI()*($D$54/12)^2)/4)-((($D$54/12)/2)^2*((2*ACOS(((($D$54/12)/2)-(($D$54/12)-(AC1713/12)))/(($D$54/12)/2)))-SIN(2*ACOS(((($D$54/12)/2)-(($D$54/12)-(AC1713/12)))/(($D$54/12)/2))))/2))/((PI()*($D$54/12))-((2*ACOS(((($D$54/12)/2)-(($D$54/12)-(AC1713/12)))/(($D$54/12)/2)))*(($D$54/12)/2))))^(2/3)*$H$25^0.5)*(((PI()*($D$54/12)^2)/4)-((($D$54/12)/2)^2*((2*ACOS(((($D$54/12)/2)-(($D$54/12)-(AC1713/12)))/(($D$54/12)/2)))-SIN(2*ACOS(((($D$54/12)/2)-(($D$54/12)-(AC1713/12)))/(($D$54/12)/2))))/2))</f>
        <v>#VALUE!</v>
      </c>
      <c r="AC1713">
        <v>16.010000000000002</v>
      </c>
      <c r="AD1713" s="154" t="e">
        <f t="shared" ref="AD1713:AD1776" si="266">((1.486/$D$42)*((((PI()*($D$55/12)^2)/4)-((($D$55/12)/2)^2*((2*ACOS(((($D$55/12)/2)-(($D$55/12)-(AE1713/12)))/(($D$55/12)/2)))-SIN(2*ACOS(((($D$55/12)/2)-(($D$55/12)-(AE1713/12)))/(($D$55/12)/2))))/2))/((PI()*($D$55/12))-((2*ACOS(((($D$55/12)/2)-(($D$55/12)-(AE1713/12)))/(($D$55/12)/2)))*(($D$55/12)/2))))^(2/3)*$H$26^0.5)*(((PI()*($D$55/12)^2)/4)-((($D$55/12)/2)^2*((2*ACOS(((($D$55/12)/2)-(($D$55/12)-(AE1713/12)))/(($D$55/12)/2)))-SIN(2*ACOS(((($D$55/12)/2)-(($D$55/12)-(AE1713/12)))/(($D$55/12)/2))))/2))</f>
        <v>#VALUE!</v>
      </c>
      <c r="AE1713">
        <v>16.010000000000002</v>
      </c>
    </row>
    <row r="1714" spans="12:31" ht="15" x14ac:dyDescent="0.2">
      <c r="L1714" s="154" t="e">
        <f t="shared" si="257"/>
        <v>#VALUE!</v>
      </c>
      <c r="M1714">
        <v>16.02</v>
      </c>
      <c r="N1714" s="154" t="e">
        <f t="shared" si="258"/>
        <v>#VALUE!</v>
      </c>
      <c r="O1714">
        <v>16.02</v>
      </c>
      <c r="P1714" s="154" t="e">
        <f t="shared" si="259"/>
        <v>#VALUE!</v>
      </c>
      <c r="Q1714">
        <v>16.02</v>
      </c>
      <c r="R1714" s="154" t="e">
        <f t="shared" si="260"/>
        <v>#VALUE!</v>
      </c>
      <c r="S1714">
        <v>16.02</v>
      </c>
      <c r="T1714" s="154" t="e">
        <f t="shared" si="261"/>
        <v>#VALUE!</v>
      </c>
      <c r="U1714">
        <v>16.02</v>
      </c>
      <c r="V1714" s="154" t="e">
        <f t="shared" si="262"/>
        <v>#VALUE!</v>
      </c>
      <c r="W1714">
        <v>16.02</v>
      </c>
      <c r="X1714" s="157" t="e">
        <f t="shared" si="263"/>
        <v>#VALUE!</v>
      </c>
      <c r="Y1714">
        <v>16.02</v>
      </c>
      <c r="Z1714" s="154" t="e">
        <f t="shared" si="264"/>
        <v>#VALUE!</v>
      </c>
      <c r="AA1714">
        <v>16.02</v>
      </c>
      <c r="AB1714" s="154" t="e">
        <f t="shared" si="265"/>
        <v>#VALUE!</v>
      </c>
      <c r="AC1714">
        <v>16.02</v>
      </c>
      <c r="AD1714" s="154" t="e">
        <f t="shared" si="266"/>
        <v>#VALUE!</v>
      </c>
      <c r="AE1714">
        <v>16.02</v>
      </c>
    </row>
    <row r="1715" spans="12:31" ht="15" x14ac:dyDescent="0.2">
      <c r="L1715" s="154" t="e">
        <f t="shared" si="257"/>
        <v>#VALUE!</v>
      </c>
      <c r="M1715">
        <v>16.03</v>
      </c>
      <c r="N1715" s="154" t="e">
        <f t="shared" si="258"/>
        <v>#VALUE!</v>
      </c>
      <c r="O1715">
        <v>16.03</v>
      </c>
      <c r="P1715" s="154" t="e">
        <f t="shared" si="259"/>
        <v>#VALUE!</v>
      </c>
      <c r="Q1715">
        <v>16.03</v>
      </c>
      <c r="R1715" s="154" t="e">
        <f t="shared" si="260"/>
        <v>#VALUE!</v>
      </c>
      <c r="S1715">
        <v>16.03</v>
      </c>
      <c r="T1715" s="154" t="e">
        <f t="shared" si="261"/>
        <v>#VALUE!</v>
      </c>
      <c r="U1715">
        <v>16.03</v>
      </c>
      <c r="V1715" s="154" t="e">
        <f t="shared" si="262"/>
        <v>#VALUE!</v>
      </c>
      <c r="W1715">
        <v>16.03</v>
      </c>
      <c r="X1715" s="157" t="e">
        <f t="shared" si="263"/>
        <v>#VALUE!</v>
      </c>
      <c r="Y1715">
        <v>16.03</v>
      </c>
      <c r="Z1715" s="154" t="e">
        <f t="shared" si="264"/>
        <v>#VALUE!</v>
      </c>
      <c r="AA1715">
        <v>16.03</v>
      </c>
      <c r="AB1715" s="154" t="e">
        <f t="shared" si="265"/>
        <v>#VALUE!</v>
      </c>
      <c r="AC1715">
        <v>16.03</v>
      </c>
      <c r="AD1715" s="154" t="e">
        <f t="shared" si="266"/>
        <v>#VALUE!</v>
      </c>
      <c r="AE1715">
        <v>16.03</v>
      </c>
    </row>
    <row r="1716" spans="12:31" ht="15" x14ac:dyDescent="0.2">
      <c r="L1716" s="154" t="e">
        <f t="shared" si="257"/>
        <v>#VALUE!</v>
      </c>
      <c r="M1716">
        <v>16.04</v>
      </c>
      <c r="N1716" s="154" t="e">
        <f t="shared" si="258"/>
        <v>#VALUE!</v>
      </c>
      <c r="O1716">
        <v>16.04</v>
      </c>
      <c r="P1716" s="154" t="e">
        <f t="shared" si="259"/>
        <v>#VALUE!</v>
      </c>
      <c r="Q1716">
        <v>16.04</v>
      </c>
      <c r="R1716" s="154" t="e">
        <f t="shared" si="260"/>
        <v>#VALUE!</v>
      </c>
      <c r="S1716">
        <v>16.04</v>
      </c>
      <c r="T1716" s="154" t="e">
        <f t="shared" si="261"/>
        <v>#VALUE!</v>
      </c>
      <c r="U1716">
        <v>16.04</v>
      </c>
      <c r="V1716" s="154" t="e">
        <f t="shared" si="262"/>
        <v>#VALUE!</v>
      </c>
      <c r="W1716">
        <v>16.04</v>
      </c>
      <c r="X1716" s="157" t="e">
        <f t="shared" si="263"/>
        <v>#VALUE!</v>
      </c>
      <c r="Y1716">
        <v>16.04</v>
      </c>
      <c r="Z1716" s="154" t="e">
        <f t="shared" si="264"/>
        <v>#VALUE!</v>
      </c>
      <c r="AA1716">
        <v>16.04</v>
      </c>
      <c r="AB1716" s="154" t="e">
        <f t="shared" si="265"/>
        <v>#VALUE!</v>
      </c>
      <c r="AC1716">
        <v>16.04</v>
      </c>
      <c r="AD1716" s="154" t="e">
        <f t="shared" si="266"/>
        <v>#VALUE!</v>
      </c>
      <c r="AE1716">
        <v>16.04</v>
      </c>
    </row>
    <row r="1717" spans="12:31" ht="15" x14ac:dyDescent="0.2">
      <c r="L1717" s="154" t="e">
        <f t="shared" si="257"/>
        <v>#VALUE!</v>
      </c>
      <c r="M1717">
        <v>16.05</v>
      </c>
      <c r="N1717" s="154" t="e">
        <f t="shared" si="258"/>
        <v>#VALUE!</v>
      </c>
      <c r="O1717">
        <v>16.05</v>
      </c>
      <c r="P1717" s="154" t="e">
        <f t="shared" si="259"/>
        <v>#VALUE!</v>
      </c>
      <c r="Q1717">
        <v>16.05</v>
      </c>
      <c r="R1717" s="154" t="e">
        <f t="shared" si="260"/>
        <v>#VALUE!</v>
      </c>
      <c r="S1717">
        <v>16.05</v>
      </c>
      <c r="T1717" s="154" t="e">
        <f t="shared" si="261"/>
        <v>#VALUE!</v>
      </c>
      <c r="U1717">
        <v>16.05</v>
      </c>
      <c r="V1717" s="154" t="e">
        <f t="shared" si="262"/>
        <v>#VALUE!</v>
      </c>
      <c r="W1717">
        <v>16.05</v>
      </c>
      <c r="X1717" s="157" t="e">
        <f t="shared" si="263"/>
        <v>#VALUE!</v>
      </c>
      <c r="Y1717">
        <v>16.05</v>
      </c>
      <c r="Z1717" s="154" t="e">
        <f t="shared" si="264"/>
        <v>#VALUE!</v>
      </c>
      <c r="AA1717">
        <v>16.05</v>
      </c>
      <c r="AB1717" s="154" t="e">
        <f t="shared" si="265"/>
        <v>#VALUE!</v>
      </c>
      <c r="AC1717">
        <v>16.05</v>
      </c>
      <c r="AD1717" s="154" t="e">
        <f t="shared" si="266"/>
        <v>#VALUE!</v>
      </c>
      <c r="AE1717">
        <v>16.05</v>
      </c>
    </row>
    <row r="1718" spans="12:31" ht="15" x14ac:dyDescent="0.2">
      <c r="L1718" s="154" t="e">
        <f t="shared" si="257"/>
        <v>#VALUE!</v>
      </c>
      <c r="M1718">
        <v>16.059999999999999</v>
      </c>
      <c r="N1718" s="154" t="e">
        <f t="shared" si="258"/>
        <v>#VALUE!</v>
      </c>
      <c r="O1718">
        <v>16.059999999999999</v>
      </c>
      <c r="P1718" s="154" t="e">
        <f t="shared" si="259"/>
        <v>#VALUE!</v>
      </c>
      <c r="Q1718">
        <v>16.059999999999999</v>
      </c>
      <c r="R1718" s="154" t="e">
        <f t="shared" si="260"/>
        <v>#VALUE!</v>
      </c>
      <c r="S1718">
        <v>16.059999999999999</v>
      </c>
      <c r="T1718" s="154" t="e">
        <f t="shared" si="261"/>
        <v>#VALUE!</v>
      </c>
      <c r="U1718">
        <v>16.059999999999999</v>
      </c>
      <c r="V1718" s="154" t="e">
        <f t="shared" si="262"/>
        <v>#VALUE!</v>
      </c>
      <c r="W1718">
        <v>16.059999999999999</v>
      </c>
      <c r="X1718" s="157" t="e">
        <f t="shared" si="263"/>
        <v>#VALUE!</v>
      </c>
      <c r="Y1718">
        <v>16.059999999999999</v>
      </c>
      <c r="Z1718" s="154" t="e">
        <f t="shared" si="264"/>
        <v>#VALUE!</v>
      </c>
      <c r="AA1718">
        <v>16.059999999999999</v>
      </c>
      <c r="AB1718" s="154" t="e">
        <f t="shared" si="265"/>
        <v>#VALUE!</v>
      </c>
      <c r="AC1718">
        <v>16.059999999999999</v>
      </c>
      <c r="AD1718" s="154" t="e">
        <f t="shared" si="266"/>
        <v>#VALUE!</v>
      </c>
      <c r="AE1718">
        <v>16.059999999999999</v>
      </c>
    </row>
    <row r="1719" spans="12:31" ht="15" x14ac:dyDescent="0.2">
      <c r="L1719" s="154" t="e">
        <f t="shared" si="257"/>
        <v>#VALUE!</v>
      </c>
      <c r="M1719">
        <v>16.07</v>
      </c>
      <c r="N1719" s="154" t="e">
        <f t="shared" si="258"/>
        <v>#VALUE!</v>
      </c>
      <c r="O1719">
        <v>16.07</v>
      </c>
      <c r="P1719" s="154" t="e">
        <f t="shared" si="259"/>
        <v>#VALUE!</v>
      </c>
      <c r="Q1719">
        <v>16.07</v>
      </c>
      <c r="R1719" s="154" t="e">
        <f t="shared" si="260"/>
        <v>#VALUE!</v>
      </c>
      <c r="S1719">
        <v>16.07</v>
      </c>
      <c r="T1719" s="154" t="e">
        <f t="shared" si="261"/>
        <v>#VALUE!</v>
      </c>
      <c r="U1719">
        <v>16.07</v>
      </c>
      <c r="V1719" s="154" t="e">
        <f t="shared" si="262"/>
        <v>#VALUE!</v>
      </c>
      <c r="W1719">
        <v>16.07</v>
      </c>
      <c r="X1719" s="157" t="e">
        <f t="shared" si="263"/>
        <v>#VALUE!</v>
      </c>
      <c r="Y1719">
        <v>16.07</v>
      </c>
      <c r="Z1719" s="154" t="e">
        <f t="shared" si="264"/>
        <v>#VALUE!</v>
      </c>
      <c r="AA1719">
        <v>16.07</v>
      </c>
      <c r="AB1719" s="154" t="e">
        <f t="shared" si="265"/>
        <v>#VALUE!</v>
      </c>
      <c r="AC1719">
        <v>16.07</v>
      </c>
      <c r="AD1719" s="154" t="e">
        <f t="shared" si="266"/>
        <v>#VALUE!</v>
      </c>
      <c r="AE1719">
        <v>16.07</v>
      </c>
    </row>
    <row r="1720" spans="12:31" ht="15" x14ac:dyDescent="0.2">
      <c r="L1720" s="154" t="e">
        <f t="shared" si="257"/>
        <v>#VALUE!</v>
      </c>
      <c r="M1720">
        <v>16.079999999999998</v>
      </c>
      <c r="N1720" s="154" t="e">
        <f t="shared" si="258"/>
        <v>#VALUE!</v>
      </c>
      <c r="O1720">
        <v>16.079999999999998</v>
      </c>
      <c r="P1720" s="154" t="e">
        <f t="shared" si="259"/>
        <v>#VALUE!</v>
      </c>
      <c r="Q1720">
        <v>16.079999999999998</v>
      </c>
      <c r="R1720" s="154" t="e">
        <f t="shared" si="260"/>
        <v>#VALUE!</v>
      </c>
      <c r="S1720">
        <v>16.079999999999998</v>
      </c>
      <c r="T1720" s="154" t="e">
        <f t="shared" si="261"/>
        <v>#VALUE!</v>
      </c>
      <c r="U1720">
        <v>16.079999999999998</v>
      </c>
      <c r="V1720" s="154" t="e">
        <f t="shared" si="262"/>
        <v>#VALUE!</v>
      </c>
      <c r="W1720">
        <v>16.079999999999998</v>
      </c>
      <c r="X1720" s="157" t="e">
        <f t="shared" si="263"/>
        <v>#VALUE!</v>
      </c>
      <c r="Y1720">
        <v>16.079999999999998</v>
      </c>
      <c r="Z1720" s="154" t="e">
        <f t="shared" si="264"/>
        <v>#VALUE!</v>
      </c>
      <c r="AA1720">
        <v>16.079999999999998</v>
      </c>
      <c r="AB1720" s="154" t="e">
        <f t="shared" si="265"/>
        <v>#VALUE!</v>
      </c>
      <c r="AC1720">
        <v>16.079999999999998</v>
      </c>
      <c r="AD1720" s="154" t="e">
        <f t="shared" si="266"/>
        <v>#VALUE!</v>
      </c>
      <c r="AE1720">
        <v>16.079999999999998</v>
      </c>
    </row>
    <row r="1721" spans="12:31" ht="15" x14ac:dyDescent="0.2">
      <c r="L1721" s="154" t="e">
        <f t="shared" si="257"/>
        <v>#VALUE!</v>
      </c>
      <c r="M1721">
        <v>16.09</v>
      </c>
      <c r="N1721" s="154" t="e">
        <f t="shared" si="258"/>
        <v>#VALUE!</v>
      </c>
      <c r="O1721">
        <v>16.09</v>
      </c>
      <c r="P1721" s="154" t="e">
        <f t="shared" si="259"/>
        <v>#VALUE!</v>
      </c>
      <c r="Q1721">
        <v>16.09</v>
      </c>
      <c r="R1721" s="154" t="e">
        <f t="shared" si="260"/>
        <v>#VALUE!</v>
      </c>
      <c r="S1721">
        <v>16.09</v>
      </c>
      <c r="T1721" s="154" t="e">
        <f t="shared" si="261"/>
        <v>#VALUE!</v>
      </c>
      <c r="U1721">
        <v>16.09</v>
      </c>
      <c r="V1721" s="154" t="e">
        <f t="shared" si="262"/>
        <v>#VALUE!</v>
      </c>
      <c r="W1721">
        <v>16.09</v>
      </c>
      <c r="X1721" s="157" t="e">
        <f t="shared" si="263"/>
        <v>#VALUE!</v>
      </c>
      <c r="Y1721">
        <v>16.09</v>
      </c>
      <c r="Z1721" s="154" t="e">
        <f t="shared" si="264"/>
        <v>#VALUE!</v>
      </c>
      <c r="AA1721">
        <v>16.09</v>
      </c>
      <c r="AB1721" s="154" t="e">
        <f t="shared" si="265"/>
        <v>#VALUE!</v>
      </c>
      <c r="AC1721">
        <v>16.09</v>
      </c>
      <c r="AD1721" s="154" t="e">
        <f t="shared" si="266"/>
        <v>#VALUE!</v>
      </c>
      <c r="AE1721">
        <v>16.09</v>
      </c>
    </row>
    <row r="1722" spans="12:31" ht="15" x14ac:dyDescent="0.2">
      <c r="L1722" s="154" t="e">
        <f t="shared" si="257"/>
        <v>#VALUE!</v>
      </c>
      <c r="M1722">
        <v>16.100000000000001</v>
      </c>
      <c r="N1722" s="154" t="e">
        <f t="shared" si="258"/>
        <v>#VALUE!</v>
      </c>
      <c r="O1722">
        <v>16.100000000000001</v>
      </c>
      <c r="P1722" s="154" t="e">
        <f t="shared" si="259"/>
        <v>#VALUE!</v>
      </c>
      <c r="Q1722">
        <v>16.100000000000001</v>
      </c>
      <c r="R1722" s="154" t="e">
        <f t="shared" si="260"/>
        <v>#VALUE!</v>
      </c>
      <c r="S1722">
        <v>16.100000000000001</v>
      </c>
      <c r="T1722" s="154" t="e">
        <f t="shared" si="261"/>
        <v>#VALUE!</v>
      </c>
      <c r="U1722">
        <v>16.100000000000001</v>
      </c>
      <c r="V1722" s="154" t="e">
        <f t="shared" si="262"/>
        <v>#VALUE!</v>
      </c>
      <c r="W1722">
        <v>16.100000000000001</v>
      </c>
      <c r="X1722" s="157" t="e">
        <f t="shared" si="263"/>
        <v>#VALUE!</v>
      </c>
      <c r="Y1722">
        <v>16.100000000000001</v>
      </c>
      <c r="Z1722" s="154" t="e">
        <f t="shared" si="264"/>
        <v>#VALUE!</v>
      </c>
      <c r="AA1722">
        <v>16.100000000000001</v>
      </c>
      <c r="AB1722" s="154" t="e">
        <f t="shared" si="265"/>
        <v>#VALUE!</v>
      </c>
      <c r="AC1722">
        <v>16.100000000000001</v>
      </c>
      <c r="AD1722" s="154" t="e">
        <f t="shared" si="266"/>
        <v>#VALUE!</v>
      </c>
      <c r="AE1722">
        <v>16.100000000000001</v>
      </c>
    </row>
    <row r="1723" spans="12:31" ht="15" x14ac:dyDescent="0.2">
      <c r="L1723" s="154" t="e">
        <f t="shared" si="257"/>
        <v>#VALUE!</v>
      </c>
      <c r="M1723">
        <v>16.11</v>
      </c>
      <c r="N1723" s="154" t="e">
        <f t="shared" si="258"/>
        <v>#VALUE!</v>
      </c>
      <c r="O1723">
        <v>16.11</v>
      </c>
      <c r="P1723" s="154" t="e">
        <f t="shared" si="259"/>
        <v>#VALUE!</v>
      </c>
      <c r="Q1723">
        <v>16.11</v>
      </c>
      <c r="R1723" s="154" t="e">
        <f t="shared" si="260"/>
        <v>#VALUE!</v>
      </c>
      <c r="S1723">
        <v>16.11</v>
      </c>
      <c r="T1723" s="154" t="e">
        <f t="shared" si="261"/>
        <v>#VALUE!</v>
      </c>
      <c r="U1723">
        <v>16.11</v>
      </c>
      <c r="V1723" s="154" t="e">
        <f t="shared" si="262"/>
        <v>#VALUE!</v>
      </c>
      <c r="W1723">
        <v>16.11</v>
      </c>
      <c r="X1723" s="157" t="e">
        <f t="shared" si="263"/>
        <v>#VALUE!</v>
      </c>
      <c r="Y1723">
        <v>16.11</v>
      </c>
      <c r="Z1723" s="154" t="e">
        <f t="shared" si="264"/>
        <v>#VALUE!</v>
      </c>
      <c r="AA1723">
        <v>16.11</v>
      </c>
      <c r="AB1723" s="154" t="e">
        <f t="shared" si="265"/>
        <v>#VALUE!</v>
      </c>
      <c r="AC1723">
        <v>16.11</v>
      </c>
      <c r="AD1723" s="154" t="e">
        <f t="shared" si="266"/>
        <v>#VALUE!</v>
      </c>
      <c r="AE1723">
        <v>16.11</v>
      </c>
    </row>
    <row r="1724" spans="12:31" ht="15" x14ac:dyDescent="0.2">
      <c r="L1724" s="154" t="e">
        <f t="shared" si="257"/>
        <v>#VALUE!</v>
      </c>
      <c r="M1724">
        <v>16.12</v>
      </c>
      <c r="N1724" s="154" t="e">
        <f t="shared" si="258"/>
        <v>#VALUE!</v>
      </c>
      <c r="O1724">
        <v>16.12</v>
      </c>
      <c r="P1724" s="154" t="e">
        <f t="shared" si="259"/>
        <v>#VALUE!</v>
      </c>
      <c r="Q1724">
        <v>16.12</v>
      </c>
      <c r="R1724" s="154" t="e">
        <f t="shared" si="260"/>
        <v>#VALUE!</v>
      </c>
      <c r="S1724">
        <v>16.12</v>
      </c>
      <c r="T1724" s="154" t="e">
        <f t="shared" si="261"/>
        <v>#VALUE!</v>
      </c>
      <c r="U1724">
        <v>16.12</v>
      </c>
      <c r="V1724" s="154" t="e">
        <f t="shared" si="262"/>
        <v>#VALUE!</v>
      </c>
      <c r="W1724">
        <v>16.12</v>
      </c>
      <c r="X1724" s="157" t="e">
        <f t="shared" si="263"/>
        <v>#VALUE!</v>
      </c>
      <c r="Y1724">
        <v>16.12</v>
      </c>
      <c r="Z1724" s="154" t="e">
        <f t="shared" si="264"/>
        <v>#VALUE!</v>
      </c>
      <c r="AA1724">
        <v>16.12</v>
      </c>
      <c r="AB1724" s="154" t="e">
        <f t="shared" si="265"/>
        <v>#VALUE!</v>
      </c>
      <c r="AC1724">
        <v>16.12</v>
      </c>
      <c r="AD1724" s="154" t="e">
        <f t="shared" si="266"/>
        <v>#VALUE!</v>
      </c>
      <c r="AE1724">
        <v>16.12</v>
      </c>
    </row>
    <row r="1725" spans="12:31" ht="15" x14ac:dyDescent="0.2">
      <c r="L1725" s="154" t="e">
        <f t="shared" si="257"/>
        <v>#VALUE!</v>
      </c>
      <c r="M1725">
        <v>16.13</v>
      </c>
      <c r="N1725" s="154" t="e">
        <f t="shared" si="258"/>
        <v>#VALUE!</v>
      </c>
      <c r="O1725">
        <v>16.13</v>
      </c>
      <c r="P1725" s="154" t="e">
        <f t="shared" si="259"/>
        <v>#VALUE!</v>
      </c>
      <c r="Q1725">
        <v>16.13</v>
      </c>
      <c r="R1725" s="154" t="e">
        <f t="shared" si="260"/>
        <v>#VALUE!</v>
      </c>
      <c r="S1725">
        <v>16.13</v>
      </c>
      <c r="T1725" s="154" t="e">
        <f t="shared" si="261"/>
        <v>#VALUE!</v>
      </c>
      <c r="U1725">
        <v>16.13</v>
      </c>
      <c r="V1725" s="154" t="e">
        <f t="shared" si="262"/>
        <v>#VALUE!</v>
      </c>
      <c r="W1725">
        <v>16.13</v>
      </c>
      <c r="X1725" s="157" t="e">
        <f t="shared" si="263"/>
        <v>#VALUE!</v>
      </c>
      <c r="Y1725">
        <v>16.13</v>
      </c>
      <c r="Z1725" s="154" t="e">
        <f t="shared" si="264"/>
        <v>#VALUE!</v>
      </c>
      <c r="AA1725">
        <v>16.13</v>
      </c>
      <c r="AB1725" s="154" t="e">
        <f t="shared" si="265"/>
        <v>#VALUE!</v>
      </c>
      <c r="AC1725">
        <v>16.13</v>
      </c>
      <c r="AD1725" s="154" t="e">
        <f t="shared" si="266"/>
        <v>#VALUE!</v>
      </c>
      <c r="AE1725">
        <v>16.13</v>
      </c>
    </row>
    <row r="1726" spans="12:31" ht="15" x14ac:dyDescent="0.2">
      <c r="L1726" s="154" t="e">
        <f t="shared" si="257"/>
        <v>#VALUE!</v>
      </c>
      <c r="M1726">
        <v>16.14</v>
      </c>
      <c r="N1726" s="154" t="e">
        <f t="shared" si="258"/>
        <v>#VALUE!</v>
      </c>
      <c r="O1726">
        <v>16.14</v>
      </c>
      <c r="P1726" s="154" t="e">
        <f t="shared" si="259"/>
        <v>#VALUE!</v>
      </c>
      <c r="Q1726">
        <v>16.14</v>
      </c>
      <c r="R1726" s="154" t="e">
        <f t="shared" si="260"/>
        <v>#VALUE!</v>
      </c>
      <c r="S1726">
        <v>16.14</v>
      </c>
      <c r="T1726" s="154" t="e">
        <f t="shared" si="261"/>
        <v>#VALUE!</v>
      </c>
      <c r="U1726">
        <v>16.14</v>
      </c>
      <c r="V1726" s="154" t="e">
        <f t="shared" si="262"/>
        <v>#VALUE!</v>
      </c>
      <c r="W1726">
        <v>16.14</v>
      </c>
      <c r="X1726" s="157" t="e">
        <f t="shared" si="263"/>
        <v>#VALUE!</v>
      </c>
      <c r="Y1726">
        <v>16.14</v>
      </c>
      <c r="Z1726" s="154" t="e">
        <f t="shared" si="264"/>
        <v>#VALUE!</v>
      </c>
      <c r="AA1726">
        <v>16.14</v>
      </c>
      <c r="AB1726" s="154" t="e">
        <f t="shared" si="265"/>
        <v>#VALUE!</v>
      </c>
      <c r="AC1726">
        <v>16.14</v>
      </c>
      <c r="AD1726" s="154" t="e">
        <f t="shared" si="266"/>
        <v>#VALUE!</v>
      </c>
      <c r="AE1726">
        <v>16.14</v>
      </c>
    </row>
    <row r="1727" spans="12:31" ht="15" x14ac:dyDescent="0.2">
      <c r="L1727" s="154" t="e">
        <f t="shared" si="257"/>
        <v>#VALUE!</v>
      </c>
      <c r="M1727">
        <v>16.149999999999999</v>
      </c>
      <c r="N1727" s="154" t="e">
        <f t="shared" si="258"/>
        <v>#VALUE!</v>
      </c>
      <c r="O1727">
        <v>16.149999999999999</v>
      </c>
      <c r="P1727" s="154" t="e">
        <f t="shared" si="259"/>
        <v>#VALUE!</v>
      </c>
      <c r="Q1727">
        <v>16.149999999999999</v>
      </c>
      <c r="R1727" s="154" t="e">
        <f t="shared" si="260"/>
        <v>#VALUE!</v>
      </c>
      <c r="S1727">
        <v>16.149999999999999</v>
      </c>
      <c r="T1727" s="154" t="e">
        <f t="shared" si="261"/>
        <v>#VALUE!</v>
      </c>
      <c r="U1727">
        <v>16.149999999999999</v>
      </c>
      <c r="V1727" s="154" t="e">
        <f t="shared" si="262"/>
        <v>#VALUE!</v>
      </c>
      <c r="W1727">
        <v>16.149999999999999</v>
      </c>
      <c r="X1727" s="157" t="e">
        <f t="shared" si="263"/>
        <v>#VALUE!</v>
      </c>
      <c r="Y1727">
        <v>16.149999999999999</v>
      </c>
      <c r="Z1727" s="154" t="e">
        <f t="shared" si="264"/>
        <v>#VALUE!</v>
      </c>
      <c r="AA1727">
        <v>16.149999999999999</v>
      </c>
      <c r="AB1727" s="154" t="e">
        <f t="shared" si="265"/>
        <v>#VALUE!</v>
      </c>
      <c r="AC1727">
        <v>16.149999999999999</v>
      </c>
      <c r="AD1727" s="154" t="e">
        <f t="shared" si="266"/>
        <v>#VALUE!</v>
      </c>
      <c r="AE1727">
        <v>16.149999999999999</v>
      </c>
    </row>
    <row r="1728" spans="12:31" ht="15" x14ac:dyDescent="0.2">
      <c r="L1728" s="154" t="e">
        <f t="shared" si="257"/>
        <v>#VALUE!</v>
      </c>
      <c r="M1728">
        <v>16.16</v>
      </c>
      <c r="N1728" s="154" t="e">
        <f t="shared" si="258"/>
        <v>#VALUE!</v>
      </c>
      <c r="O1728">
        <v>16.16</v>
      </c>
      <c r="P1728" s="154" t="e">
        <f t="shared" si="259"/>
        <v>#VALUE!</v>
      </c>
      <c r="Q1728">
        <v>16.16</v>
      </c>
      <c r="R1728" s="154" t="e">
        <f t="shared" si="260"/>
        <v>#VALUE!</v>
      </c>
      <c r="S1728">
        <v>16.16</v>
      </c>
      <c r="T1728" s="154" t="e">
        <f t="shared" si="261"/>
        <v>#VALUE!</v>
      </c>
      <c r="U1728">
        <v>16.16</v>
      </c>
      <c r="V1728" s="154" t="e">
        <f t="shared" si="262"/>
        <v>#VALUE!</v>
      </c>
      <c r="W1728">
        <v>16.16</v>
      </c>
      <c r="X1728" s="157" t="e">
        <f t="shared" si="263"/>
        <v>#VALUE!</v>
      </c>
      <c r="Y1728">
        <v>16.16</v>
      </c>
      <c r="Z1728" s="154" t="e">
        <f t="shared" si="264"/>
        <v>#VALUE!</v>
      </c>
      <c r="AA1728">
        <v>16.16</v>
      </c>
      <c r="AB1728" s="154" t="e">
        <f t="shared" si="265"/>
        <v>#VALUE!</v>
      </c>
      <c r="AC1728">
        <v>16.16</v>
      </c>
      <c r="AD1728" s="154" t="e">
        <f t="shared" si="266"/>
        <v>#VALUE!</v>
      </c>
      <c r="AE1728">
        <v>16.16</v>
      </c>
    </row>
    <row r="1729" spans="12:31" ht="15" x14ac:dyDescent="0.2">
      <c r="L1729" s="154" t="e">
        <f t="shared" si="257"/>
        <v>#VALUE!</v>
      </c>
      <c r="M1729">
        <v>16.170000000000002</v>
      </c>
      <c r="N1729" s="154" t="e">
        <f t="shared" si="258"/>
        <v>#VALUE!</v>
      </c>
      <c r="O1729">
        <v>16.170000000000002</v>
      </c>
      <c r="P1729" s="154" t="e">
        <f t="shared" si="259"/>
        <v>#VALUE!</v>
      </c>
      <c r="Q1729">
        <v>16.170000000000002</v>
      </c>
      <c r="R1729" s="154" t="e">
        <f t="shared" si="260"/>
        <v>#VALUE!</v>
      </c>
      <c r="S1729">
        <v>16.170000000000002</v>
      </c>
      <c r="T1729" s="154" t="e">
        <f t="shared" si="261"/>
        <v>#VALUE!</v>
      </c>
      <c r="U1729">
        <v>16.170000000000002</v>
      </c>
      <c r="V1729" s="154" t="e">
        <f t="shared" si="262"/>
        <v>#VALUE!</v>
      </c>
      <c r="W1729">
        <v>16.170000000000002</v>
      </c>
      <c r="X1729" s="157" t="e">
        <f t="shared" si="263"/>
        <v>#VALUE!</v>
      </c>
      <c r="Y1729">
        <v>16.170000000000002</v>
      </c>
      <c r="Z1729" s="154" t="e">
        <f t="shared" si="264"/>
        <v>#VALUE!</v>
      </c>
      <c r="AA1729">
        <v>16.170000000000002</v>
      </c>
      <c r="AB1729" s="154" t="e">
        <f t="shared" si="265"/>
        <v>#VALUE!</v>
      </c>
      <c r="AC1729">
        <v>16.170000000000002</v>
      </c>
      <c r="AD1729" s="154" t="e">
        <f t="shared" si="266"/>
        <v>#VALUE!</v>
      </c>
      <c r="AE1729">
        <v>16.170000000000002</v>
      </c>
    </row>
    <row r="1730" spans="12:31" ht="15" x14ac:dyDescent="0.2">
      <c r="L1730" s="154" t="e">
        <f t="shared" si="257"/>
        <v>#VALUE!</v>
      </c>
      <c r="M1730">
        <v>16.18</v>
      </c>
      <c r="N1730" s="154" t="e">
        <f t="shared" si="258"/>
        <v>#VALUE!</v>
      </c>
      <c r="O1730">
        <v>16.18</v>
      </c>
      <c r="P1730" s="154" t="e">
        <f t="shared" si="259"/>
        <v>#VALUE!</v>
      </c>
      <c r="Q1730">
        <v>16.18</v>
      </c>
      <c r="R1730" s="154" t="e">
        <f t="shared" si="260"/>
        <v>#VALUE!</v>
      </c>
      <c r="S1730">
        <v>16.18</v>
      </c>
      <c r="T1730" s="154" t="e">
        <f t="shared" si="261"/>
        <v>#VALUE!</v>
      </c>
      <c r="U1730">
        <v>16.18</v>
      </c>
      <c r="V1730" s="154" t="e">
        <f t="shared" si="262"/>
        <v>#VALUE!</v>
      </c>
      <c r="W1730">
        <v>16.18</v>
      </c>
      <c r="X1730" s="157" t="e">
        <f t="shared" si="263"/>
        <v>#VALUE!</v>
      </c>
      <c r="Y1730">
        <v>16.18</v>
      </c>
      <c r="Z1730" s="154" t="e">
        <f t="shared" si="264"/>
        <v>#VALUE!</v>
      </c>
      <c r="AA1730">
        <v>16.18</v>
      </c>
      <c r="AB1730" s="154" t="e">
        <f t="shared" si="265"/>
        <v>#VALUE!</v>
      </c>
      <c r="AC1730">
        <v>16.18</v>
      </c>
      <c r="AD1730" s="154" t="e">
        <f t="shared" si="266"/>
        <v>#VALUE!</v>
      </c>
      <c r="AE1730">
        <v>16.18</v>
      </c>
    </row>
    <row r="1731" spans="12:31" ht="15" x14ac:dyDescent="0.2">
      <c r="L1731" s="154" t="e">
        <f t="shared" si="257"/>
        <v>#VALUE!</v>
      </c>
      <c r="M1731">
        <v>16.190000000000001</v>
      </c>
      <c r="N1731" s="154" t="e">
        <f t="shared" si="258"/>
        <v>#VALUE!</v>
      </c>
      <c r="O1731">
        <v>16.190000000000001</v>
      </c>
      <c r="P1731" s="154" t="e">
        <f t="shared" si="259"/>
        <v>#VALUE!</v>
      </c>
      <c r="Q1731">
        <v>16.190000000000001</v>
      </c>
      <c r="R1731" s="154" t="e">
        <f t="shared" si="260"/>
        <v>#VALUE!</v>
      </c>
      <c r="S1731">
        <v>16.190000000000001</v>
      </c>
      <c r="T1731" s="154" t="e">
        <f t="shared" si="261"/>
        <v>#VALUE!</v>
      </c>
      <c r="U1731">
        <v>16.190000000000001</v>
      </c>
      <c r="V1731" s="154" t="e">
        <f t="shared" si="262"/>
        <v>#VALUE!</v>
      </c>
      <c r="W1731">
        <v>16.190000000000001</v>
      </c>
      <c r="X1731" s="157" t="e">
        <f t="shared" si="263"/>
        <v>#VALUE!</v>
      </c>
      <c r="Y1731">
        <v>16.190000000000001</v>
      </c>
      <c r="Z1731" s="154" t="e">
        <f t="shared" si="264"/>
        <v>#VALUE!</v>
      </c>
      <c r="AA1731">
        <v>16.190000000000001</v>
      </c>
      <c r="AB1731" s="154" t="e">
        <f t="shared" si="265"/>
        <v>#VALUE!</v>
      </c>
      <c r="AC1731">
        <v>16.190000000000001</v>
      </c>
      <c r="AD1731" s="154" t="e">
        <f t="shared" si="266"/>
        <v>#VALUE!</v>
      </c>
      <c r="AE1731">
        <v>16.190000000000001</v>
      </c>
    </row>
    <row r="1732" spans="12:31" ht="15" x14ac:dyDescent="0.2">
      <c r="L1732" s="154" t="e">
        <f t="shared" si="257"/>
        <v>#VALUE!</v>
      </c>
      <c r="M1732">
        <v>16.2</v>
      </c>
      <c r="N1732" s="154" t="e">
        <f t="shared" si="258"/>
        <v>#VALUE!</v>
      </c>
      <c r="O1732">
        <v>16.2</v>
      </c>
      <c r="P1732" s="154" t="e">
        <f t="shared" si="259"/>
        <v>#VALUE!</v>
      </c>
      <c r="Q1732">
        <v>16.2</v>
      </c>
      <c r="R1732" s="154" t="e">
        <f t="shared" si="260"/>
        <v>#VALUE!</v>
      </c>
      <c r="S1732">
        <v>16.2</v>
      </c>
      <c r="T1732" s="154" t="e">
        <f t="shared" si="261"/>
        <v>#VALUE!</v>
      </c>
      <c r="U1732">
        <v>16.2</v>
      </c>
      <c r="V1732" s="154" t="e">
        <f t="shared" si="262"/>
        <v>#VALUE!</v>
      </c>
      <c r="W1732">
        <v>16.2</v>
      </c>
      <c r="X1732" s="157" t="e">
        <f t="shared" si="263"/>
        <v>#VALUE!</v>
      </c>
      <c r="Y1732">
        <v>16.2</v>
      </c>
      <c r="Z1732" s="154" t="e">
        <f t="shared" si="264"/>
        <v>#VALUE!</v>
      </c>
      <c r="AA1732">
        <v>16.2</v>
      </c>
      <c r="AB1732" s="154" t="e">
        <f t="shared" si="265"/>
        <v>#VALUE!</v>
      </c>
      <c r="AC1732">
        <v>16.2</v>
      </c>
      <c r="AD1732" s="154" t="e">
        <f t="shared" si="266"/>
        <v>#VALUE!</v>
      </c>
      <c r="AE1732">
        <v>16.2</v>
      </c>
    </row>
    <row r="1733" spans="12:31" ht="15" x14ac:dyDescent="0.2">
      <c r="L1733" s="154" t="e">
        <f t="shared" si="257"/>
        <v>#VALUE!</v>
      </c>
      <c r="M1733">
        <v>16.21</v>
      </c>
      <c r="N1733" s="154" t="e">
        <f t="shared" si="258"/>
        <v>#VALUE!</v>
      </c>
      <c r="O1733">
        <v>16.21</v>
      </c>
      <c r="P1733" s="154" t="e">
        <f t="shared" si="259"/>
        <v>#VALUE!</v>
      </c>
      <c r="Q1733">
        <v>16.21</v>
      </c>
      <c r="R1733" s="154" t="e">
        <f t="shared" si="260"/>
        <v>#VALUE!</v>
      </c>
      <c r="S1733">
        <v>16.21</v>
      </c>
      <c r="T1733" s="154" t="e">
        <f t="shared" si="261"/>
        <v>#VALUE!</v>
      </c>
      <c r="U1733">
        <v>16.21</v>
      </c>
      <c r="V1733" s="154" t="e">
        <f t="shared" si="262"/>
        <v>#VALUE!</v>
      </c>
      <c r="W1733">
        <v>16.21</v>
      </c>
      <c r="X1733" s="157" t="e">
        <f t="shared" si="263"/>
        <v>#VALUE!</v>
      </c>
      <c r="Y1733">
        <v>16.21</v>
      </c>
      <c r="Z1733" s="154" t="e">
        <f t="shared" si="264"/>
        <v>#VALUE!</v>
      </c>
      <c r="AA1733">
        <v>16.21</v>
      </c>
      <c r="AB1733" s="154" t="e">
        <f t="shared" si="265"/>
        <v>#VALUE!</v>
      </c>
      <c r="AC1733">
        <v>16.21</v>
      </c>
      <c r="AD1733" s="154" t="e">
        <f t="shared" si="266"/>
        <v>#VALUE!</v>
      </c>
      <c r="AE1733">
        <v>16.21</v>
      </c>
    </row>
    <row r="1734" spans="12:31" ht="15" x14ac:dyDescent="0.2">
      <c r="L1734" s="154" t="e">
        <f t="shared" si="257"/>
        <v>#VALUE!</v>
      </c>
      <c r="M1734">
        <v>16.22</v>
      </c>
      <c r="N1734" s="154" t="e">
        <f t="shared" si="258"/>
        <v>#VALUE!</v>
      </c>
      <c r="O1734">
        <v>16.22</v>
      </c>
      <c r="P1734" s="154" t="e">
        <f t="shared" si="259"/>
        <v>#VALUE!</v>
      </c>
      <c r="Q1734">
        <v>16.22</v>
      </c>
      <c r="R1734" s="154" t="e">
        <f t="shared" si="260"/>
        <v>#VALUE!</v>
      </c>
      <c r="S1734">
        <v>16.22</v>
      </c>
      <c r="T1734" s="154" t="e">
        <f t="shared" si="261"/>
        <v>#VALUE!</v>
      </c>
      <c r="U1734">
        <v>16.22</v>
      </c>
      <c r="V1734" s="154" t="e">
        <f t="shared" si="262"/>
        <v>#VALUE!</v>
      </c>
      <c r="W1734">
        <v>16.22</v>
      </c>
      <c r="X1734" s="157" t="e">
        <f t="shared" si="263"/>
        <v>#VALUE!</v>
      </c>
      <c r="Y1734">
        <v>16.22</v>
      </c>
      <c r="Z1734" s="154" t="e">
        <f t="shared" si="264"/>
        <v>#VALUE!</v>
      </c>
      <c r="AA1734">
        <v>16.22</v>
      </c>
      <c r="AB1734" s="154" t="e">
        <f t="shared" si="265"/>
        <v>#VALUE!</v>
      </c>
      <c r="AC1734">
        <v>16.22</v>
      </c>
      <c r="AD1734" s="154" t="e">
        <f t="shared" si="266"/>
        <v>#VALUE!</v>
      </c>
      <c r="AE1734">
        <v>16.22</v>
      </c>
    </row>
    <row r="1735" spans="12:31" ht="15" x14ac:dyDescent="0.2">
      <c r="L1735" s="154" t="e">
        <f t="shared" si="257"/>
        <v>#VALUE!</v>
      </c>
      <c r="M1735">
        <v>16.23</v>
      </c>
      <c r="N1735" s="154" t="e">
        <f t="shared" si="258"/>
        <v>#VALUE!</v>
      </c>
      <c r="O1735">
        <v>16.23</v>
      </c>
      <c r="P1735" s="154" t="e">
        <f t="shared" si="259"/>
        <v>#VALUE!</v>
      </c>
      <c r="Q1735">
        <v>16.23</v>
      </c>
      <c r="R1735" s="154" t="e">
        <f t="shared" si="260"/>
        <v>#VALUE!</v>
      </c>
      <c r="S1735">
        <v>16.23</v>
      </c>
      <c r="T1735" s="154" t="e">
        <f t="shared" si="261"/>
        <v>#VALUE!</v>
      </c>
      <c r="U1735">
        <v>16.23</v>
      </c>
      <c r="V1735" s="154" t="e">
        <f t="shared" si="262"/>
        <v>#VALUE!</v>
      </c>
      <c r="W1735">
        <v>16.23</v>
      </c>
      <c r="X1735" s="157" t="e">
        <f t="shared" si="263"/>
        <v>#VALUE!</v>
      </c>
      <c r="Y1735">
        <v>16.23</v>
      </c>
      <c r="Z1735" s="154" t="e">
        <f t="shared" si="264"/>
        <v>#VALUE!</v>
      </c>
      <c r="AA1735">
        <v>16.23</v>
      </c>
      <c r="AB1735" s="154" t="e">
        <f t="shared" si="265"/>
        <v>#VALUE!</v>
      </c>
      <c r="AC1735">
        <v>16.23</v>
      </c>
      <c r="AD1735" s="154" t="e">
        <f t="shared" si="266"/>
        <v>#VALUE!</v>
      </c>
      <c r="AE1735">
        <v>16.23</v>
      </c>
    </row>
    <row r="1736" spans="12:31" ht="15" x14ac:dyDescent="0.2">
      <c r="L1736" s="154" t="e">
        <f t="shared" si="257"/>
        <v>#VALUE!</v>
      </c>
      <c r="M1736">
        <v>16.239999999999998</v>
      </c>
      <c r="N1736" s="154" t="e">
        <f t="shared" si="258"/>
        <v>#VALUE!</v>
      </c>
      <c r="O1736">
        <v>16.239999999999998</v>
      </c>
      <c r="P1736" s="154" t="e">
        <f t="shared" si="259"/>
        <v>#VALUE!</v>
      </c>
      <c r="Q1736">
        <v>16.239999999999998</v>
      </c>
      <c r="R1736" s="154" t="e">
        <f t="shared" si="260"/>
        <v>#VALUE!</v>
      </c>
      <c r="S1736">
        <v>16.239999999999998</v>
      </c>
      <c r="T1736" s="154" t="e">
        <f t="shared" si="261"/>
        <v>#VALUE!</v>
      </c>
      <c r="U1736">
        <v>16.239999999999998</v>
      </c>
      <c r="V1736" s="154" t="e">
        <f t="shared" si="262"/>
        <v>#VALUE!</v>
      </c>
      <c r="W1736">
        <v>16.239999999999998</v>
      </c>
      <c r="X1736" s="157" t="e">
        <f t="shared" si="263"/>
        <v>#VALUE!</v>
      </c>
      <c r="Y1736">
        <v>16.239999999999998</v>
      </c>
      <c r="Z1736" s="154" t="e">
        <f t="shared" si="264"/>
        <v>#VALUE!</v>
      </c>
      <c r="AA1736">
        <v>16.239999999999998</v>
      </c>
      <c r="AB1736" s="154" t="e">
        <f t="shared" si="265"/>
        <v>#VALUE!</v>
      </c>
      <c r="AC1736">
        <v>16.239999999999998</v>
      </c>
      <c r="AD1736" s="154" t="e">
        <f t="shared" si="266"/>
        <v>#VALUE!</v>
      </c>
      <c r="AE1736">
        <v>16.239999999999998</v>
      </c>
    </row>
    <row r="1737" spans="12:31" ht="15" x14ac:dyDescent="0.2">
      <c r="L1737" s="154" t="e">
        <f t="shared" si="257"/>
        <v>#VALUE!</v>
      </c>
      <c r="M1737">
        <v>16.25</v>
      </c>
      <c r="N1737" s="154" t="e">
        <f t="shared" si="258"/>
        <v>#VALUE!</v>
      </c>
      <c r="O1737">
        <v>16.25</v>
      </c>
      <c r="P1737" s="154" t="e">
        <f t="shared" si="259"/>
        <v>#VALUE!</v>
      </c>
      <c r="Q1737">
        <v>16.25</v>
      </c>
      <c r="R1737" s="154" t="e">
        <f t="shared" si="260"/>
        <v>#VALUE!</v>
      </c>
      <c r="S1737">
        <v>16.25</v>
      </c>
      <c r="T1737" s="154" t="e">
        <f t="shared" si="261"/>
        <v>#VALUE!</v>
      </c>
      <c r="U1737">
        <v>16.25</v>
      </c>
      <c r="V1737" s="154" t="e">
        <f t="shared" si="262"/>
        <v>#VALUE!</v>
      </c>
      <c r="W1737">
        <v>16.25</v>
      </c>
      <c r="X1737" s="157" t="e">
        <f t="shared" si="263"/>
        <v>#VALUE!</v>
      </c>
      <c r="Y1737">
        <v>16.25</v>
      </c>
      <c r="Z1737" s="154" t="e">
        <f t="shared" si="264"/>
        <v>#VALUE!</v>
      </c>
      <c r="AA1737">
        <v>16.25</v>
      </c>
      <c r="AB1737" s="154" t="e">
        <f t="shared" si="265"/>
        <v>#VALUE!</v>
      </c>
      <c r="AC1737">
        <v>16.25</v>
      </c>
      <c r="AD1737" s="154" t="e">
        <f t="shared" si="266"/>
        <v>#VALUE!</v>
      </c>
      <c r="AE1737">
        <v>16.25</v>
      </c>
    </row>
    <row r="1738" spans="12:31" ht="15" x14ac:dyDescent="0.2">
      <c r="L1738" s="154" t="e">
        <f t="shared" si="257"/>
        <v>#VALUE!</v>
      </c>
      <c r="M1738">
        <v>16.260000000000002</v>
      </c>
      <c r="N1738" s="154" t="e">
        <f t="shared" si="258"/>
        <v>#VALUE!</v>
      </c>
      <c r="O1738">
        <v>16.260000000000002</v>
      </c>
      <c r="P1738" s="154" t="e">
        <f t="shared" si="259"/>
        <v>#VALUE!</v>
      </c>
      <c r="Q1738">
        <v>16.260000000000002</v>
      </c>
      <c r="R1738" s="154" t="e">
        <f t="shared" si="260"/>
        <v>#VALUE!</v>
      </c>
      <c r="S1738">
        <v>16.260000000000002</v>
      </c>
      <c r="T1738" s="154" t="e">
        <f t="shared" si="261"/>
        <v>#VALUE!</v>
      </c>
      <c r="U1738">
        <v>16.260000000000002</v>
      </c>
      <c r="V1738" s="154" t="e">
        <f t="shared" si="262"/>
        <v>#VALUE!</v>
      </c>
      <c r="W1738">
        <v>16.260000000000002</v>
      </c>
      <c r="X1738" s="157" t="e">
        <f t="shared" si="263"/>
        <v>#VALUE!</v>
      </c>
      <c r="Y1738">
        <v>16.260000000000002</v>
      </c>
      <c r="Z1738" s="154" t="e">
        <f t="shared" si="264"/>
        <v>#VALUE!</v>
      </c>
      <c r="AA1738">
        <v>16.260000000000002</v>
      </c>
      <c r="AB1738" s="154" t="e">
        <f t="shared" si="265"/>
        <v>#VALUE!</v>
      </c>
      <c r="AC1738">
        <v>16.260000000000002</v>
      </c>
      <c r="AD1738" s="154" t="e">
        <f t="shared" si="266"/>
        <v>#VALUE!</v>
      </c>
      <c r="AE1738">
        <v>16.260000000000002</v>
      </c>
    </row>
    <row r="1739" spans="12:31" ht="15" x14ac:dyDescent="0.2">
      <c r="L1739" s="154" t="e">
        <f t="shared" si="257"/>
        <v>#VALUE!</v>
      </c>
      <c r="M1739">
        <v>16.27</v>
      </c>
      <c r="N1739" s="154" t="e">
        <f t="shared" si="258"/>
        <v>#VALUE!</v>
      </c>
      <c r="O1739">
        <v>16.27</v>
      </c>
      <c r="P1739" s="154" t="e">
        <f t="shared" si="259"/>
        <v>#VALUE!</v>
      </c>
      <c r="Q1739">
        <v>16.27</v>
      </c>
      <c r="R1739" s="154" t="e">
        <f t="shared" si="260"/>
        <v>#VALUE!</v>
      </c>
      <c r="S1739">
        <v>16.27</v>
      </c>
      <c r="T1739" s="154" t="e">
        <f t="shared" si="261"/>
        <v>#VALUE!</v>
      </c>
      <c r="U1739">
        <v>16.27</v>
      </c>
      <c r="V1739" s="154" t="e">
        <f t="shared" si="262"/>
        <v>#VALUE!</v>
      </c>
      <c r="W1739">
        <v>16.27</v>
      </c>
      <c r="X1739" s="157" t="e">
        <f t="shared" si="263"/>
        <v>#VALUE!</v>
      </c>
      <c r="Y1739">
        <v>16.27</v>
      </c>
      <c r="Z1739" s="154" t="e">
        <f t="shared" si="264"/>
        <v>#VALUE!</v>
      </c>
      <c r="AA1739">
        <v>16.27</v>
      </c>
      <c r="AB1739" s="154" t="e">
        <f t="shared" si="265"/>
        <v>#VALUE!</v>
      </c>
      <c r="AC1739">
        <v>16.27</v>
      </c>
      <c r="AD1739" s="154" t="e">
        <f t="shared" si="266"/>
        <v>#VALUE!</v>
      </c>
      <c r="AE1739">
        <v>16.27</v>
      </c>
    </row>
    <row r="1740" spans="12:31" ht="15" x14ac:dyDescent="0.2">
      <c r="L1740" s="154" t="e">
        <f t="shared" si="257"/>
        <v>#VALUE!</v>
      </c>
      <c r="M1740">
        <v>16.28</v>
      </c>
      <c r="N1740" s="154" t="e">
        <f t="shared" si="258"/>
        <v>#VALUE!</v>
      </c>
      <c r="O1740">
        <v>16.28</v>
      </c>
      <c r="P1740" s="154" t="e">
        <f t="shared" si="259"/>
        <v>#VALUE!</v>
      </c>
      <c r="Q1740">
        <v>16.28</v>
      </c>
      <c r="R1740" s="154" t="e">
        <f t="shared" si="260"/>
        <v>#VALUE!</v>
      </c>
      <c r="S1740">
        <v>16.28</v>
      </c>
      <c r="T1740" s="154" t="e">
        <f t="shared" si="261"/>
        <v>#VALUE!</v>
      </c>
      <c r="U1740">
        <v>16.28</v>
      </c>
      <c r="V1740" s="154" t="e">
        <f t="shared" si="262"/>
        <v>#VALUE!</v>
      </c>
      <c r="W1740">
        <v>16.28</v>
      </c>
      <c r="X1740" s="157" t="e">
        <f t="shared" si="263"/>
        <v>#VALUE!</v>
      </c>
      <c r="Y1740">
        <v>16.28</v>
      </c>
      <c r="Z1740" s="154" t="e">
        <f t="shared" si="264"/>
        <v>#VALUE!</v>
      </c>
      <c r="AA1740">
        <v>16.28</v>
      </c>
      <c r="AB1740" s="154" t="e">
        <f t="shared" si="265"/>
        <v>#VALUE!</v>
      </c>
      <c r="AC1740">
        <v>16.28</v>
      </c>
      <c r="AD1740" s="154" t="e">
        <f t="shared" si="266"/>
        <v>#VALUE!</v>
      </c>
      <c r="AE1740">
        <v>16.28</v>
      </c>
    </row>
    <row r="1741" spans="12:31" ht="15" x14ac:dyDescent="0.2">
      <c r="L1741" s="154" t="e">
        <f t="shared" si="257"/>
        <v>#VALUE!</v>
      </c>
      <c r="M1741">
        <v>16.29</v>
      </c>
      <c r="N1741" s="154" t="e">
        <f t="shared" si="258"/>
        <v>#VALUE!</v>
      </c>
      <c r="O1741">
        <v>16.29</v>
      </c>
      <c r="P1741" s="154" t="e">
        <f t="shared" si="259"/>
        <v>#VALUE!</v>
      </c>
      <c r="Q1741">
        <v>16.29</v>
      </c>
      <c r="R1741" s="154" t="e">
        <f t="shared" si="260"/>
        <v>#VALUE!</v>
      </c>
      <c r="S1741">
        <v>16.29</v>
      </c>
      <c r="T1741" s="154" t="e">
        <f t="shared" si="261"/>
        <v>#VALUE!</v>
      </c>
      <c r="U1741">
        <v>16.29</v>
      </c>
      <c r="V1741" s="154" t="e">
        <f t="shared" si="262"/>
        <v>#VALUE!</v>
      </c>
      <c r="W1741">
        <v>16.29</v>
      </c>
      <c r="X1741" s="157" t="e">
        <f t="shared" si="263"/>
        <v>#VALUE!</v>
      </c>
      <c r="Y1741">
        <v>16.29</v>
      </c>
      <c r="Z1741" s="154" t="e">
        <f t="shared" si="264"/>
        <v>#VALUE!</v>
      </c>
      <c r="AA1741">
        <v>16.29</v>
      </c>
      <c r="AB1741" s="154" t="e">
        <f t="shared" si="265"/>
        <v>#VALUE!</v>
      </c>
      <c r="AC1741">
        <v>16.29</v>
      </c>
      <c r="AD1741" s="154" t="e">
        <f t="shared" si="266"/>
        <v>#VALUE!</v>
      </c>
      <c r="AE1741">
        <v>16.29</v>
      </c>
    </row>
    <row r="1742" spans="12:31" ht="15" x14ac:dyDescent="0.2">
      <c r="L1742" s="154" t="e">
        <f t="shared" si="257"/>
        <v>#VALUE!</v>
      </c>
      <c r="M1742">
        <v>16.3</v>
      </c>
      <c r="N1742" s="154" t="e">
        <f t="shared" si="258"/>
        <v>#VALUE!</v>
      </c>
      <c r="O1742">
        <v>16.3</v>
      </c>
      <c r="P1742" s="154" t="e">
        <f t="shared" si="259"/>
        <v>#VALUE!</v>
      </c>
      <c r="Q1742">
        <v>16.3</v>
      </c>
      <c r="R1742" s="154" t="e">
        <f t="shared" si="260"/>
        <v>#VALUE!</v>
      </c>
      <c r="S1742">
        <v>16.3</v>
      </c>
      <c r="T1742" s="154" t="e">
        <f t="shared" si="261"/>
        <v>#VALUE!</v>
      </c>
      <c r="U1742">
        <v>16.3</v>
      </c>
      <c r="V1742" s="154" t="e">
        <f t="shared" si="262"/>
        <v>#VALUE!</v>
      </c>
      <c r="W1742">
        <v>16.3</v>
      </c>
      <c r="X1742" s="157" t="e">
        <f t="shared" si="263"/>
        <v>#VALUE!</v>
      </c>
      <c r="Y1742">
        <v>16.3</v>
      </c>
      <c r="Z1742" s="154" t="e">
        <f t="shared" si="264"/>
        <v>#VALUE!</v>
      </c>
      <c r="AA1742">
        <v>16.3</v>
      </c>
      <c r="AB1742" s="154" t="e">
        <f t="shared" si="265"/>
        <v>#VALUE!</v>
      </c>
      <c r="AC1742">
        <v>16.3</v>
      </c>
      <c r="AD1742" s="154" t="e">
        <f t="shared" si="266"/>
        <v>#VALUE!</v>
      </c>
      <c r="AE1742">
        <v>16.3</v>
      </c>
    </row>
    <row r="1743" spans="12:31" ht="15" x14ac:dyDescent="0.2">
      <c r="L1743" s="154" t="e">
        <f t="shared" si="257"/>
        <v>#VALUE!</v>
      </c>
      <c r="M1743">
        <v>16.309999999999999</v>
      </c>
      <c r="N1743" s="154" t="e">
        <f t="shared" si="258"/>
        <v>#VALUE!</v>
      </c>
      <c r="O1743">
        <v>16.309999999999999</v>
      </c>
      <c r="P1743" s="154" t="e">
        <f t="shared" si="259"/>
        <v>#VALUE!</v>
      </c>
      <c r="Q1743">
        <v>16.309999999999999</v>
      </c>
      <c r="R1743" s="154" t="e">
        <f t="shared" si="260"/>
        <v>#VALUE!</v>
      </c>
      <c r="S1743">
        <v>16.309999999999999</v>
      </c>
      <c r="T1743" s="154" t="e">
        <f t="shared" si="261"/>
        <v>#VALUE!</v>
      </c>
      <c r="U1743">
        <v>16.309999999999999</v>
      </c>
      <c r="V1743" s="154" t="e">
        <f t="shared" si="262"/>
        <v>#VALUE!</v>
      </c>
      <c r="W1743">
        <v>16.309999999999999</v>
      </c>
      <c r="X1743" s="157" t="e">
        <f t="shared" si="263"/>
        <v>#VALUE!</v>
      </c>
      <c r="Y1743">
        <v>16.309999999999999</v>
      </c>
      <c r="Z1743" s="154" t="e">
        <f t="shared" si="264"/>
        <v>#VALUE!</v>
      </c>
      <c r="AA1743">
        <v>16.309999999999999</v>
      </c>
      <c r="AB1743" s="154" t="e">
        <f t="shared" si="265"/>
        <v>#VALUE!</v>
      </c>
      <c r="AC1743">
        <v>16.309999999999999</v>
      </c>
      <c r="AD1743" s="154" t="e">
        <f t="shared" si="266"/>
        <v>#VALUE!</v>
      </c>
      <c r="AE1743">
        <v>16.309999999999999</v>
      </c>
    </row>
    <row r="1744" spans="12:31" ht="15" x14ac:dyDescent="0.2">
      <c r="L1744" s="154" t="e">
        <f t="shared" si="257"/>
        <v>#VALUE!</v>
      </c>
      <c r="M1744">
        <v>16.32</v>
      </c>
      <c r="N1744" s="154" t="e">
        <f t="shared" si="258"/>
        <v>#VALUE!</v>
      </c>
      <c r="O1744">
        <v>16.32</v>
      </c>
      <c r="P1744" s="154" t="e">
        <f t="shared" si="259"/>
        <v>#VALUE!</v>
      </c>
      <c r="Q1744">
        <v>16.32</v>
      </c>
      <c r="R1744" s="154" t="e">
        <f t="shared" si="260"/>
        <v>#VALUE!</v>
      </c>
      <c r="S1744">
        <v>16.32</v>
      </c>
      <c r="T1744" s="154" t="e">
        <f t="shared" si="261"/>
        <v>#VALUE!</v>
      </c>
      <c r="U1744">
        <v>16.32</v>
      </c>
      <c r="V1744" s="154" t="e">
        <f t="shared" si="262"/>
        <v>#VALUE!</v>
      </c>
      <c r="W1744">
        <v>16.32</v>
      </c>
      <c r="X1744" s="157" t="e">
        <f t="shared" si="263"/>
        <v>#VALUE!</v>
      </c>
      <c r="Y1744">
        <v>16.32</v>
      </c>
      <c r="Z1744" s="154" t="e">
        <f t="shared" si="264"/>
        <v>#VALUE!</v>
      </c>
      <c r="AA1744">
        <v>16.32</v>
      </c>
      <c r="AB1744" s="154" t="e">
        <f t="shared" si="265"/>
        <v>#VALUE!</v>
      </c>
      <c r="AC1744">
        <v>16.32</v>
      </c>
      <c r="AD1744" s="154" t="e">
        <f t="shared" si="266"/>
        <v>#VALUE!</v>
      </c>
      <c r="AE1744">
        <v>16.32</v>
      </c>
    </row>
    <row r="1745" spans="12:31" ht="15" x14ac:dyDescent="0.2">
      <c r="L1745" s="154" t="e">
        <f t="shared" si="257"/>
        <v>#VALUE!</v>
      </c>
      <c r="M1745">
        <v>16.329999999999998</v>
      </c>
      <c r="N1745" s="154" t="e">
        <f t="shared" si="258"/>
        <v>#VALUE!</v>
      </c>
      <c r="O1745">
        <v>16.329999999999998</v>
      </c>
      <c r="P1745" s="154" t="e">
        <f t="shared" si="259"/>
        <v>#VALUE!</v>
      </c>
      <c r="Q1745">
        <v>16.329999999999998</v>
      </c>
      <c r="R1745" s="154" t="e">
        <f t="shared" si="260"/>
        <v>#VALUE!</v>
      </c>
      <c r="S1745">
        <v>16.329999999999998</v>
      </c>
      <c r="T1745" s="154" t="e">
        <f t="shared" si="261"/>
        <v>#VALUE!</v>
      </c>
      <c r="U1745">
        <v>16.329999999999998</v>
      </c>
      <c r="V1745" s="154" t="e">
        <f t="shared" si="262"/>
        <v>#VALUE!</v>
      </c>
      <c r="W1745">
        <v>16.329999999999998</v>
      </c>
      <c r="X1745" s="157" t="e">
        <f t="shared" si="263"/>
        <v>#VALUE!</v>
      </c>
      <c r="Y1745">
        <v>16.329999999999998</v>
      </c>
      <c r="Z1745" s="154" t="e">
        <f t="shared" si="264"/>
        <v>#VALUE!</v>
      </c>
      <c r="AA1745">
        <v>16.329999999999998</v>
      </c>
      <c r="AB1745" s="154" t="e">
        <f t="shared" si="265"/>
        <v>#VALUE!</v>
      </c>
      <c r="AC1745">
        <v>16.329999999999998</v>
      </c>
      <c r="AD1745" s="154" t="e">
        <f t="shared" si="266"/>
        <v>#VALUE!</v>
      </c>
      <c r="AE1745">
        <v>16.329999999999998</v>
      </c>
    </row>
    <row r="1746" spans="12:31" ht="15" x14ac:dyDescent="0.2">
      <c r="L1746" s="154" t="e">
        <f t="shared" si="257"/>
        <v>#VALUE!</v>
      </c>
      <c r="M1746">
        <v>16.34</v>
      </c>
      <c r="N1746" s="154" t="e">
        <f t="shared" si="258"/>
        <v>#VALUE!</v>
      </c>
      <c r="O1746">
        <v>16.34</v>
      </c>
      <c r="P1746" s="154" t="e">
        <f t="shared" si="259"/>
        <v>#VALUE!</v>
      </c>
      <c r="Q1746">
        <v>16.34</v>
      </c>
      <c r="R1746" s="154" t="e">
        <f t="shared" si="260"/>
        <v>#VALUE!</v>
      </c>
      <c r="S1746">
        <v>16.34</v>
      </c>
      <c r="T1746" s="154" t="e">
        <f t="shared" si="261"/>
        <v>#VALUE!</v>
      </c>
      <c r="U1746">
        <v>16.34</v>
      </c>
      <c r="V1746" s="154" t="e">
        <f t="shared" si="262"/>
        <v>#VALUE!</v>
      </c>
      <c r="W1746">
        <v>16.34</v>
      </c>
      <c r="X1746" s="157" t="e">
        <f t="shared" si="263"/>
        <v>#VALUE!</v>
      </c>
      <c r="Y1746">
        <v>16.34</v>
      </c>
      <c r="Z1746" s="154" t="e">
        <f t="shared" si="264"/>
        <v>#VALUE!</v>
      </c>
      <c r="AA1746">
        <v>16.34</v>
      </c>
      <c r="AB1746" s="154" t="e">
        <f t="shared" si="265"/>
        <v>#VALUE!</v>
      </c>
      <c r="AC1746">
        <v>16.34</v>
      </c>
      <c r="AD1746" s="154" t="e">
        <f t="shared" si="266"/>
        <v>#VALUE!</v>
      </c>
      <c r="AE1746">
        <v>16.34</v>
      </c>
    </row>
    <row r="1747" spans="12:31" ht="15" x14ac:dyDescent="0.2">
      <c r="L1747" s="154" t="e">
        <f t="shared" si="257"/>
        <v>#VALUE!</v>
      </c>
      <c r="M1747">
        <v>16.350000000000001</v>
      </c>
      <c r="N1747" s="154" t="e">
        <f t="shared" si="258"/>
        <v>#VALUE!</v>
      </c>
      <c r="O1747">
        <v>16.350000000000001</v>
      </c>
      <c r="P1747" s="154" t="e">
        <f t="shared" si="259"/>
        <v>#VALUE!</v>
      </c>
      <c r="Q1747">
        <v>16.350000000000001</v>
      </c>
      <c r="R1747" s="154" t="e">
        <f t="shared" si="260"/>
        <v>#VALUE!</v>
      </c>
      <c r="S1747">
        <v>16.350000000000001</v>
      </c>
      <c r="T1747" s="154" t="e">
        <f t="shared" si="261"/>
        <v>#VALUE!</v>
      </c>
      <c r="U1747">
        <v>16.350000000000001</v>
      </c>
      <c r="V1747" s="154" t="e">
        <f t="shared" si="262"/>
        <v>#VALUE!</v>
      </c>
      <c r="W1747">
        <v>16.350000000000001</v>
      </c>
      <c r="X1747" s="157" t="e">
        <f t="shared" si="263"/>
        <v>#VALUE!</v>
      </c>
      <c r="Y1747">
        <v>16.350000000000001</v>
      </c>
      <c r="Z1747" s="154" t="e">
        <f t="shared" si="264"/>
        <v>#VALUE!</v>
      </c>
      <c r="AA1747">
        <v>16.350000000000001</v>
      </c>
      <c r="AB1747" s="154" t="e">
        <f t="shared" si="265"/>
        <v>#VALUE!</v>
      </c>
      <c r="AC1747">
        <v>16.350000000000001</v>
      </c>
      <c r="AD1747" s="154" t="e">
        <f t="shared" si="266"/>
        <v>#VALUE!</v>
      </c>
      <c r="AE1747">
        <v>16.350000000000001</v>
      </c>
    </row>
    <row r="1748" spans="12:31" ht="15" x14ac:dyDescent="0.2">
      <c r="L1748" s="154" t="e">
        <f t="shared" si="257"/>
        <v>#VALUE!</v>
      </c>
      <c r="M1748">
        <v>16.36</v>
      </c>
      <c r="N1748" s="154" t="e">
        <f t="shared" si="258"/>
        <v>#VALUE!</v>
      </c>
      <c r="O1748">
        <v>16.36</v>
      </c>
      <c r="P1748" s="154" t="e">
        <f t="shared" si="259"/>
        <v>#VALUE!</v>
      </c>
      <c r="Q1748">
        <v>16.36</v>
      </c>
      <c r="R1748" s="154" t="e">
        <f t="shared" si="260"/>
        <v>#VALUE!</v>
      </c>
      <c r="S1748">
        <v>16.36</v>
      </c>
      <c r="T1748" s="154" t="e">
        <f t="shared" si="261"/>
        <v>#VALUE!</v>
      </c>
      <c r="U1748">
        <v>16.36</v>
      </c>
      <c r="V1748" s="154" t="e">
        <f t="shared" si="262"/>
        <v>#VALUE!</v>
      </c>
      <c r="W1748">
        <v>16.36</v>
      </c>
      <c r="X1748" s="157" t="e">
        <f t="shared" si="263"/>
        <v>#VALUE!</v>
      </c>
      <c r="Y1748">
        <v>16.36</v>
      </c>
      <c r="Z1748" s="154" t="e">
        <f t="shared" si="264"/>
        <v>#VALUE!</v>
      </c>
      <c r="AA1748">
        <v>16.36</v>
      </c>
      <c r="AB1748" s="154" t="e">
        <f t="shared" si="265"/>
        <v>#VALUE!</v>
      </c>
      <c r="AC1748">
        <v>16.36</v>
      </c>
      <c r="AD1748" s="154" t="e">
        <f t="shared" si="266"/>
        <v>#VALUE!</v>
      </c>
      <c r="AE1748">
        <v>16.36</v>
      </c>
    </row>
    <row r="1749" spans="12:31" ht="15" x14ac:dyDescent="0.2">
      <c r="L1749" s="154" t="e">
        <f t="shared" si="257"/>
        <v>#VALUE!</v>
      </c>
      <c r="M1749">
        <v>16.37</v>
      </c>
      <c r="N1749" s="154" t="e">
        <f t="shared" si="258"/>
        <v>#VALUE!</v>
      </c>
      <c r="O1749">
        <v>16.37</v>
      </c>
      <c r="P1749" s="154" t="e">
        <f t="shared" si="259"/>
        <v>#VALUE!</v>
      </c>
      <c r="Q1749">
        <v>16.37</v>
      </c>
      <c r="R1749" s="154" t="e">
        <f t="shared" si="260"/>
        <v>#VALUE!</v>
      </c>
      <c r="S1749">
        <v>16.37</v>
      </c>
      <c r="T1749" s="154" t="e">
        <f t="shared" si="261"/>
        <v>#VALUE!</v>
      </c>
      <c r="U1749">
        <v>16.37</v>
      </c>
      <c r="V1749" s="154" t="e">
        <f t="shared" si="262"/>
        <v>#VALUE!</v>
      </c>
      <c r="W1749">
        <v>16.37</v>
      </c>
      <c r="X1749" s="157" t="e">
        <f t="shared" si="263"/>
        <v>#VALUE!</v>
      </c>
      <c r="Y1749">
        <v>16.37</v>
      </c>
      <c r="Z1749" s="154" t="e">
        <f t="shared" si="264"/>
        <v>#VALUE!</v>
      </c>
      <c r="AA1749">
        <v>16.37</v>
      </c>
      <c r="AB1749" s="154" t="e">
        <f t="shared" si="265"/>
        <v>#VALUE!</v>
      </c>
      <c r="AC1749">
        <v>16.37</v>
      </c>
      <c r="AD1749" s="154" t="e">
        <f t="shared" si="266"/>
        <v>#VALUE!</v>
      </c>
      <c r="AE1749">
        <v>16.37</v>
      </c>
    </row>
    <row r="1750" spans="12:31" ht="15" x14ac:dyDescent="0.2">
      <c r="L1750" s="154" t="e">
        <f t="shared" si="257"/>
        <v>#VALUE!</v>
      </c>
      <c r="M1750">
        <v>16.38</v>
      </c>
      <c r="N1750" s="154" t="e">
        <f t="shared" si="258"/>
        <v>#VALUE!</v>
      </c>
      <c r="O1750">
        <v>16.38</v>
      </c>
      <c r="P1750" s="154" t="e">
        <f t="shared" si="259"/>
        <v>#VALUE!</v>
      </c>
      <c r="Q1750">
        <v>16.38</v>
      </c>
      <c r="R1750" s="154" t="e">
        <f t="shared" si="260"/>
        <v>#VALUE!</v>
      </c>
      <c r="S1750">
        <v>16.38</v>
      </c>
      <c r="T1750" s="154" t="e">
        <f t="shared" si="261"/>
        <v>#VALUE!</v>
      </c>
      <c r="U1750">
        <v>16.38</v>
      </c>
      <c r="V1750" s="154" t="e">
        <f t="shared" si="262"/>
        <v>#VALUE!</v>
      </c>
      <c r="W1750">
        <v>16.38</v>
      </c>
      <c r="X1750" s="157" t="e">
        <f t="shared" si="263"/>
        <v>#VALUE!</v>
      </c>
      <c r="Y1750">
        <v>16.38</v>
      </c>
      <c r="Z1750" s="154" t="e">
        <f t="shared" si="264"/>
        <v>#VALUE!</v>
      </c>
      <c r="AA1750">
        <v>16.38</v>
      </c>
      <c r="AB1750" s="154" t="e">
        <f t="shared" si="265"/>
        <v>#VALUE!</v>
      </c>
      <c r="AC1750">
        <v>16.38</v>
      </c>
      <c r="AD1750" s="154" t="e">
        <f t="shared" si="266"/>
        <v>#VALUE!</v>
      </c>
      <c r="AE1750">
        <v>16.38</v>
      </c>
    </row>
    <row r="1751" spans="12:31" ht="15" x14ac:dyDescent="0.2">
      <c r="L1751" s="154" t="e">
        <f t="shared" si="257"/>
        <v>#VALUE!</v>
      </c>
      <c r="M1751">
        <v>16.39</v>
      </c>
      <c r="N1751" s="154" t="e">
        <f t="shared" si="258"/>
        <v>#VALUE!</v>
      </c>
      <c r="O1751">
        <v>16.39</v>
      </c>
      <c r="P1751" s="154" t="e">
        <f t="shared" si="259"/>
        <v>#VALUE!</v>
      </c>
      <c r="Q1751">
        <v>16.39</v>
      </c>
      <c r="R1751" s="154" t="e">
        <f t="shared" si="260"/>
        <v>#VALUE!</v>
      </c>
      <c r="S1751">
        <v>16.39</v>
      </c>
      <c r="T1751" s="154" t="e">
        <f t="shared" si="261"/>
        <v>#VALUE!</v>
      </c>
      <c r="U1751">
        <v>16.39</v>
      </c>
      <c r="V1751" s="154" t="e">
        <f t="shared" si="262"/>
        <v>#VALUE!</v>
      </c>
      <c r="W1751">
        <v>16.39</v>
      </c>
      <c r="X1751" s="157" t="e">
        <f t="shared" si="263"/>
        <v>#VALUE!</v>
      </c>
      <c r="Y1751">
        <v>16.39</v>
      </c>
      <c r="Z1751" s="154" t="e">
        <f t="shared" si="264"/>
        <v>#VALUE!</v>
      </c>
      <c r="AA1751">
        <v>16.39</v>
      </c>
      <c r="AB1751" s="154" t="e">
        <f t="shared" si="265"/>
        <v>#VALUE!</v>
      </c>
      <c r="AC1751">
        <v>16.39</v>
      </c>
      <c r="AD1751" s="154" t="e">
        <f t="shared" si="266"/>
        <v>#VALUE!</v>
      </c>
      <c r="AE1751">
        <v>16.39</v>
      </c>
    </row>
    <row r="1752" spans="12:31" ht="15" x14ac:dyDescent="0.2">
      <c r="L1752" s="154" t="e">
        <f t="shared" si="257"/>
        <v>#VALUE!</v>
      </c>
      <c r="M1752">
        <v>16.399999999999999</v>
      </c>
      <c r="N1752" s="154" t="e">
        <f t="shared" si="258"/>
        <v>#VALUE!</v>
      </c>
      <c r="O1752">
        <v>16.399999999999999</v>
      </c>
      <c r="P1752" s="154" t="e">
        <f t="shared" si="259"/>
        <v>#VALUE!</v>
      </c>
      <c r="Q1752">
        <v>16.399999999999999</v>
      </c>
      <c r="R1752" s="154" t="e">
        <f t="shared" si="260"/>
        <v>#VALUE!</v>
      </c>
      <c r="S1752">
        <v>16.399999999999999</v>
      </c>
      <c r="T1752" s="154" t="e">
        <f t="shared" si="261"/>
        <v>#VALUE!</v>
      </c>
      <c r="U1752">
        <v>16.399999999999999</v>
      </c>
      <c r="V1752" s="154" t="e">
        <f t="shared" si="262"/>
        <v>#VALUE!</v>
      </c>
      <c r="W1752">
        <v>16.399999999999999</v>
      </c>
      <c r="X1752" s="157" t="e">
        <f t="shared" si="263"/>
        <v>#VALUE!</v>
      </c>
      <c r="Y1752">
        <v>16.399999999999999</v>
      </c>
      <c r="Z1752" s="154" t="e">
        <f t="shared" si="264"/>
        <v>#VALUE!</v>
      </c>
      <c r="AA1752">
        <v>16.399999999999999</v>
      </c>
      <c r="AB1752" s="154" t="e">
        <f t="shared" si="265"/>
        <v>#VALUE!</v>
      </c>
      <c r="AC1752">
        <v>16.399999999999999</v>
      </c>
      <c r="AD1752" s="154" t="e">
        <f t="shared" si="266"/>
        <v>#VALUE!</v>
      </c>
      <c r="AE1752">
        <v>16.399999999999999</v>
      </c>
    </row>
    <row r="1753" spans="12:31" ht="15" x14ac:dyDescent="0.2">
      <c r="L1753" s="154" t="e">
        <f t="shared" si="257"/>
        <v>#VALUE!</v>
      </c>
      <c r="M1753">
        <v>16.41</v>
      </c>
      <c r="N1753" s="154" t="e">
        <f t="shared" si="258"/>
        <v>#VALUE!</v>
      </c>
      <c r="O1753">
        <v>16.41</v>
      </c>
      <c r="P1753" s="154" t="e">
        <f t="shared" si="259"/>
        <v>#VALUE!</v>
      </c>
      <c r="Q1753">
        <v>16.41</v>
      </c>
      <c r="R1753" s="154" t="e">
        <f t="shared" si="260"/>
        <v>#VALUE!</v>
      </c>
      <c r="S1753">
        <v>16.41</v>
      </c>
      <c r="T1753" s="154" t="e">
        <f t="shared" si="261"/>
        <v>#VALUE!</v>
      </c>
      <c r="U1753">
        <v>16.41</v>
      </c>
      <c r="V1753" s="154" t="e">
        <f t="shared" si="262"/>
        <v>#VALUE!</v>
      </c>
      <c r="W1753">
        <v>16.41</v>
      </c>
      <c r="X1753" s="157" t="e">
        <f t="shared" si="263"/>
        <v>#VALUE!</v>
      </c>
      <c r="Y1753">
        <v>16.41</v>
      </c>
      <c r="Z1753" s="154" t="e">
        <f t="shared" si="264"/>
        <v>#VALUE!</v>
      </c>
      <c r="AA1753">
        <v>16.41</v>
      </c>
      <c r="AB1753" s="154" t="e">
        <f t="shared" si="265"/>
        <v>#VALUE!</v>
      </c>
      <c r="AC1753">
        <v>16.41</v>
      </c>
      <c r="AD1753" s="154" t="e">
        <f t="shared" si="266"/>
        <v>#VALUE!</v>
      </c>
      <c r="AE1753">
        <v>16.41</v>
      </c>
    </row>
    <row r="1754" spans="12:31" ht="15" x14ac:dyDescent="0.2">
      <c r="L1754" s="154" t="e">
        <f t="shared" si="257"/>
        <v>#VALUE!</v>
      </c>
      <c r="M1754">
        <v>16.420000000000002</v>
      </c>
      <c r="N1754" s="154" t="e">
        <f t="shared" si="258"/>
        <v>#VALUE!</v>
      </c>
      <c r="O1754">
        <v>16.420000000000002</v>
      </c>
      <c r="P1754" s="154" t="e">
        <f t="shared" si="259"/>
        <v>#VALUE!</v>
      </c>
      <c r="Q1754">
        <v>16.420000000000002</v>
      </c>
      <c r="R1754" s="154" t="e">
        <f t="shared" si="260"/>
        <v>#VALUE!</v>
      </c>
      <c r="S1754">
        <v>16.420000000000002</v>
      </c>
      <c r="T1754" s="154" t="e">
        <f t="shared" si="261"/>
        <v>#VALUE!</v>
      </c>
      <c r="U1754">
        <v>16.420000000000002</v>
      </c>
      <c r="V1754" s="154" t="e">
        <f t="shared" si="262"/>
        <v>#VALUE!</v>
      </c>
      <c r="W1754">
        <v>16.420000000000002</v>
      </c>
      <c r="X1754" s="157" t="e">
        <f t="shared" si="263"/>
        <v>#VALUE!</v>
      </c>
      <c r="Y1754">
        <v>16.420000000000002</v>
      </c>
      <c r="Z1754" s="154" t="e">
        <f t="shared" si="264"/>
        <v>#VALUE!</v>
      </c>
      <c r="AA1754">
        <v>16.420000000000002</v>
      </c>
      <c r="AB1754" s="154" t="e">
        <f t="shared" si="265"/>
        <v>#VALUE!</v>
      </c>
      <c r="AC1754">
        <v>16.420000000000002</v>
      </c>
      <c r="AD1754" s="154" t="e">
        <f t="shared" si="266"/>
        <v>#VALUE!</v>
      </c>
      <c r="AE1754">
        <v>16.420000000000002</v>
      </c>
    </row>
    <row r="1755" spans="12:31" ht="15" x14ac:dyDescent="0.2">
      <c r="L1755" s="154" t="e">
        <f t="shared" si="257"/>
        <v>#VALUE!</v>
      </c>
      <c r="M1755">
        <v>16.43</v>
      </c>
      <c r="N1755" s="154" t="e">
        <f t="shared" si="258"/>
        <v>#VALUE!</v>
      </c>
      <c r="O1755">
        <v>16.43</v>
      </c>
      <c r="P1755" s="154" t="e">
        <f t="shared" si="259"/>
        <v>#VALUE!</v>
      </c>
      <c r="Q1755">
        <v>16.43</v>
      </c>
      <c r="R1755" s="154" t="e">
        <f t="shared" si="260"/>
        <v>#VALUE!</v>
      </c>
      <c r="S1755">
        <v>16.43</v>
      </c>
      <c r="T1755" s="154" t="e">
        <f t="shared" si="261"/>
        <v>#VALUE!</v>
      </c>
      <c r="U1755">
        <v>16.43</v>
      </c>
      <c r="V1755" s="154" t="e">
        <f t="shared" si="262"/>
        <v>#VALUE!</v>
      </c>
      <c r="W1755">
        <v>16.43</v>
      </c>
      <c r="X1755" s="157" t="e">
        <f t="shared" si="263"/>
        <v>#VALUE!</v>
      </c>
      <c r="Y1755">
        <v>16.43</v>
      </c>
      <c r="Z1755" s="154" t="e">
        <f t="shared" si="264"/>
        <v>#VALUE!</v>
      </c>
      <c r="AA1755">
        <v>16.43</v>
      </c>
      <c r="AB1755" s="154" t="e">
        <f t="shared" si="265"/>
        <v>#VALUE!</v>
      </c>
      <c r="AC1755">
        <v>16.43</v>
      </c>
      <c r="AD1755" s="154" t="e">
        <f t="shared" si="266"/>
        <v>#VALUE!</v>
      </c>
      <c r="AE1755">
        <v>16.43</v>
      </c>
    </row>
    <row r="1756" spans="12:31" ht="15" x14ac:dyDescent="0.2">
      <c r="L1756" s="154" t="e">
        <f t="shared" si="257"/>
        <v>#VALUE!</v>
      </c>
      <c r="M1756">
        <v>16.440000000000001</v>
      </c>
      <c r="N1756" s="154" t="e">
        <f t="shared" si="258"/>
        <v>#VALUE!</v>
      </c>
      <c r="O1756">
        <v>16.440000000000001</v>
      </c>
      <c r="P1756" s="154" t="e">
        <f t="shared" si="259"/>
        <v>#VALUE!</v>
      </c>
      <c r="Q1756">
        <v>16.440000000000001</v>
      </c>
      <c r="R1756" s="154" t="e">
        <f t="shared" si="260"/>
        <v>#VALUE!</v>
      </c>
      <c r="S1756">
        <v>16.440000000000001</v>
      </c>
      <c r="T1756" s="154" t="e">
        <f t="shared" si="261"/>
        <v>#VALUE!</v>
      </c>
      <c r="U1756">
        <v>16.440000000000001</v>
      </c>
      <c r="V1756" s="154" t="e">
        <f t="shared" si="262"/>
        <v>#VALUE!</v>
      </c>
      <c r="W1756">
        <v>16.440000000000001</v>
      </c>
      <c r="X1756" s="157" t="e">
        <f t="shared" si="263"/>
        <v>#VALUE!</v>
      </c>
      <c r="Y1756">
        <v>16.440000000000001</v>
      </c>
      <c r="Z1756" s="154" t="e">
        <f t="shared" si="264"/>
        <v>#VALUE!</v>
      </c>
      <c r="AA1756">
        <v>16.440000000000001</v>
      </c>
      <c r="AB1756" s="154" t="e">
        <f t="shared" si="265"/>
        <v>#VALUE!</v>
      </c>
      <c r="AC1756">
        <v>16.440000000000001</v>
      </c>
      <c r="AD1756" s="154" t="e">
        <f t="shared" si="266"/>
        <v>#VALUE!</v>
      </c>
      <c r="AE1756">
        <v>16.440000000000001</v>
      </c>
    </row>
    <row r="1757" spans="12:31" ht="15" x14ac:dyDescent="0.2">
      <c r="L1757" s="154" t="e">
        <f t="shared" si="257"/>
        <v>#VALUE!</v>
      </c>
      <c r="M1757">
        <v>16.45</v>
      </c>
      <c r="N1757" s="154" t="e">
        <f t="shared" si="258"/>
        <v>#VALUE!</v>
      </c>
      <c r="O1757">
        <v>16.45</v>
      </c>
      <c r="P1757" s="154" t="e">
        <f t="shared" si="259"/>
        <v>#VALUE!</v>
      </c>
      <c r="Q1757">
        <v>16.45</v>
      </c>
      <c r="R1757" s="154" t="e">
        <f t="shared" si="260"/>
        <v>#VALUE!</v>
      </c>
      <c r="S1757">
        <v>16.45</v>
      </c>
      <c r="T1757" s="154" t="e">
        <f t="shared" si="261"/>
        <v>#VALUE!</v>
      </c>
      <c r="U1757">
        <v>16.45</v>
      </c>
      <c r="V1757" s="154" t="e">
        <f t="shared" si="262"/>
        <v>#VALUE!</v>
      </c>
      <c r="W1757">
        <v>16.45</v>
      </c>
      <c r="X1757" s="157" t="e">
        <f t="shared" si="263"/>
        <v>#VALUE!</v>
      </c>
      <c r="Y1757">
        <v>16.45</v>
      </c>
      <c r="Z1757" s="154" t="e">
        <f t="shared" si="264"/>
        <v>#VALUE!</v>
      </c>
      <c r="AA1757">
        <v>16.45</v>
      </c>
      <c r="AB1757" s="154" t="e">
        <f t="shared" si="265"/>
        <v>#VALUE!</v>
      </c>
      <c r="AC1757">
        <v>16.45</v>
      </c>
      <c r="AD1757" s="154" t="e">
        <f t="shared" si="266"/>
        <v>#VALUE!</v>
      </c>
      <c r="AE1757">
        <v>16.45</v>
      </c>
    </row>
    <row r="1758" spans="12:31" ht="15" x14ac:dyDescent="0.2">
      <c r="L1758" s="154" t="e">
        <f t="shared" si="257"/>
        <v>#VALUE!</v>
      </c>
      <c r="M1758">
        <v>16.46</v>
      </c>
      <c r="N1758" s="154" t="e">
        <f t="shared" si="258"/>
        <v>#VALUE!</v>
      </c>
      <c r="O1758">
        <v>16.46</v>
      </c>
      <c r="P1758" s="154" t="e">
        <f t="shared" si="259"/>
        <v>#VALUE!</v>
      </c>
      <c r="Q1758">
        <v>16.46</v>
      </c>
      <c r="R1758" s="154" t="e">
        <f t="shared" si="260"/>
        <v>#VALUE!</v>
      </c>
      <c r="S1758">
        <v>16.46</v>
      </c>
      <c r="T1758" s="154" t="e">
        <f t="shared" si="261"/>
        <v>#VALUE!</v>
      </c>
      <c r="U1758">
        <v>16.46</v>
      </c>
      <c r="V1758" s="154" t="e">
        <f t="shared" si="262"/>
        <v>#VALUE!</v>
      </c>
      <c r="W1758">
        <v>16.46</v>
      </c>
      <c r="X1758" s="157" t="e">
        <f t="shared" si="263"/>
        <v>#VALUE!</v>
      </c>
      <c r="Y1758">
        <v>16.46</v>
      </c>
      <c r="Z1758" s="154" t="e">
        <f t="shared" si="264"/>
        <v>#VALUE!</v>
      </c>
      <c r="AA1758">
        <v>16.46</v>
      </c>
      <c r="AB1758" s="154" t="e">
        <f t="shared" si="265"/>
        <v>#VALUE!</v>
      </c>
      <c r="AC1758">
        <v>16.46</v>
      </c>
      <c r="AD1758" s="154" t="e">
        <f t="shared" si="266"/>
        <v>#VALUE!</v>
      </c>
      <c r="AE1758">
        <v>16.46</v>
      </c>
    </row>
    <row r="1759" spans="12:31" ht="15" x14ac:dyDescent="0.2">
      <c r="L1759" s="154" t="e">
        <f t="shared" si="257"/>
        <v>#VALUE!</v>
      </c>
      <c r="M1759">
        <v>16.47</v>
      </c>
      <c r="N1759" s="154" t="e">
        <f t="shared" si="258"/>
        <v>#VALUE!</v>
      </c>
      <c r="O1759">
        <v>16.47</v>
      </c>
      <c r="P1759" s="154" t="e">
        <f t="shared" si="259"/>
        <v>#VALUE!</v>
      </c>
      <c r="Q1759">
        <v>16.47</v>
      </c>
      <c r="R1759" s="154" t="e">
        <f t="shared" si="260"/>
        <v>#VALUE!</v>
      </c>
      <c r="S1759">
        <v>16.47</v>
      </c>
      <c r="T1759" s="154" t="e">
        <f t="shared" si="261"/>
        <v>#VALUE!</v>
      </c>
      <c r="U1759">
        <v>16.47</v>
      </c>
      <c r="V1759" s="154" t="e">
        <f t="shared" si="262"/>
        <v>#VALUE!</v>
      </c>
      <c r="W1759">
        <v>16.47</v>
      </c>
      <c r="X1759" s="157" t="e">
        <f t="shared" si="263"/>
        <v>#VALUE!</v>
      </c>
      <c r="Y1759">
        <v>16.47</v>
      </c>
      <c r="Z1759" s="154" t="e">
        <f t="shared" si="264"/>
        <v>#VALUE!</v>
      </c>
      <c r="AA1759">
        <v>16.47</v>
      </c>
      <c r="AB1759" s="154" t="e">
        <f t="shared" si="265"/>
        <v>#VALUE!</v>
      </c>
      <c r="AC1759">
        <v>16.47</v>
      </c>
      <c r="AD1759" s="154" t="e">
        <f t="shared" si="266"/>
        <v>#VALUE!</v>
      </c>
      <c r="AE1759">
        <v>16.47</v>
      </c>
    </row>
    <row r="1760" spans="12:31" ht="15" x14ac:dyDescent="0.2">
      <c r="L1760" s="154" t="e">
        <f t="shared" si="257"/>
        <v>#VALUE!</v>
      </c>
      <c r="M1760">
        <v>16.48</v>
      </c>
      <c r="N1760" s="154" t="e">
        <f t="shared" si="258"/>
        <v>#VALUE!</v>
      </c>
      <c r="O1760">
        <v>16.48</v>
      </c>
      <c r="P1760" s="154" t="e">
        <f t="shared" si="259"/>
        <v>#VALUE!</v>
      </c>
      <c r="Q1760">
        <v>16.48</v>
      </c>
      <c r="R1760" s="154" t="e">
        <f t="shared" si="260"/>
        <v>#VALUE!</v>
      </c>
      <c r="S1760">
        <v>16.48</v>
      </c>
      <c r="T1760" s="154" t="e">
        <f t="shared" si="261"/>
        <v>#VALUE!</v>
      </c>
      <c r="U1760">
        <v>16.48</v>
      </c>
      <c r="V1760" s="154" t="e">
        <f t="shared" si="262"/>
        <v>#VALUE!</v>
      </c>
      <c r="W1760">
        <v>16.48</v>
      </c>
      <c r="X1760" s="157" t="e">
        <f t="shared" si="263"/>
        <v>#VALUE!</v>
      </c>
      <c r="Y1760">
        <v>16.48</v>
      </c>
      <c r="Z1760" s="154" t="e">
        <f t="shared" si="264"/>
        <v>#VALUE!</v>
      </c>
      <c r="AA1760">
        <v>16.48</v>
      </c>
      <c r="AB1760" s="154" t="e">
        <f t="shared" si="265"/>
        <v>#VALUE!</v>
      </c>
      <c r="AC1760">
        <v>16.48</v>
      </c>
      <c r="AD1760" s="154" t="e">
        <f t="shared" si="266"/>
        <v>#VALUE!</v>
      </c>
      <c r="AE1760">
        <v>16.48</v>
      </c>
    </row>
    <row r="1761" spans="12:31" ht="15" x14ac:dyDescent="0.2">
      <c r="L1761" s="154" t="e">
        <f t="shared" si="257"/>
        <v>#VALUE!</v>
      </c>
      <c r="M1761">
        <v>16.489999999999998</v>
      </c>
      <c r="N1761" s="154" t="e">
        <f t="shared" si="258"/>
        <v>#VALUE!</v>
      </c>
      <c r="O1761">
        <v>16.489999999999998</v>
      </c>
      <c r="P1761" s="154" t="e">
        <f t="shared" si="259"/>
        <v>#VALUE!</v>
      </c>
      <c r="Q1761">
        <v>16.489999999999998</v>
      </c>
      <c r="R1761" s="154" t="e">
        <f t="shared" si="260"/>
        <v>#VALUE!</v>
      </c>
      <c r="S1761">
        <v>16.489999999999998</v>
      </c>
      <c r="T1761" s="154" t="e">
        <f t="shared" si="261"/>
        <v>#VALUE!</v>
      </c>
      <c r="U1761">
        <v>16.489999999999998</v>
      </c>
      <c r="V1761" s="154" t="e">
        <f t="shared" si="262"/>
        <v>#VALUE!</v>
      </c>
      <c r="W1761">
        <v>16.489999999999998</v>
      </c>
      <c r="X1761" s="157" t="e">
        <f t="shared" si="263"/>
        <v>#VALUE!</v>
      </c>
      <c r="Y1761">
        <v>16.489999999999998</v>
      </c>
      <c r="Z1761" s="154" t="e">
        <f t="shared" si="264"/>
        <v>#VALUE!</v>
      </c>
      <c r="AA1761">
        <v>16.489999999999998</v>
      </c>
      <c r="AB1761" s="154" t="e">
        <f t="shared" si="265"/>
        <v>#VALUE!</v>
      </c>
      <c r="AC1761">
        <v>16.489999999999998</v>
      </c>
      <c r="AD1761" s="154" t="e">
        <f t="shared" si="266"/>
        <v>#VALUE!</v>
      </c>
      <c r="AE1761">
        <v>16.489999999999998</v>
      </c>
    </row>
    <row r="1762" spans="12:31" ht="15" x14ac:dyDescent="0.2">
      <c r="L1762" s="154" t="e">
        <f t="shared" si="257"/>
        <v>#VALUE!</v>
      </c>
      <c r="M1762">
        <v>16.5</v>
      </c>
      <c r="N1762" s="154" t="e">
        <f t="shared" si="258"/>
        <v>#VALUE!</v>
      </c>
      <c r="O1762">
        <v>16.5</v>
      </c>
      <c r="P1762" s="154" t="e">
        <f t="shared" si="259"/>
        <v>#VALUE!</v>
      </c>
      <c r="Q1762">
        <v>16.5</v>
      </c>
      <c r="R1762" s="154" t="e">
        <f t="shared" si="260"/>
        <v>#VALUE!</v>
      </c>
      <c r="S1762">
        <v>16.5</v>
      </c>
      <c r="T1762" s="154" t="e">
        <f t="shared" si="261"/>
        <v>#VALUE!</v>
      </c>
      <c r="U1762">
        <v>16.5</v>
      </c>
      <c r="V1762" s="154" t="e">
        <f t="shared" si="262"/>
        <v>#VALUE!</v>
      </c>
      <c r="W1762">
        <v>16.5</v>
      </c>
      <c r="X1762" s="157" t="e">
        <f t="shared" si="263"/>
        <v>#VALUE!</v>
      </c>
      <c r="Y1762">
        <v>16.5</v>
      </c>
      <c r="Z1762" s="154" t="e">
        <f t="shared" si="264"/>
        <v>#VALUE!</v>
      </c>
      <c r="AA1762">
        <v>16.5</v>
      </c>
      <c r="AB1762" s="154" t="e">
        <f t="shared" si="265"/>
        <v>#VALUE!</v>
      </c>
      <c r="AC1762">
        <v>16.5</v>
      </c>
      <c r="AD1762" s="154" t="e">
        <f t="shared" si="266"/>
        <v>#VALUE!</v>
      </c>
      <c r="AE1762">
        <v>16.5</v>
      </c>
    </row>
    <row r="1763" spans="12:31" ht="15" x14ac:dyDescent="0.2">
      <c r="L1763" s="154" t="e">
        <f t="shared" si="257"/>
        <v>#VALUE!</v>
      </c>
      <c r="M1763">
        <v>16.510000000000002</v>
      </c>
      <c r="N1763" s="154" t="e">
        <f t="shared" si="258"/>
        <v>#VALUE!</v>
      </c>
      <c r="O1763">
        <v>16.510000000000002</v>
      </c>
      <c r="P1763" s="154" t="e">
        <f t="shared" si="259"/>
        <v>#VALUE!</v>
      </c>
      <c r="Q1763">
        <v>16.510000000000002</v>
      </c>
      <c r="R1763" s="154" t="e">
        <f t="shared" si="260"/>
        <v>#VALUE!</v>
      </c>
      <c r="S1763">
        <v>16.510000000000002</v>
      </c>
      <c r="T1763" s="154" t="e">
        <f t="shared" si="261"/>
        <v>#VALUE!</v>
      </c>
      <c r="U1763">
        <v>16.510000000000002</v>
      </c>
      <c r="V1763" s="154" t="e">
        <f t="shared" si="262"/>
        <v>#VALUE!</v>
      </c>
      <c r="W1763">
        <v>16.510000000000002</v>
      </c>
      <c r="X1763" s="157" t="e">
        <f t="shared" si="263"/>
        <v>#VALUE!</v>
      </c>
      <c r="Y1763">
        <v>16.510000000000002</v>
      </c>
      <c r="Z1763" s="154" t="e">
        <f t="shared" si="264"/>
        <v>#VALUE!</v>
      </c>
      <c r="AA1763">
        <v>16.510000000000002</v>
      </c>
      <c r="AB1763" s="154" t="e">
        <f t="shared" si="265"/>
        <v>#VALUE!</v>
      </c>
      <c r="AC1763">
        <v>16.510000000000002</v>
      </c>
      <c r="AD1763" s="154" t="e">
        <f t="shared" si="266"/>
        <v>#VALUE!</v>
      </c>
      <c r="AE1763">
        <v>16.510000000000002</v>
      </c>
    </row>
    <row r="1764" spans="12:31" ht="15" x14ac:dyDescent="0.2">
      <c r="L1764" s="154" t="e">
        <f t="shared" si="257"/>
        <v>#VALUE!</v>
      </c>
      <c r="M1764">
        <v>16.52</v>
      </c>
      <c r="N1764" s="154" t="e">
        <f t="shared" si="258"/>
        <v>#VALUE!</v>
      </c>
      <c r="O1764">
        <v>16.52</v>
      </c>
      <c r="P1764" s="154" t="e">
        <f t="shared" si="259"/>
        <v>#VALUE!</v>
      </c>
      <c r="Q1764">
        <v>16.52</v>
      </c>
      <c r="R1764" s="154" t="e">
        <f t="shared" si="260"/>
        <v>#VALUE!</v>
      </c>
      <c r="S1764">
        <v>16.52</v>
      </c>
      <c r="T1764" s="154" t="e">
        <f t="shared" si="261"/>
        <v>#VALUE!</v>
      </c>
      <c r="U1764">
        <v>16.52</v>
      </c>
      <c r="V1764" s="154" t="e">
        <f t="shared" si="262"/>
        <v>#VALUE!</v>
      </c>
      <c r="W1764">
        <v>16.52</v>
      </c>
      <c r="X1764" s="157" t="e">
        <f t="shared" si="263"/>
        <v>#VALUE!</v>
      </c>
      <c r="Y1764">
        <v>16.52</v>
      </c>
      <c r="Z1764" s="154" t="e">
        <f t="shared" si="264"/>
        <v>#VALUE!</v>
      </c>
      <c r="AA1764">
        <v>16.52</v>
      </c>
      <c r="AB1764" s="154" t="e">
        <f t="shared" si="265"/>
        <v>#VALUE!</v>
      </c>
      <c r="AC1764">
        <v>16.52</v>
      </c>
      <c r="AD1764" s="154" t="e">
        <f t="shared" si="266"/>
        <v>#VALUE!</v>
      </c>
      <c r="AE1764">
        <v>16.52</v>
      </c>
    </row>
    <row r="1765" spans="12:31" ht="15" x14ac:dyDescent="0.2">
      <c r="L1765" s="154" t="e">
        <f t="shared" si="257"/>
        <v>#VALUE!</v>
      </c>
      <c r="M1765">
        <v>16.53</v>
      </c>
      <c r="N1765" s="154" t="e">
        <f t="shared" si="258"/>
        <v>#VALUE!</v>
      </c>
      <c r="O1765">
        <v>16.53</v>
      </c>
      <c r="P1765" s="154" t="e">
        <f t="shared" si="259"/>
        <v>#VALUE!</v>
      </c>
      <c r="Q1765">
        <v>16.53</v>
      </c>
      <c r="R1765" s="154" t="e">
        <f t="shared" si="260"/>
        <v>#VALUE!</v>
      </c>
      <c r="S1765">
        <v>16.53</v>
      </c>
      <c r="T1765" s="154" t="e">
        <f t="shared" si="261"/>
        <v>#VALUE!</v>
      </c>
      <c r="U1765">
        <v>16.53</v>
      </c>
      <c r="V1765" s="154" t="e">
        <f t="shared" si="262"/>
        <v>#VALUE!</v>
      </c>
      <c r="W1765">
        <v>16.53</v>
      </c>
      <c r="X1765" s="157" t="e">
        <f t="shared" si="263"/>
        <v>#VALUE!</v>
      </c>
      <c r="Y1765">
        <v>16.53</v>
      </c>
      <c r="Z1765" s="154" t="e">
        <f t="shared" si="264"/>
        <v>#VALUE!</v>
      </c>
      <c r="AA1765">
        <v>16.53</v>
      </c>
      <c r="AB1765" s="154" t="e">
        <f t="shared" si="265"/>
        <v>#VALUE!</v>
      </c>
      <c r="AC1765">
        <v>16.53</v>
      </c>
      <c r="AD1765" s="154" t="e">
        <f t="shared" si="266"/>
        <v>#VALUE!</v>
      </c>
      <c r="AE1765">
        <v>16.53</v>
      </c>
    </row>
    <row r="1766" spans="12:31" ht="15" x14ac:dyDescent="0.2">
      <c r="L1766" s="154" t="e">
        <f t="shared" si="257"/>
        <v>#VALUE!</v>
      </c>
      <c r="M1766">
        <v>16.54</v>
      </c>
      <c r="N1766" s="154" t="e">
        <f t="shared" si="258"/>
        <v>#VALUE!</v>
      </c>
      <c r="O1766">
        <v>16.54</v>
      </c>
      <c r="P1766" s="154" t="e">
        <f t="shared" si="259"/>
        <v>#VALUE!</v>
      </c>
      <c r="Q1766">
        <v>16.54</v>
      </c>
      <c r="R1766" s="154" t="e">
        <f t="shared" si="260"/>
        <v>#VALUE!</v>
      </c>
      <c r="S1766">
        <v>16.54</v>
      </c>
      <c r="T1766" s="154" t="e">
        <f t="shared" si="261"/>
        <v>#VALUE!</v>
      </c>
      <c r="U1766">
        <v>16.54</v>
      </c>
      <c r="V1766" s="154" t="e">
        <f t="shared" si="262"/>
        <v>#VALUE!</v>
      </c>
      <c r="W1766">
        <v>16.54</v>
      </c>
      <c r="X1766" s="157" t="e">
        <f t="shared" si="263"/>
        <v>#VALUE!</v>
      </c>
      <c r="Y1766">
        <v>16.54</v>
      </c>
      <c r="Z1766" s="154" t="e">
        <f t="shared" si="264"/>
        <v>#VALUE!</v>
      </c>
      <c r="AA1766">
        <v>16.54</v>
      </c>
      <c r="AB1766" s="154" t="e">
        <f t="shared" si="265"/>
        <v>#VALUE!</v>
      </c>
      <c r="AC1766">
        <v>16.54</v>
      </c>
      <c r="AD1766" s="154" t="e">
        <f t="shared" si="266"/>
        <v>#VALUE!</v>
      </c>
      <c r="AE1766">
        <v>16.54</v>
      </c>
    </row>
    <row r="1767" spans="12:31" ht="15" x14ac:dyDescent="0.2">
      <c r="L1767" s="154" t="e">
        <f t="shared" si="257"/>
        <v>#VALUE!</v>
      </c>
      <c r="M1767">
        <v>16.55</v>
      </c>
      <c r="N1767" s="154" t="e">
        <f t="shared" si="258"/>
        <v>#VALUE!</v>
      </c>
      <c r="O1767">
        <v>16.55</v>
      </c>
      <c r="P1767" s="154" t="e">
        <f t="shared" si="259"/>
        <v>#VALUE!</v>
      </c>
      <c r="Q1767">
        <v>16.55</v>
      </c>
      <c r="R1767" s="154" t="e">
        <f t="shared" si="260"/>
        <v>#VALUE!</v>
      </c>
      <c r="S1767">
        <v>16.55</v>
      </c>
      <c r="T1767" s="154" t="e">
        <f t="shared" si="261"/>
        <v>#VALUE!</v>
      </c>
      <c r="U1767">
        <v>16.55</v>
      </c>
      <c r="V1767" s="154" t="e">
        <f t="shared" si="262"/>
        <v>#VALUE!</v>
      </c>
      <c r="W1767">
        <v>16.55</v>
      </c>
      <c r="X1767" s="157" t="e">
        <f t="shared" si="263"/>
        <v>#VALUE!</v>
      </c>
      <c r="Y1767">
        <v>16.55</v>
      </c>
      <c r="Z1767" s="154" t="e">
        <f t="shared" si="264"/>
        <v>#VALUE!</v>
      </c>
      <c r="AA1767">
        <v>16.55</v>
      </c>
      <c r="AB1767" s="154" t="e">
        <f t="shared" si="265"/>
        <v>#VALUE!</v>
      </c>
      <c r="AC1767">
        <v>16.55</v>
      </c>
      <c r="AD1767" s="154" t="e">
        <f t="shared" si="266"/>
        <v>#VALUE!</v>
      </c>
      <c r="AE1767">
        <v>16.55</v>
      </c>
    </row>
    <row r="1768" spans="12:31" ht="15" x14ac:dyDescent="0.2">
      <c r="L1768" s="154" t="e">
        <f t="shared" si="257"/>
        <v>#VALUE!</v>
      </c>
      <c r="M1768">
        <v>16.559999999999999</v>
      </c>
      <c r="N1768" s="154" t="e">
        <f t="shared" si="258"/>
        <v>#VALUE!</v>
      </c>
      <c r="O1768">
        <v>16.559999999999999</v>
      </c>
      <c r="P1768" s="154" t="e">
        <f t="shared" si="259"/>
        <v>#VALUE!</v>
      </c>
      <c r="Q1768">
        <v>16.559999999999999</v>
      </c>
      <c r="R1768" s="154" t="e">
        <f t="shared" si="260"/>
        <v>#VALUE!</v>
      </c>
      <c r="S1768">
        <v>16.559999999999999</v>
      </c>
      <c r="T1768" s="154" t="e">
        <f t="shared" si="261"/>
        <v>#VALUE!</v>
      </c>
      <c r="U1768">
        <v>16.559999999999999</v>
      </c>
      <c r="V1768" s="154" t="e">
        <f t="shared" si="262"/>
        <v>#VALUE!</v>
      </c>
      <c r="W1768">
        <v>16.559999999999999</v>
      </c>
      <c r="X1768" s="157" t="e">
        <f t="shared" si="263"/>
        <v>#VALUE!</v>
      </c>
      <c r="Y1768">
        <v>16.559999999999999</v>
      </c>
      <c r="Z1768" s="154" t="e">
        <f t="shared" si="264"/>
        <v>#VALUE!</v>
      </c>
      <c r="AA1768">
        <v>16.559999999999999</v>
      </c>
      <c r="AB1768" s="154" t="e">
        <f t="shared" si="265"/>
        <v>#VALUE!</v>
      </c>
      <c r="AC1768">
        <v>16.559999999999999</v>
      </c>
      <c r="AD1768" s="154" t="e">
        <f t="shared" si="266"/>
        <v>#VALUE!</v>
      </c>
      <c r="AE1768">
        <v>16.559999999999999</v>
      </c>
    </row>
    <row r="1769" spans="12:31" ht="15" x14ac:dyDescent="0.2">
      <c r="L1769" s="154" t="e">
        <f t="shared" si="257"/>
        <v>#VALUE!</v>
      </c>
      <c r="M1769">
        <v>16.57</v>
      </c>
      <c r="N1769" s="154" t="e">
        <f t="shared" si="258"/>
        <v>#VALUE!</v>
      </c>
      <c r="O1769">
        <v>16.57</v>
      </c>
      <c r="P1769" s="154" t="e">
        <f t="shared" si="259"/>
        <v>#VALUE!</v>
      </c>
      <c r="Q1769">
        <v>16.57</v>
      </c>
      <c r="R1769" s="154" t="e">
        <f t="shared" si="260"/>
        <v>#VALUE!</v>
      </c>
      <c r="S1769">
        <v>16.57</v>
      </c>
      <c r="T1769" s="154" t="e">
        <f t="shared" si="261"/>
        <v>#VALUE!</v>
      </c>
      <c r="U1769">
        <v>16.57</v>
      </c>
      <c r="V1769" s="154" t="e">
        <f t="shared" si="262"/>
        <v>#VALUE!</v>
      </c>
      <c r="W1769">
        <v>16.57</v>
      </c>
      <c r="X1769" s="157" t="e">
        <f t="shared" si="263"/>
        <v>#VALUE!</v>
      </c>
      <c r="Y1769">
        <v>16.57</v>
      </c>
      <c r="Z1769" s="154" t="e">
        <f t="shared" si="264"/>
        <v>#VALUE!</v>
      </c>
      <c r="AA1769">
        <v>16.57</v>
      </c>
      <c r="AB1769" s="154" t="e">
        <f t="shared" si="265"/>
        <v>#VALUE!</v>
      </c>
      <c r="AC1769">
        <v>16.57</v>
      </c>
      <c r="AD1769" s="154" t="e">
        <f t="shared" si="266"/>
        <v>#VALUE!</v>
      </c>
      <c r="AE1769">
        <v>16.57</v>
      </c>
    </row>
    <row r="1770" spans="12:31" ht="15" x14ac:dyDescent="0.2">
      <c r="L1770" s="154" t="e">
        <f t="shared" si="257"/>
        <v>#VALUE!</v>
      </c>
      <c r="M1770">
        <v>16.579999999999998</v>
      </c>
      <c r="N1770" s="154" t="e">
        <f t="shared" si="258"/>
        <v>#VALUE!</v>
      </c>
      <c r="O1770">
        <v>16.579999999999998</v>
      </c>
      <c r="P1770" s="154" t="e">
        <f t="shared" si="259"/>
        <v>#VALUE!</v>
      </c>
      <c r="Q1770">
        <v>16.579999999999998</v>
      </c>
      <c r="R1770" s="154" t="e">
        <f t="shared" si="260"/>
        <v>#VALUE!</v>
      </c>
      <c r="S1770">
        <v>16.579999999999998</v>
      </c>
      <c r="T1770" s="154" t="e">
        <f t="shared" si="261"/>
        <v>#VALUE!</v>
      </c>
      <c r="U1770">
        <v>16.579999999999998</v>
      </c>
      <c r="V1770" s="154" t="e">
        <f t="shared" si="262"/>
        <v>#VALUE!</v>
      </c>
      <c r="W1770">
        <v>16.579999999999998</v>
      </c>
      <c r="X1770" s="157" t="e">
        <f t="shared" si="263"/>
        <v>#VALUE!</v>
      </c>
      <c r="Y1770">
        <v>16.579999999999998</v>
      </c>
      <c r="Z1770" s="154" t="e">
        <f t="shared" si="264"/>
        <v>#VALUE!</v>
      </c>
      <c r="AA1770">
        <v>16.579999999999998</v>
      </c>
      <c r="AB1770" s="154" t="e">
        <f t="shared" si="265"/>
        <v>#VALUE!</v>
      </c>
      <c r="AC1770">
        <v>16.579999999999998</v>
      </c>
      <c r="AD1770" s="154" t="e">
        <f t="shared" si="266"/>
        <v>#VALUE!</v>
      </c>
      <c r="AE1770">
        <v>16.579999999999998</v>
      </c>
    </row>
    <row r="1771" spans="12:31" ht="15" x14ac:dyDescent="0.2">
      <c r="L1771" s="154" t="e">
        <f t="shared" si="257"/>
        <v>#VALUE!</v>
      </c>
      <c r="M1771">
        <v>16.59</v>
      </c>
      <c r="N1771" s="154" t="e">
        <f t="shared" si="258"/>
        <v>#VALUE!</v>
      </c>
      <c r="O1771">
        <v>16.59</v>
      </c>
      <c r="P1771" s="154" t="e">
        <f t="shared" si="259"/>
        <v>#VALUE!</v>
      </c>
      <c r="Q1771">
        <v>16.59</v>
      </c>
      <c r="R1771" s="154" t="e">
        <f t="shared" si="260"/>
        <v>#VALUE!</v>
      </c>
      <c r="S1771">
        <v>16.59</v>
      </c>
      <c r="T1771" s="154" t="e">
        <f t="shared" si="261"/>
        <v>#VALUE!</v>
      </c>
      <c r="U1771">
        <v>16.59</v>
      </c>
      <c r="V1771" s="154" t="e">
        <f t="shared" si="262"/>
        <v>#VALUE!</v>
      </c>
      <c r="W1771">
        <v>16.59</v>
      </c>
      <c r="X1771" s="157" t="e">
        <f t="shared" si="263"/>
        <v>#VALUE!</v>
      </c>
      <c r="Y1771">
        <v>16.59</v>
      </c>
      <c r="Z1771" s="154" t="e">
        <f t="shared" si="264"/>
        <v>#VALUE!</v>
      </c>
      <c r="AA1771">
        <v>16.59</v>
      </c>
      <c r="AB1771" s="154" t="e">
        <f t="shared" si="265"/>
        <v>#VALUE!</v>
      </c>
      <c r="AC1771">
        <v>16.59</v>
      </c>
      <c r="AD1771" s="154" t="e">
        <f t="shared" si="266"/>
        <v>#VALUE!</v>
      </c>
      <c r="AE1771">
        <v>16.59</v>
      </c>
    </row>
    <row r="1772" spans="12:31" ht="15" x14ac:dyDescent="0.2">
      <c r="L1772" s="154" t="e">
        <f t="shared" si="257"/>
        <v>#VALUE!</v>
      </c>
      <c r="M1772">
        <v>16.600000000000001</v>
      </c>
      <c r="N1772" s="154" t="e">
        <f t="shared" si="258"/>
        <v>#VALUE!</v>
      </c>
      <c r="O1772">
        <v>16.600000000000001</v>
      </c>
      <c r="P1772" s="154" t="e">
        <f t="shared" si="259"/>
        <v>#VALUE!</v>
      </c>
      <c r="Q1772">
        <v>16.600000000000001</v>
      </c>
      <c r="R1772" s="154" t="e">
        <f t="shared" si="260"/>
        <v>#VALUE!</v>
      </c>
      <c r="S1772">
        <v>16.600000000000001</v>
      </c>
      <c r="T1772" s="154" t="e">
        <f t="shared" si="261"/>
        <v>#VALUE!</v>
      </c>
      <c r="U1772">
        <v>16.600000000000001</v>
      </c>
      <c r="V1772" s="154" t="e">
        <f t="shared" si="262"/>
        <v>#VALUE!</v>
      </c>
      <c r="W1772">
        <v>16.600000000000001</v>
      </c>
      <c r="X1772" s="157" t="e">
        <f t="shared" si="263"/>
        <v>#VALUE!</v>
      </c>
      <c r="Y1772">
        <v>16.600000000000001</v>
      </c>
      <c r="Z1772" s="154" t="e">
        <f t="shared" si="264"/>
        <v>#VALUE!</v>
      </c>
      <c r="AA1772">
        <v>16.600000000000001</v>
      </c>
      <c r="AB1772" s="154" t="e">
        <f t="shared" si="265"/>
        <v>#VALUE!</v>
      </c>
      <c r="AC1772">
        <v>16.600000000000001</v>
      </c>
      <c r="AD1772" s="154" t="e">
        <f t="shared" si="266"/>
        <v>#VALUE!</v>
      </c>
      <c r="AE1772">
        <v>16.600000000000001</v>
      </c>
    </row>
    <row r="1773" spans="12:31" ht="15" x14ac:dyDescent="0.2">
      <c r="L1773" s="154" t="e">
        <f t="shared" si="257"/>
        <v>#VALUE!</v>
      </c>
      <c r="M1773">
        <v>16.61</v>
      </c>
      <c r="N1773" s="154" t="e">
        <f t="shared" si="258"/>
        <v>#VALUE!</v>
      </c>
      <c r="O1773">
        <v>16.61</v>
      </c>
      <c r="P1773" s="154" t="e">
        <f t="shared" si="259"/>
        <v>#VALUE!</v>
      </c>
      <c r="Q1773">
        <v>16.61</v>
      </c>
      <c r="R1773" s="154" t="e">
        <f t="shared" si="260"/>
        <v>#VALUE!</v>
      </c>
      <c r="S1773">
        <v>16.61</v>
      </c>
      <c r="T1773" s="154" t="e">
        <f t="shared" si="261"/>
        <v>#VALUE!</v>
      </c>
      <c r="U1773">
        <v>16.61</v>
      </c>
      <c r="V1773" s="154" t="e">
        <f t="shared" si="262"/>
        <v>#VALUE!</v>
      </c>
      <c r="W1773">
        <v>16.61</v>
      </c>
      <c r="X1773" s="157" t="e">
        <f t="shared" si="263"/>
        <v>#VALUE!</v>
      </c>
      <c r="Y1773">
        <v>16.61</v>
      </c>
      <c r="Z1773" s="154" t="e">
        <f t="shared" si="264"/>
        <v>#VALUE!</v>
      </c>
      <c r="AA1773">
        <v>16.61</v>
      </c>
      <c r="AB1773" s="154" t="e">
        <f t="shared" si="265"/>
        <v>#VALUE!</v>
      </c>
      <c r="AC1773">
        <v>16.61</v>
      </c>
      <c r="AD1773" s="154" t="e">
        <f t="shared" si="266"/>
        <v>#VALUE!</v>
      </c>
      <c r="AE1773">
        <v>16.61</v>
      </c>
    </row>
    <row r="1774" spans="12:31" ht="15" x14ac:dyDescent="0.2">
      <c r="L1774" s="154" t="e">
        <f t="shared" si="257"/>
        <v>#VALUE!</v>
      </c>
      <c r="M1774">
        <v>16.62</v>
      </c>
      <c r="N1774" s="154" t="e">
        <f t="shared" si="258"/>
        <v>#VALUE!</v>
      </c>
      <c r="O1774">
        <v>16.62</v>
      </c>
      <c r="P1774" s="154" t="e">
        <f t="shared" si="259"/>
        <v>#VALUE!</v>
      </c>
      <c r="Q1774">
        <v>16.62</v>
      </c>
      <c r="R1774" s="154" t="e">
        <f t="shared" si="260"/>
        <v>#VALUE!</v>
      </c>
      <c r="S1774">
        <v>16.62</v>
      </c>
      <c r="T1774" s="154" t="e">
        <f t="shared" si="261"/>
        <v>#VALUE!</v>
      </c>
      <c r="U1774">
        <v>16.62</v>
      </c>
      <c r="V1774" s="154" t="e">
        <f t="shared" si="262"/>
        <v>#VALUE!</v>
      </c>
      <c r="W1774">
        <v>16.62</v>
      </c>
      <c r="X1774" s="157" t="e">
        <f t="shared" si="263"/>
        <v>#VALUE!</v>
      </c>
      <c r="Y1774">
        <v>16.62</v>
      </c>
      <c r="Z1774" s="154" t="e">
        <f t="shared" si="264"/>
        <v>#VALUE!</v>
      </c>
      <c r="AA1774">
        <v>16.62</v>
      </c>
      <c r="AB1774" s="154" t="e">
        <f t="shared" si="265"/>
        <v>#VALUE!</v>
      </c>
      <c r="AC1774">
        <v>16.62</v>
      </c>
      <c r="AD1774" s="154" t="e">
        <f t="shared" si="266"/>
        <v>#VALUE!</v>
      </c>
      <c r="AE1774">
        <v>16.62</v>
      </c>
    </row>
    <row r="1775" spans="12:31" ht="15" x14ac:dyDescent="0.2">
      <c r="L1775" s="154" t="e">
        <f t="shared" si="257"/>
        <v>#VALUE!</v>
      </c>
      <c r="M1775">
        <v>16.63</v>
      </c>
      <c r="N1775" s="154" t="e">
        <f t="shared" si="258"/>
        <v>#VALUE!</v>
      </c>
      <c r="O1775">
        <v>16.63</v>
      </c>
      <c r="P1775" s="154" t="e">
        <f t="shared" si="259"/>
        <v>#VALUE!</v>
      </c>
      <c r="Q1775">
        <v>16.63</v>
      </c>
      <c r="R1775" s="154" t="e">
        <f t="shared" si="260"/>
        <v>#VALUE!</v>
      </c>
      <c r="S1775">
        <v>16.63</v>
      </c>
      <c r="T1775" s="154" t="e">
        <f t="shared" si="261"/>
        <v>#VALUE!</v>
      </c>
      <c r="U1775">
        <v>16.63</v>
      </c>
      <c r="V1775" s="154" t="e">
        <f t="shared" si="262"/>
        <v>#VALUE!</v>
      </c>
      <c r="W1775">
        <v>16.63</v>
      </c>
      <c r="X1775" s="157" t="e">
        <f t="shared" si="263"/>
        <v>#VALUE!</v>
      </c>
      <c r="Y1775">
        <v>16.63</v>
      </c>
      <c r="Z1775" s="154" t="e">
        <f t="shared" si="264"/>
        <v>#VALUE!</v>
      </c>
      <c r="AA1775">
        <v>16.63</v>
      </c>
      <c r="AB1775" s="154" t="e">
        <f t="shared" si="265"/>
        <v>#VALUE!</v>
      </c>
      <c r="AC1775">
        <v>16.63</v>
      </c>
      <c r="AD1775" s="154" t="e">
        <f t="shared" si="266"/>
        <v>#VALUE!</v>
      </c>
      <c r="AE1775">
        <v>16.63</v>
      </c>
    </row>
    <row r="1776" spans="12:31" ht="15" x14ac:dyDescent="0.2">
      <c r="L1776" s="154" t="e">
        <f t="shared" si="257"/>
        <v>#VALUE!</v>
      </c>
      <c r="M1776">
        <v>16.64</v>
      </c>
      <c r="N1776" s="154" t="e">
        <f t="shared" si="258"/>
        <v>#VALUE!</v>
      </c>
      <c r="O1776">
        <v>16.64</v>
      </c>
      <c r="P1776" s="154" t="e">
        <f t="shared" si="259"/>
        <v>#VALUE!</v>
      </c>
      <c r="Q1776">
        <v>16.64</v>
      </c>
      <c r="R1776" s="154" t="e">
        <f t="shared" si="260"/>
        <v>#VALUE!</v>
      </c>
      <c r="S1776">
        <v>16.64</v>
      </c>
      <c r="T1776" s="154" t="e">
        <f t="shared" si="261"/>
        <v>#VALUE!</v>
      </c>
      <c r="U1776">
        <v>16.64</v>
      </c>
      <c r="V1776" s="154" t="e">
        <f t="shared" si="262"/>
        <v>#VALUE!</v>
      </c>
      <c r="W1776">
        <v>16.64</v>
      </c>
      <c r="X1776" s="157" t="e">
        <f t="shared" si="263"/>
        <v>#VALUE!</v>
      </c>
      <c r="Y1776">
        <v>16.64</v>
      </c>
      <c r="Z1776" s="154" t="e">
        <f t="shared" si="264"/>
        <v>#VALUE!</v>
      </c>
      <c r="AA1776">
        <v>16.64</v>
      </c>
      <c r="AB1776" s="154" t="e">
        <f t="shared" si="265"/>
        <v>#VALUE!</v>
      </c>
      <c r="AC1776">
        <v>16.64</v>
      </c>
      <c r="AD1776" s="154" t="e">
        <f t="shared" si="266"/>
        <v>#VALUE!</v>
      </c>
      <c r="AE1776">
        <v>16.64</v>
      </c>
    </row>
    <row r="1777" spans="12:31" ht="15" x14ac:dyDescent="0.2">
      <c r="L1777" s="154" t="e">
        <f t="shared" ref="L1777:L1840" si="267">((1.486/$D$33)*((((PI()*($D$46/12)^2)/4)-((($D$46/12)/2)^2*((2*ACOS(((($D$46/12)/2)-(($D$46/12)-(M1777/12)))/(($D$46/12)/2)))-SIN(2*ACOS(((($D$46/12)/2)-(($D$46/12)-(M1777/12)))/(($D$46/12)/2))))/2))/((PI()*($D$46/12))-((2*ACOS(((($D$46/12)/2)-(($D$46/12)-(M1777/12)))/(($D$46/12)/2)))*(($D$46/12)/2))))^(2/3)*$H$17^0.5)*(((PI()*($D$46/12)^2)/4)-((($D$46/12)/2)^2*((2*ACOS(((($D$46/12)/2)-(($D$46/12)-(M1777/12)))/(($D$46/12)/2)))-SIN(2*ACOS(((($D$46/12)/2)-(($D$46/12)-(M1777/12)))/(($D$46/12)/2))))/2))</f>
        <v>#VALUE!</v>
      </c>
      <c r="M1777">
        <v>16.649999999999999</v>
      </c>
      <c r="N1777" s="154" t="e">
        <f t="shared" ref="N1777:N1840" si="268">((1.486/$D$34)*((((PI()*($D$47/12)^2)/4)-((($D$47/12)/2)^2*((2*ACOS(((($D$47/12)/2)-(($D$47/12)-(O1777/12)))/(($D$47/12)/2)))-SIN(2*ACOS(((($D$47/12)/2)-(($D$47/12)-(O1777/12)))/(($D$47/12)/2))))/2))/((PI()*($D$47/12))-((2*ACOS(((($D$47/12)/2)-(($D$47/12)-(O1777/12)))/(($D$47/12)/2)))*(($D$47/12)/2))))^(2/3)*$H$18^0.5)*(((PI()*($D$47/12)^2)/4)-((($D$47/12)/2)^2*((2*ACOS(((($D$47/12)/2)-(($D$47/12)-(O1777/12)))/(($D$47/12)/2)))-SIN(2*ACOS(((($D$47/12)/2)-(($D$47/12)-(O1777/12)))/(($D$47/12)/2))))/2))</f>
        <v>#VALUE!</v>
      </c>
      <c r="O1777">
        <v>16.649999999999999</v>
      </c>
      <c r="P1777" s="154" t="e">
        <f t="shared" ref="P1777:P1840" si="269">((1.486/$D$35)*((((PI()*($D$48/12)^2)/4)-((($D$48/12)/2)^2*((2*ACOS(((($D$48/12)/2)-(($D$48/12)-(Q1777/12)))/(($D$48/12)/2)))-SIN(2*ACOS(((($D$48/12)/2)-(($D$48/12)-(Q1777/12)))/(($D$48/12)/2))))/2))/((PI()*($D$48/12))-((2*ACOS(((($D$48/12)/2)-(($D$48/12)-(Q1777/12)))/(($D$48/12)/2)))*(($D$48/12)/2))))^(2/3)*$H$19^0.5)*(((PI()*($D$48/12)^2)/4)-((($D$48/12)/2)^2*((2*ACOS(((($D$48/12)/2)-(($D$48/12)-(Q1777/12)))/(($D$48/12)/2)))-SIN(2*ACOS(((($D$48/12)/2)-(($D$48/12)-(Q1777/12)))/(($D$48/12)/2))))/2))</f>
        <v>#VALUE!</v>
      </c>
      <c r="Q1777">
        <v>16.649999999999999</v>
      </c>
      <c r="R1777" s="154" t="e">
        <f t="shared" ref="R1777:R1840" si="270">((1.486/$D$36)*((((PI()*($D$49/12)^2)/4)-((($D$49/12)/2)^2*((2*ACOS(((($D$49/12)/2)-(($D$49/12)-(S1777/12)))/(($D$49/12)/2)))-SIN(2*ACOS(((($D$49/12)/2)-(($D$49/12)-(S1777/12)))/(($D$49/12)/2))))/2))/((PI()*($D$49/12))-((2*ACOS(((($D$49/12)/2)-(($D$49/12)-(S1777/12)))/(($D$49/12)/2)))*(($D$49/12)/2))))^(2/3)*$H$20^0.5)*(((PI()*($D$49/12)^2)/4)-((($D$49/12)/2)^2*((2*ACOS(((($D$49/12)/2)-(($D$49/12)-(S1777/12)))/(($D$49/12)/2)))-SIN(2*ACOS(((($D$49/12)/2)-(($D$49/12)-(S1777/12)))/(($D$49/12)/2))))/2))</f>
        <v>#VALUE!</v>
      </c>
      <c r="S1777">
        <v>16.649999999999999</v>
      </c>
      <c r="T1777" s="154" t="e">
        <f t="shared" ref="T1777:T1840" si="271">((1.486/$D$37)*((((PI()*($D$50/12)^2)/4)-((($D$50/12)/2)^2*((2*ACOS(((($D$50/12)/2)-(($D$50/12)-(U1777/12)))/(($D$50/12)/2)))-SIN(2*ACOS(((($D$50/12)/2)-(($D$50/12)-(U1777/12)))/(($D$50/12)/2))))/2))/((PI()*($D$50/12))-((2*ACOS(((($D$50/12)/2)-(($D$50/12)-(U1777/12)))/(($D$50/12)/2)))*(($D$50/12)/2))))^(2/3)*$H$21^0.5)*(((PI()*($D$50/12)^2)/4)-((($D$50/12)/2)^2*((2*ACOS(((($D$50/12)/2)-(($D$50/12)-(U1777/12)))/(($D$50/12)/2)))-SIN(2*ACOS(((($D$50/12)/2)-(($D$50/12)-(U1777/12)))/(($D$50/12)/2))))/2))</f>
        <v>#VALUE!</v>
      </c>
      <c r="U1777">
        <v>16.649999999999999</v>
      </c>
      <c r="V1777" s="154" t="e">
        <f t="shared" ref="V1777:V1840" si="272">((1.486/$D$38)*((((PI()*($D$51/12)^2)/4)-((($D$51/12)/2)^2*((2*ACOS(((($D$51/12)/2)-(($D$51/12)-(W1777/12)))/(($D$51/12)/2)))-SIN(2*ACOS(((($D$51/12)/2)-(($D$51/12)-(W1777/12)))/(($D$51/12)/2))))/2))/((PI()*($D$51/12))-((2*ACOS(((($D$51/12)/2)-(($D$51/12)-(W1777/12)))/(($D$51/12)/2)))*(($D$51/12)/2))))^(2/3)*$H$22^0.5)*(((PI()*($D$51/12)^2)/4)-((($D$51/12)/2)^2*((2*ACOS(((($D$51/12)/2)-(($D$51/12)-(W1777/12)))/(($D$51/12)/2)))-SIN(2*ACOS(((($D$51/12)/2)-(($D$51/12)-(W1777/12)))/(($D$51/12)/2))))/2))</f>
        <v>#VALUE!</v>
      </c>
      <c r="W1777">
        <v>16.649999999999999</v>
      </c>
      <c r="X1777" s="157" t="e">
        <f t="shared" ref="X1777:X1840" si="273">((1.486/$D$39)*((((PI()*($D$52/12)^2)/4)-((($D$52/12)/2)^2*((2*ACOS(((($D$52/12)/2)-(($D$52/12)-(Y1777/12)))/(($D$52/12)/2)))-SIN(2*ACOS(((($D$52/12)/2)-(($D$52/12)-(Y1777/12)))/(($D$52/12)/2))))/2))/((PI()*($D$52/12))-((2*ACOS(((($D$52/12)/2)-(($D$52/12)-(Y1777/12)))/(($D$52/12)/2)))*(($D$52/12)/2))))^(2/3)*$H$23^0.5)*(((PI()*($D$52/12)^2)/4)-((($D$52/12)/2)^2*((2*ACOS(((($D$52/12)/2)-(($D$52/12)-(Y1777/12)))/(($D$52/12)/2)))-SIN(2*ACOS(((($D$52/12)/2)-(($D$52/12)-(Y1777/12)))/(($D$52/12)/2))))/2))</f>
        <v>#VALUE!</v>
      </c>
      <c r="Y1777">
        <v>16.649999999999999</v>
      </c>
      <c r="Z1777" s="154" t="e">
        <f t="shared" ref="Z1777:Z1840" si="274">((1.486/$D$40)*((((PI()*($D$53/12)^2)/4)-((($D$53/12)/2)^2*((2*ACOS(((($D$53/12)/2)-(($D$53/12)-(AA1777/12)))/(($D$53/12)/2)))-SIN(2*ACOS(((($D$53/12)/2)-(($D$53/12)-(AA1777/12)))/(($D$53/12)/2))))/2))/((PI()*($D$53/12))-((2*ACOS(((($D$53/12)/2)-(($D$53/12)-(AA1777/12)))/(($D$53/12)/2)))*(($D$53/12)/2))))^(2/3)*$H$24^0.5)*(((PI()*($D$53/12)^2)/4)-((($D$53/12)/2)^2*((2*ACOS(((($D$53/12)/2)-(($D$53/12)-(AA1777/12)))/(($D$53/12)/2)))-SIN(2*ACOS(((($D$53/12)/2)-(($D$53/12)-(AA1777/12)))/(($D$53/12)/2))))/2))</f>
        <v>#VALUE!</v>
      </c>
      <c r="AA1777">
        <v>16.649999999999999</v>
      </c>
      <c r="AB1777" s="154" t="e">
        <f t="shared" ref="AB1777:AB1840" si="275">((1.486/$D$41)*((((PI()*($D$54/12)^2)/4)-((($D$54/12)/2)^2*((2*ACOS(((($D$54/12)/2)-(($D$54/12)-(AC1777/12)))/(($D$54/12)/2)))-SIN(2*ACOS(((($D$54/12)/2)-(($D$54/12)-(AC1777/12)))/(($D$54/12)/2))))/2))/((PI()*($D$54/12))-((2*ACOS(((($D$54/12)/2)-(($D$54/12)-(AC1777/12)))/(($D$54/12)/2)))*(($D$54/12)/2))))^(2/3)*$H$25^0.5)*(((PI()*($D$54/12)^2)/4)-((($D$54/12)/2)^2*((2*ACOS(((($D$54/12)/2)-(($D$54/12)-(AC1777/12)))/(($D$54/12)/2)))-SIN(2*ACOS(((($D$54/12)/2)-(($D$54/12)-(AC1777/12)))/(($D$54/12)/2))))/2))</f>
        <v>#VALUE!</v>
      </c>
      <c r="AC1777">
        <v>16.649999999999999</v>
      </c>
      <c r="AD1777" s="154" t="e">
        <f t="shared" ref="AD1777:AD1840" si="276">((1.486/$D$42)*((((PI()*($D$55/12)^2)/4)-((($D$55/12)/2)^2*((2*ACOS(((($D$55/12)/2)-(($D$55/12)-(AE1777/12)))/(($D$55/12)/2)))-SIN(2*ACOS(((($D$55/12)/2)-(($D$55/12)-(AE1777/12)))/(($D$55/12)/2))))/2))/((PI()*($D$55/12))-((2*ACOS(((($D$55/12)/2)-(($D$55/12)-(AE1777/12)))/(($D$55/12)/2)))*(($D$55/12)/2))))^(2/3)*$H$26^0.5)*(((PI()*($D$55/12)^2)/4)-((($D$55/12)/2)^2*((2*ACOS(((($D$55/12)/2)-(($D$55/12)-(AE1777/12)))/(($D$55/12)/2)))-SIN(2*ACOS(((($D$55/12)/2)-(($D$55/12)-(AE1777/12)))/(($D$55/12)/2))))/2))</f>
        <v>#VALUE!</v>
      </c>
      <c r="AE1777">
        <v>16.649999999999999</v>
      </c>
    </row>
    <row r="1778" spans="12:31" ht="15" x14ac:dyDescent="0.2">
      <c r="L1778" s="154" t="e">
        <f t="shared" si="267"/>
        <v>#VALUE!</v>
      </c>
      <c r="M1778">
        <v>16.66</v>
      </c>
      <c r="N1778" s="154" t="e">
        <f t="shared" si="268"/>
        <v>#VALUE!</v>
      </c>
      <c r="O1778">
        <v>16.66</v>
      </c>
      <c r="P1778" s="154" t="e">
        <f t="shared" si="269"/>
        <v>#VALUE!</v>
      </c>
      <c r="Q1778">
        <v>16.66</v>
      </c>
      <c r="R1778" s="154" t="e">
        <f t="shared" si="270"/>
        <v>#VALUE!</v>
      </c>
      <c r="S1778">
        <v>16.66</v>
      </c>
      <c r="T1778" s="154" t="e">
        <f t="shared" si="271"/>
        <v>#VALUE!</v>
      </c>
      <c r="U1778">
        <v>16.66</v>
      </c>
      <c r="V1778" s="154" t="e">
        <f t="shared" si="272"/>
        <v>#VALUE!</v>
      </c>
      <c r="W1778">
        <v>16.66</v>
      </c>
      <c r="X1778" s="157" t="e">
        <f t="shared" si="273"/>
        <v>#VALUE!</v>
      </c>
      <c r="Y1778">
        <v>16.66</v>
      </c>
      <c r="Z1778" s="154" t="e">
        <f t="shared" si="274"/>
        <v>#VALUE!</v>
      </c>
      <c r="AA1778">
        <v>16.66</v>
      </c>
      <c r="AB1778" s="154" t="e">
        <f t="shared" si="275"/>
        <v>#VALUE!</v>
      </c>
      <c r="AC1778">
        <v>16.66</v>
      </c>
      <c r="AD1778" s="154" t="e">
        <f t="shared" si="276"/>
        <v>#VALUE!</v>
      </c>
      <c r="AE1778">
        <v>16.66</v>
      </c>
    </row>
    <row r="1779" spans="12:31" ht="15" x14ac:dyDescent="0.2">
      <c r="L1779" s="154" t="e">
        <f t="shared" si="267"/>
        <v>#VALUE!</v>
      </c>
      <c r="M1779">
        <v>16.670000000000002</v>
      </c>
      <c r="N1779" s="154" t="e">
        <f t="shared" si="268"/>
        <v>#VALUE!</v>
      </c>
      <c r="O1779">
        <v>16.670000000000002</v>
      </c>
      <c r="P1779" s="154" t="e">
        <f t="shared" si="269"/>
        <v>#VALUE!</v>
      </c>
      <c r="Q1779">
        <v>16.670000000000002</v>
      </c>
      <c r="R1779" s="154" t="e">
        <f t="shared" si="270"/>
        <v>#VALUE!</v>
      </c>
      <c r="S1779">
        <v>16.670000000000002</v>
      </c>
      <c r="T1779" s="154" t="e">
        <f t="shared" si="271"/>
        <v>#VALUE!</v>
      </c>
      <c r="U1779">
        <v>16.670000000000002</v>
      </c>
      <c r="V1779" s="154" t="e">
        <f t="shared" si="272"/>
        <v>#VALUE!</v>
      </c>
      <c r="W1779">
        <v>16.670000000000002</v>
      </c>
      <c r="X1779" s="157" t="e">
        <f t="shared" si="273"/>
        <v>#VALUE!</v>
      </c>
      <c r="Y1779">
        <v>16.670000000000002</v>
      </c>
      <c r="Z1779" s="154" t="e">
        <f t="shared" si="274"/>
        <v>#VALUE!</v>
      </c>
      <c r="AA1779">
        <v>16.670000000000002</v>
      </c>
      <c r="AB1779" s="154" t="e">
        <f t="shared" si="275"/>
        <v>#VALUE!</v>
      </c>
      <c r="AC1779">
        <v>16.670000000000002</v>
      </c>
      <c r="AD1779" s="154" t="e">
        <f t="shared" si="276"/>
        <v>#VALUE!</v>
      </c>
      <c r="AE1779">
        <v>16.670000000000002</v>
      </c>
    </row>
    <row r="1780" spans="12:31" ht="15" x14ac:dyDescent="0.2">
      <c r="L1780" s="154" t="e">
        <f t="shared" si="267"/>
        <v>#VALUE!</v>
      </c>
      <c r="M1780">
        <v>16.68</v>
      </c>
      <c r="N1780" s="154" t="e">
        <f t="shared" si="268"/>
        <v>#VALUE!</v>
      </c>
      <c r="O1780">
        <v>16.68</v>
      </c>
      <c r="P1780" s="154" t="e">
        <f t="shared" si="269"/>
        <v>#VALUE!</v>
      </c>
      <c r="Q1780">
        <v>16.68</v>
      </c>
      <c r="R1780" s="154" t="e">
        <f t="shared" si="270"/>
        <v>#VALUE!</v>
      </c>
      <c r="S1780">
        <v>16.68</v>
      </c>
      <c r="T1780" s="154" t="e">
        <f t="shared" si="271"/>
        <v>#VALUE!</v>
      </c>
      <c r="U1780">
        <v>16.68</v>
      </c>
      <c r="V1780" s="154" t="e">
        <f t="shared" si="272"/>
        <v>#VALUE!</v>
      </c>
      <c r="W1780">
        <v>16.68</v>
      </c>
      <c r="X1780" s="157" t="e">
        <f t="shared" si="273"/>
        <v>#VALUE!</v>
      </c>
      <c r="Y1780">
        <v>16.68</v>
      </c>
      <c r="Z1780" s="154" t="e">
        <f t="shared" si="274"/>
        <v>#VALUE!</v>
      </c>
      <c r="AA1780">
        <v>16.68</v>
      </c>
      <c r="AB1780" s="154" t="e">
        <f t="shared" si="275"/>
        <v>#VALUE!</v>
      </c>
      <c r="AC1780">
        <v>16.68</v>
      </c>
      <c r="AD1780" s="154" t="e">
        <f t="shared" si="276"/>
        <v>#VALUE!</v>
      </c>
      <c r="AE1780">
        <v>16.68</v>
      </c>
    </row>
    <row r="1781" spans="12:31" ht="15" x14ac:dyDescent="0.2">
      <c r="L1781" s="154" t="e">
        <f t="shared" si="267"/>
        <v>#VALUE!</v>
      </c>
      <c r="M1781">
        <v>16.690000000000001</v>
      </c>
      <c r="N1781" s="154" t="e">
        <f t="shared" si="268"/>
        <v>#VALUE!</v>
      </c>
      <c r="O1781">
        <v>16.690000000000001</v>
      </c>
      <c r="P1781" s="154" t="e">
        <f t="shared" si="269"/>
        <v>#VALUE!</v>
      </c>
      <c r="Q1781">
        <v>16.690000000000001</v>
      </c>
      <c r="R1781" s="154" t="e">
        <f t="shared" si="270"/>
        <v>#VALUE!</v>
      </c>
      <c r="S1781">
        <v>16.690000000000001</v>
      </c>
      <c r="T1781" s="154" t="e">
        <f t="shared" si="271"/>
        <v>#VALUE!</v>
      </c>
      <c r="U1781">
        <v>16.690000000000001</v>
      </c>
      <c r="V1781" s="154" t="e">
        <f t="shared" si="272"/>
        <v>#VALUE!</v>
      </c>
      <c r="W1781">
        <v>16.690000000000001</v>
      </c>
      <c r="X1781" s="157" t="e">
        <f t="shared" si="273"/>
        <v>#VALUE!</v>
      </c>
      <c r="Y1781">
        <v>16.690000000000001</v>
      </c>
      <c r="Z1781" s="154" t="e">
        <f t="shared" si="274"/>
        <v>#VALUE!</v>
      </c>
      <c r="AA1781">
        <v>16.690000000000001</v>
      </c>
      <c r="AB1781" s="154" t="e">
        <f t="shared" si="275"/>
        <v>#VALUE!</v>
      </c>
      <c r="AC1781">
        <v>16.690000000000001</v>
      </c>
      <c r="AD1781" s="154" t="e">
        <f t="shared" si="276"/>
        <v>#VALUE!</v>
      </c>
      <c r="AE1781">
        <v>16.690000000000001</v>
      </c>
    </row>
    <row r="1782" spans="12:31" ht="15" x14ac:dyDescent="0.2">
      <c r="L1782" s="154" t="e">
        <f t="shared" si="267"/>
        <v>#VALUE!</v>
      </c>
      <c r="M1782">
        <v>16.7</v>
      </c>
      <c r="N1782" s="154" t="e">
        <f t="shared" si="268"/>
        <v>#VALUE!</v>
      </c>
      <c r="O1782">
        <v>16.7</v>
      </c>
      <c r="P1782" s="154" t="e">
        <f t="shared" si="269"/>
        <v>#VALUE!</v>
      </c>
      <c r="Q1782">
        <v>16.7</v>
      </c>
      <c r="R1782" s="154" t="e">
        <f t="shared" si="270"/>
        <v>#VALUE!</v>
      </c>
      <c r="S1782">
        <v>16.7</v>
      </c>
      <c r="T1782" s="154" t="e">
        <f t="shared" si="271"/>
        <v>#VALUE!</v>
      </c>
      <c r="U1782">
        <v>16.7</v>
      </c>
      <c r="V1782" s="154" t="e">
        <f t="shared" si="272"/>
        <v>#VALUE!</v>
      </c>
      <c r="W1782">
        <v>16.7</v>
      </c>
      <c r="X1782" s="157" t="e">
        <f t="shared" si="273"/>
        <v>#VALUE!</v>
      </c>
      <c r="Y1782">
        <v>16.7</v>
      </c>
      <c r="Z1782" s="154" t="e">
        <f t="shared" si="274"/>
        <v>#VALUE!</v>
      </c>
      <c r="AA1782">
        <v>16.7</v>
      </c>
      <c r="AB1782" s="154" t="e">
        <f t="shared" si="275"/>
        <v>#VALUE!</v>
      </c>
      <c r="AC1782">
        <v>16.7</v>
      </c>
      <c r="AD1782" s="154" t="e">
        <f t="shared" si="276"/>
        <v>#VALUE!</v>
      </c>
      <c r="AE1782">
        <v>16.7</v>
      </c>
    </row>
    <row r="1783" spans="12:31" ht="15" x14ac:dyDescent="0.2">
      <c r="L1783" s="154" t="e">
        <f t="shared" si="267"/>
        <v>#VALUE!</v>
      </c>
      <c r="M1783">
        <v>16.71</v>
      </c>
      <c r="N1783" s="154" t="e">
        <f t="shared" si="268"/>
        <v>#VALUE!</v>
      </c>
      <c r="O1783">
        <v>16.71</v>
      </c>
      <c r="P1783" s="154" t="e">
        <f t="shared" si="269"/>
        <v>#VALUE!</v>
      </c>
      <c r="Q1783">
        <v>16.71</v>
      </c>
      <c r="R1783" s="154" t="e">
        <f t="shared" si="270"/>
        <v>#VALUE!</v>
      </c>
      <c r="S1783">
        <v>16.71</v>
      </c>
      <c r="T1783" s="154" t="e">
        <f t="shared" si="271"/>
        <v>#VALUE!</v>
      </c>
      <c r="U1783">
        <v>16.71</v>
      </c>
      <c r="V1783" s="154" t="e">
        <f t="shared" si="272"/>
        <v>#VALUE!</v>
      </c>
      <c r="W1783">
        <v>16.71</v>
      </c>
      <c r="X1783" s="157" t="e">
        <f t="shared" si="273"/>
        <v>#VALUE!</v>
      </c>
      <c r="Y1783">
        <v>16.71</v>
      </c>
      <c r="Z1783" s="154" t="e">
        <f t="shared" si="274"/>
        <v>#VALUE!</v>
      </c>
      <c r="AA1783">
        <v>16.71</v>
      </c>
      <c r="AB1783" s="154" t="e">
        <f t="shared" si="275"/>
        <v>#VALUE!</v>
      </c>
      <c r="AC1783">
        <v>16.71</v>
      </c>
      <c r="AD1783" s="154" t="e">
        <f t="shared" si="276"/>
        <v>#VALUE!</v>
      </c>
      <c r="AE1783">
        <v>16.71</v>
      </c>
    </row>
    <row r="1784" spans="12:31" ht="15" x14ac:dyDescent="0.2">
      <c r="L1784" s="154" t="e">
        <f t="shared" si="267"/>
        <v>#VALUE!</v>
      </c>
      <c r="M1784">
        <v>16.72</v>
      </c>
      <c r="N1784" s="154" t="e">
        <f t="shared" si="268"/>
        <v>#VALUE!</v>
      </c>
      <c r="O1784">
        <v>16.72</v>
      </c>
      <c r="P1784" s="154" t="e">
        <f t="shared" si="269"/>
        <v>#VALUE!</v>
      </c>
      <c r="Q1784">
        <v>16.72</v>
      </c>
      <c r="R1784" s="154" t="e">
        <f t="shared" si="270"/>
        <v>#VALUE!</v>
      </c>
      <c r="S1784">
        <v>16.72</v>
      </c>
      <c r="T1784" s="154" t="e">
        <f t="shared" si="271"/>
        <v>#VALUE!</v>
      </c>
      <c r="U1784">
        <v>16.72</v>
      </c>
      <c r="V1784" s="154" t="e">
        <f t="shared" si="272"/>
        <v>#VALUE!</v>
      </c>
      <c r="W1784">
        <v>16.72</v>
      </c>
      <c r="X1784" s="157" t="e">
        <f t="shared" si="273"/>
        <v>#VALUE!</v>
      </c>
      <c r="Y1784">
        <v>16.72</v>
      </c>
      <c r="Z1784" s="154" t="e">
        <f t="shared" si="274"/>
        <v>#VALUE!</v>
      </c>
      <c r="AA1784">
        <v>16.72</v>
      </c>
      <c r="AB1784" s="154" t="e">
        <f t="shared" si="275"/>
        <v>#VALUE!</v>
      </c>
      <c r="AC1784">
        <v>16.72</v>
      </c>
      <c r="AD1784" s="154" t="e">
        <f t="shared" si="276"/>
        <v>#VALUE!</v>
      </c>
      <c r="AE1784">
        <v>16.72</v>
      </c>
    </row>
    <row r="1785" spans="12:31" ht="15" x14ac:dyDescent="0.2">
      <c r="L1785" s="154" t="e">
        <f t="shared" si="267"/>
        <v>#VALUE!</v>
      </c>
      <c r="M1785">
        <v>16.73</v>
      </c>
      <c r="N1785" s="154" t="e">
        <f t="shared" si="268"/>
        <v>#VALUE!</v>
      </c>
      <c r="O1785">
        <v>16.73</v>
      </c>
      <c r="P1785" s="154" t="e">
        <f t="shared" si="269"/>
        <v>#VALUE!</v>
      </c>
      <c r="Q1785">
        <v>16.73</v>
      </c>
      <c r="R1785" s="154" t="e">
        <f t="shared" si="270"/>
        <v>#VALUE!</v>
      </c>
      <c r="S1785">
        <v>16.73</v>
      </c>
      <c r="T1785" s="154" t="e">
        <f t="shared" si="271"/>
        <v>#VALUE!</v>
      </c>
      <c r="U1785">
        <v>16.73</v>
      </c>
      <c r="V1785" s="154" t="e">
        <f t="shared" si="272"/>
        <v>#VALUE!</v>
      </c>
      <c r="W1785">
        <v>16.73</v>
      </c>
      <c r="X1785" s="157" t="e">
        <f t="shared" si="273"/>
        <v>#VALUE!</v>
      </c>
      <c r="Y1785">
        <v>16.73</v>
      </c>
      <c r="Z1785" s="154" t="e">
        <f t="shared" si="274"/>
        <v>#VALUE!</v>
      </c>
      <c r="AA1785">
        <v>16.73</v>
      </c>
      <c r="AB1785" s="154" t="e">
        <f t="shared" si="275"/>
        <v>#VALUE!</v>
      </c>
      <c r="AC1785">
        <v>16.73</v>
      </c>
      <c r="AD1785" s="154" t="e">
        <f t="shared" si="276"/>
        <v>#VALUE!</v>
      </c>
      <c r="AE1785">
        <v>16.73</v>
      </c>
    </row>
    <row r="1786" spans="12:31" ht="15" x14ac:dyDescent="0.2">
      <c r="L1786" s="154" t="e">
        <f t="shared" si="267"/>
        <v>#VALUE!</v>
      </c>
      <c r="M1786">
        <v>16.739999999999998</v>
      </c>
      <c r="N1786" s="154" t="e">
        <f t="shared" si="268"/>
        <v>#VALUE!</v>
      </c>
      <c r="O1786">
        <v>16.739999999999998</v>
      </c>
      <c r="P1786" s="154" t="e">
        <f t="shared" si="269"/>
        <v>#VALUE!</v>
      </c>
      <c r="Q1786">
        <v>16.739999999999998</v>
      </c>
      <c r="R1786" s="154" t="e">
        <f t="shared" si="270"/>
        <v>#VALUE!</v>
      </c>
      <c r="S1786">
        <v>16.739999999999998</v>
      </c>
      <c r="T1786" s="154" t="e">
        <f t="shared" si="271"/>
        <v>#VALUE!</v>
      </c>
      <c r="U1786">
        <v>16.739999999999998</v>
      </c>
      <c r="V1786" s="154" t="e">
        <f t="shared" si="272"/>
        <v>#VALUE!</v>
      </c>
      <c r="W1786">
        <v>16.739999999999998</v>
      </c>
      <c r="X1786" s="157" t="e">
        <f t="shared" si="273"/>
        <v>#VALUE!</v>
      </c>
      <c r="Y1786">
        <v>16.739999999999998</v>
      </c>
      <c r="Z1786" s="154" t="e">
        <f t="shared" si="274"/>
        <v>#VALUE!</v>
      </c>
      <c r="AA1786">
        <v>16.739999999999998</v>
      </c>
      <c r="AB1786" s="154" t="e">
        <f t="shared" si="275"/>
        <v>#VALUE!</v>
      </c>
      <c r="AC1786">
        <v>16.739999999999998</v>
      </c>
      <c r="AD1786" s="154" t="e">
        <f t="shared" si="276"/>
        <v>#VALUE!</v>
      </c>
      <c r="AE1786">
        <v>16.739999999999998</v>
      </c>
    </row>
    <row r="1787" spans="12:31" ht="15" x14ac:dyDescent="0.2">
      <c r="L1787" s="154" t="e">
        <f t="shared" si="267"/>
        <v>#VALUE!</v>
      </c>
      <c r="M1787">
        <v>16.75</v>
      </c>
      <c r="N1787" s="154" t="e">
        <f t="shared" si="268"/>
        <v>#VALUE!</v>
      </c>
      <c r="O1787">
        <v>16.75</v>
      </c>
      <c r="P1787" s="154" t="e">
        <f t="shared" si="269"/>
        <v>#VALUE!</v>
      </c>
      <c r="Q1787">
        <v>16.75</v>
      </c>
      <c r="R1787" s="154" t="e">
        <f t="shared" si="270"/>
        <v>#VALUE!</v>
      </c>
      <c r="S1787">
        <v>16.75</v>
      </c>
      <c r="T1787" s="154" t="e">
        <f t="shared" si="271"/>
        <v>#VALUE!</v>
      </c>
      <c r="U1787">
        <v>16.75</v>
      </c>
      <c r="V1787" s="154" t="e">
        <f t="shared" si="272"/>
        <v>#VALUE!</v>
      </c>
      <c r="W1787">
        <v>16.75</v>
      </c>
      <c r="X1787" s="157" t="e">
        <f t="shared" si="273"/>
        <v>#VALUE!</v>
      </c>
      <c r="Y1787">
        <v>16.75</v>
      </c>
      <c r="Z1787" s="154" t="e">
        <f t="shared" si="274"/>
        <v>#VALUE!</v>
      </c>
      <c r="AA1787">
        <v>16.75</v>
      </c>
      <c r="AB1787" s="154" t="e">
        <f t="shared" si="275"/>
        <v>#VALUE!</v>
      </c>
      <c r="AC1787">
        <v>16.75</v>
      </c>
      <c r="AD1787" s="154" t="e">
        <f t="shared" si="276"/>
        <v>#VALUE!</v>
      </c>
      <c r="AE1787">
        <v>16.75</v>
      </c>
    </row>
    <row r="1788" spans="12:31" ht="15" x14ac:dyDescent="0.2">
      <c r="L1788" s="154" t="e">
        <f t="shared" si="267"/>
        <v>#VALUE!</v>
      </c>
      <c r="M1788">
        <v>16.760000000000002</v>
      </c>
      <c r="N1788" s="154" t="e">
        <f t="shared" si="268"/>
        <v>#VALUE!</v>
      </c>
      <c r="O1788">
        <v>16.760000000000002</v>
      </c>
      <c r="P1788" s="154" t="e">
        <f t="shared" si="269"/>
        <v>#VALUE!</v>
      </c>
      <c r="Q1788">
        <v>16.760000000000002</v>
      </c>
      <c r="R1788" s="154" t="e">
        <f t="shared" si="270"/>
        <v>#VALUE!</v>
      </c>
      <c r="S1788">
        <v>16.760000000000002</v>
      </c>
      <c r="T1788" s="154" t="e">
        <f t="shared" si="271"/>
        <v>#VALUE!</v>
      </c>
      <c r="U1788">
        <v>16.760000000000002</v>
      </c>
      <c r="V1788" s="154" t="e">
        <f t="shared" si="272"/>
        <v>#VALUE!</v>
      </c>
      <c r="W1788">
        <v>16.760000000000002</v>
      </c>
      <c r="X1788" s="157" t="e">
        <f t="shared" si="273"/>
        <v>#VALUE!</v>
      </c>
      <c r="Y1788">
        <v>16.760000000000002</v>
      </c>
      <c r="Z1788" s="154" t="e">
        <f t="shared" si="274"/>
        <v>#VALUE!</v>
      </c>
      <c r="AA1788">
        <v>16.760000000000002</v>
      </c>
      <c r="AB1788" s="154" t="e">
        <f t="shared" si="275"/>
        <v>#VALUE!</v>
      </c>
      <c r="AC1788">
        <v>16.760000000000002</v>
      </c>
      <c r="AD1788" s="154" t="e">
        <f t="shared" si="276"/>
        <v>#VALUE!</v>
      </c>
      <c r="AE1788">
        <v>16.760000000000002</v>
      </c>
    </row>
    <row r="1789" spans="12:31" ht="15" x14ac:dyDescent="0.2">
      <c r="L1789" s="154" t="e">
        <f t="shared" si="267"/>
        <v>#VALUE!</v>
      </c>
      <c r="M1789">
        <v>16.77</v>
      </c>
      <c r="N1789" s="154" t="e">
        <f t="shared" si="268"/>
        <v>#VALUE!</v>
      </c>
      <c r="O1789">
        <v>16.77</v>
      </c>
      <c r="P1789" s="154" t="e">
        <f t="shared" si="269"/>
        <v>#VALUE!</v>
      </c>
      <c r="Q1789">
        <v>16.77</v>
      </c>
      <c r="R1789" s="154" t="e">
        <f t="shared" si="270"/>
        <v>#VALUE!</v>
      </c>
      <c r="S1789">
        <v>16.77</v>
      </c>
      <c r="T1789" s="154" t="e">
        <f t="shared" si="271"/>
        <v>#VALUE!</v>
      </c>
      <c r="U1789">
        <v>16.77</v>
      </c>
      <c r="V1789" s="154" t="e">
        <f t="shared" si="272"/>
        <v>#VALUE!</v>
      </c>
      <c r="W1789">
        <v>16.77</v>
      </c>
      <c r="X1789" s="157" t="e">
        <f t="shared" si="273"/>
        <v>#VALUE!</v>
      </c>
      <c r="Y1789">
        <v>16.77</v>
      </c>
      <c r="Z1789" s="154" t="e">
        <f t="shared" si="274"/>
        <v>#VALUE!</v>
      </c>
      <c r="AA1789">
        <v>16.77</v>
      </c>
      <c r="AB1789" s="154" t="e">
        <f t="shared" si="275"/>
        <v>#VALUE!</v>
      </c>
      <c r="AC1789">
        <v>16.77</v>
      </c>
      <c r="AD1789" s="154" t="e">
        <f t="shared" si="276"/>
        <v>#VALUE!</v>
      </c>
      <c r="AE1789">
        <v>16.77</v>
      </c>
    </row>
    <row r="1790" spans="12:31" ht="15" x14ac:dyDescent="0.2">
      <c r="L1790" s="154" t="e">
        <f t="shared" si="267"/>
        <v>#VALUE!</v>
      </c>
      <c r="M1790">
        <v>16.78</v>
      </c>
      <c r="N1790" s="154" t="e">
        <f t="shared" si="268"/>
        <v>#VALUE!</v>
      </c>
      <c r="O1790">
        <v>16.78</v>
      </c>
      <c r="P1790" s="154" t="e">
        <f t="shared" si="269"/>
        <v>#VALUE!</v>
      </c>
      <c r="Q1790">
        <v>16.78</v>
      </c>
      <c r="R1790" s="154" t="e">
        <f t="shared" si="270"/>
        <v>#VALUE!</v>
      </c>
      <c r="S1790">
        <v>16.78</v>
      </c>
      <c r="T1790" s="154" t="e">
        <f t="shared" si="271"/>
        <v>#VALUE!</v>
      </c>
      <c r="U1790">
        <v>16.78</v>
      </c>
      <c r="V1790" s="154" t="e">
        <f t="shared" si="272"/>
        <v>#VALUE!</v>
      </c>
      <c r="W1790">
        <v>16.78</v>
      </c>
      <c r="X1790" s="157" t="e">
        <f t="shared" si="273"/>
        <v>#VALUE!</v>
      </c>
      <c r="Y1790">
        <v>16.78</v>
      </c>
      <c r="Z1790" s="154" t="e">
        <f t="shared" si="274"/>
        <v>#VALUE!</v>
      </c>
      <c r="AA1790">
        <v>16.78</v>
      </c>
      <c r="AB1790" s="154" t="e">
        <f t="shared" si="275"/>
        <v>#VALUE!</v>
      </c>
      <c r="AC1790">
        <v>16.78</v>
      </c>
      <c r="AD1790" s="154" t="e">
        <f t="shared" si="276"/>
        <v>#VALUE!</v>
      </c>
      <c r="AE1790">
        <v>16.78</v>
      </c>
    </row>
    <row r="1791" spans="12:31" ht="15" x14ac:dyDescent="0.2">
      <c r="L1791" s="154" t="e">
        <f t="shared" si="267"/>
        <v>#VALUE!</v>
      </c>
      <c r="M1791">
        <v>16.79</v>
      </c>
      <c r="N1791" s="154" t="e">
        <f t="shared" si="268"/>
        <v>#VALUE!</v>
      </c>
      <c r="O1791">
        <v>16.79</v>
      </c>
      <c r="P1791" s="154" t="e">
        <f t="shared" si="269"/>
        <v>#VALUE!</v>
      </c>
      <c r="Q1791">
        <v>16.79</v>
      </c>
      <c r="R1791" s="154" t="e">
        <f t="shared" si="270"/>
        <v>#VALUE!</v>
      </c>
      <c r="S1791">
        <v>16.79</v>
      </c>
      <c r="T1791" s="154" t="e">
        <f t="shared" si="271"/>
        <v>#VALUE!</v>
      </c>
      <c r="U1791">
        <v>16.79</v>
      </c>
      <c r="V1791" s="154" t="e">
        <f t="shared" si="272"/>
        <v>#VALUE!</v>
      </c>
      <c r="W1791">
        <v>16.79</v>
      </c>
      <c r="X1791" s="157" t="e">
        <f t="shared" si="273"/>
        <v>#VALUE!</v>
      </c>
      <c r="Y1791">
        <v>16.79</v>
      </c>
      <c r="Z1791" s="154" t="e">
        <f t="shared" si="274"/>
        <v>#VALUE!</v>
      </c>
      <c r="AA1791">
        <v>16.79</v>
      </c>
      <c r="AB1791" s="154" t="e">
        <f t="shared" si="275"/>
        <v>#VALUE!</v>
      </c>
      <c r="AC1791">
        <v>16.79</v>
      </c>
      <c r="AD1791" s="154" t="e">
        <f t="shared" si="276"/>
        <v>#VALUE!</v>
      </c>
      <c r="AE1791">
        <v>16.79</v>
      </c>
    </row>
    <row r="1792" spans="12:31" ht="15" x14ac:dyDescent="0.2">
      <c r="L1792" s="154" t="e">
        <f t="shared" si="267"/>
        <v>#VALUE!</v>
      </c>
      <c r="M1792">
        <v>16.8</v>
      </c>
      <c r="N1792" s="154" t="e">
        <f t="shared" si="268"/>
        <v>#VALUE!</v>
      </c>
      <c r="O1792">
        <v>16.8</v>
      </c>
      <c r="P1792" s="154" t="e">
        <f t="shared" si="269"/>
        <v>#VALUE!</v>
      </c>
      <c r="Q1792">
        <v>16.8</v>
      </c>
      <c r="R1792" s="154" t="e">
        <f t="shared" si="270"/>
        <v>#VALUE!</v>
      </c>
      <c r="S1792">
        <v>16.8</v>
      </c>
      <c r="T1792" s="154" t="e">
        <f t="shared" si="271"/>
        <v>#VALUE!</v>
      </c>
      <c r="U1792">
        <v>16.8</v>
      </c>
      <c r="V1792" s="154" t="e">
        <f t="shared" si="272"/>
        <v>#VALUE!</v>
      </c>
      <c r="W1792">
        <v>16.8</v>
      </c>
      <c r="X1792" s="157" t="e">
        <f t="shared" si="273"/>
        <v>#VALUE!</v>
      </c>
      <c r="Y1792">
        <v>16.8</v>
      </c>
      <c r="Z1792" s="154" t="e">
        <f t="shared" si="274"/>
        <v>#VALUE!</v>
      </c>
      <c r="AA1792">
        <v>16.8</v>
      </c>
      <c r="AB1792" s="154" t="e">
        <f t="shared" si="275"/>
        <v>#VALUE!</v>
      </c>
      <c r="AC1792">
        <v>16.8</v>
      </c>
      <c r="AD1792" s="154" t="e">
        <f t="shared" si="276"/>
        <v>#VALUE!</v>
      </c>
      <c r="AE1792">
        <v>16.8</v>
      </c>
    </row>
    <row r="1793" spans="12:31" ht="15" x14ac:dyDescent="0.2">
      <c r="L1793" s="154" t="e">
        <f t="shared" si="267"/>
        <v>#VALUE!</v>
      </c>
      <c r="M1793">
        <v>16.809999999999999</v>
      </c>
      <c r="N1793" s="154" t="e">
        <f t="shared" si="268"/>
        <v>#VALUE!</v>
      </c>
      <c r="O1793">
        <v>16.809999999999999</v>
      </c>
      <c r="P1793" s="154" t="e">
        <f t="shared" si="269"/>
        <v>#VALUE!</v>
      </c>
      <c r="Q1793">
        <v>16.809999999999999</v>
      </c>
      <c r="R1793" s="154" t="e">
        <f t="shared" si="270"/>
        <v>#VALUE!</v>
      </c>
      <c r="S1793">
        <v>16.809999999999999</v>
      </c>
      <c r="T1793" s="154" t="e">
        <f t="shared" si="271"/>
        <v>#VALUE!</v>
      </c>
      <c r="U1793">
        <v>16.809999999999999</v>
      </c>
      <c r="V1793" s="154" t="e">
        <f t="shared" si="272"/>
        <v>#VALUE!</v>
      </c>
      <c r="W1793">
        <v>16.809999999999999</v>
      </c>
      <c r="X1793" s="157" t="e">
        <f t="shared" si="273"/>
        <v>#VALUE!</v>
      </c>
      <c r="Y1793">
        <v>16.809999999999999</v>
      </c>
      <c r="Z1793" s="154" t="e">
        <f t="shared" si="274"/>
        <v>#VALUE!</v>
      </c>
      <c r="AA1793">
        <v>16.809999999999999</v>
      </c>
      <c r="AB1793" s="154" t="e">
        <f t="shared" si="275"/>
        <v>#VALUE!</v>
      </c>
      <c r="AC1793">
        <v>16.809999999999999</v>
      </c>
      <c r="AD1793" s="154" t="e">
        <f t="shared" si="276"/>
        <v>#VALUE!</v>
      </c>
      <c r="AE1793">
        <v>16.809999999999999</v>
      </c>
    </row>
    <row r="1794" spans="12:31" ht="15" x14ac:dyDescent="0.2">
      <c r="L1794" s="154" t="e">
        <f t="shared" si="267"/>
        <v>#VALUE!</v>
      </c>
      <c r="M1794">
        <v>16.82</v>
      </c>
      <c r="N1794" s="154" t="e">
        <f t="shared" si="268"/>
        <v>#VALUE!</v>
      </c>
      <c r="O1794">
        <v>16.82</v>
      </c>
      <c r="P1794" s="154" t="e">
        <f t="shared" si="269"/>
        <v>#VALUE!</v>
      </c>
      <c r="Q1794">
        <v>16.82</v>
      </c>
      <c r="R1794" s="154" t="e">
        <f t="shared" si="270"/>
        <v>#VALUE!</v>
      </c>
      <c r="S1794">
        <v>16.82</v>
      </c>
      <c r="T1794" s="154" t="e">
        <f t="shared" si="271"/>
        <v>#VALUE!</v>
      </c>
      <c r="U1794">
        <v>16.82</v>
      </c>
      <c r="V1794" s="154" t="e">
        <f t="shared" si="272"/>
        <v>#VALUE!</v>
      </c>
      <c r="W1794">
        <v>16.82</v>
      </c>
      <c r="X1794" s="157" t="e">
        <f t="shared" si="273"/>
        <v>#VALUE!</v>
      </c>
      <c r="Y1794">
        <v>16.82</v>
      </c>
      <c r="Z1794" s="154" t="e">
        <f t="shared" si="274"/>
        <v>#VALUE!</v>
      </c>
      <c r="AA1794">
        <v>16.82</v>
      </c>
      <c r="AB1794" s="154" t="e">
        <f t="shared" si="275"/>
        <v>#VALUE!</v>
      </c>
      <c r="AC1794">
        <v>16.82</v>
      </c>
      <c r="AD1794" s="154" t="e">
        <f t="shared" si="276"/>
        <v>#VALUE!</v>
      </c>
      <c r="AE1794">
        <v>16.82</v>
      </c>
    </row>
    <row r="1795" spans="12:31" ht="15" x14ac:dyDescent="0.2">
      <c r="L1795" s="154" t="e">
        <f t="shared" si="267"/>
        <v>#VALUE!</v>
      </c>
      <c r="M1795">
        <v>16.829999999999998</v>
      </c>
      <c r="N1795" s="154" t="e">
        <f t="shared" si="268"/>
        <v>#VALUE!</v>
      </c>
      <c r="O1795">
        <v>16.829999999999998</v>
      </c>
      <c r="P1795" s="154" t="e">
        <f t="shared" si="269"/>
        <v>#VALUE!</v>
      </c>
      <c r="Q1795">
        <v>16.829999999999998</v>
      </c>
      <c r="R1795" s="154" t="e">
        <f t="shared" si="270"/>
        <v>#VALUE!</v>
      </c>
      <c r="S1795">
        <v>16.829999999999998</v>
      </c>
      <c r="T1795" s="154" t="e">
        <f t="shared" si="271"/>
        <v>#VALUE!</v>
      </c>
      <c r="U1795">
        <v>16.829999999999998</v>
      </c>
      <c r="V1795" s="154" t="e">
        <f t="shared" si="272"/>
        <v>#VALUE!</v>
      </c>
      <c r="W1795">
        <v>16.829999999999998</v>
      </c>
      <c r="X1795" s="157" t="e">
        <f t="shared" si="273"/>
        <v>#VALUE!</v>
      </c>
      <c r="Y1795">
        <v>16.829999999999998</v>
      </c>
      <c r="Z1795" s="154" t="e">
        <f t="shared" si="274"/>
        <v>#VALUE!</v>
      </c>
      <c r="AA1795">
        <v>16.829999999999998</v>
      </c>
      <c r="AB1795" s="154" t="e">
        <f t="shared" si="275"/>
        <v>#VALUE!</v>
      </c>
      <c r="AC1795">
        <v>16.829999999999998</v>
      </c>
      <c r="AD1795" s="154" t="e">
        <f t="shared" si="276"/>
        <v>#VALUE!</v>
      </c>
      <c r="AE1795">
        <v>16.829999999999998</v>
      </c>
    </row>
    <row r="1796" spans="12:31" ht="15" x14ac:dyDescent="0.2">
      <c r="L1796" s="154" t="e">
        <f t="shared" si="267"/>
        <v>#VALUE!</v>
      </c>
      <c r="M1796">
        <v>16.84</v>
      </c>
      <c r="N1796" s="154" t="e">
        <f t="shared" si="268"/>
        <v>#VALUE!</v>
      </c>
      <c r="O1796">
        <v>16.84</v>
      </c>
      <c r="P1796" s="154" t="e">
        <f t="shared" si="269"/>
        <v>#VALUE!</v>
      </c>
      <c r="Q1796">
        <v>16.84</v>
      </c>
      <c r="R1796" s="154" t="e">
        <f t="shared" si="270"/>
        <v>#VALUE!</v>
      </c>
      <c r="S1796">
        <v>16.84</v>
      </c>
      <c r="T1796" s="154" t="e">
        <f t="shared" si="271"/>
        <v>#VALUE!</v>
      </c>
      <c r="U1796">
        <v>16.84</v>
      </c>
      <c r="V1796" s="154" t="e">
        <f t="shared" si="272"/>
        <v>#VALUE!</v>
      </c>
      <c r="W1796">
        <v>16.84</v>
      </c>
      <c r="X1796" s="157" t="e">
        <f t="shared" si="273"/>
        <v>#VALUE!</v>
      </c>
      <c r="Y1796">
        <v>16.84</v>
      </c>
      <c r="Z1796" s="154" t="e">
        <f t="shared" si="274"/>
        <v>#VALUE!</v>
      </c>
      <c r="AA1796">
        <v>16.84</v>
      </c>
      <c r="AB1796" s="154" t="e">
        <f t="shared" si="275"/>
        <v>#VALUE!</v>
      </c>
      <c r="AC1796">
        <v>16.84</v>
      </c>
      <c r="AD1796" s="154" t="e">
        <f t="shared" si="276"/>
        <v>#VALUE!</v>
      </c>
      <c r="AE1796">
        <v>16.84</v>
      </c>
    </row>
    <row r="1797" spans="12:31" ht="15" x14ac:dyDescent="0.2">
      <c r="L1797" s="154" t="e">
        <f t="shared" si="267"/>
        <v>#VALUE!</v>
      </c>
      <c r="M1797">
        <v>16.850000000000001</v>
      </c>
      <c r="N1797" s="154" t="e">
        <f t="shared" si="268"/>
        <v>#VALUE!</v>
      </c>
      <c r="O1797">
        <v>16.850000000000001</v>
      </c>
      <c r="P1797" s="154" t="e">
        <f t="shared" si="269"/>
        <v>#VALUE!</v>
      </c>
      <c r="Q1797">
        <v>16.850000000000001</v>
      </c>
      <c r="R1797" s="154" t="e">
        <f t="shared" si="270"/>
        <v>#VALUE!</v>
      </c>
      <c r="S1797">
        <v>16.850000000000001</v>
      </c>
      <c r="T1797" s="154" t="e">
        <f t="shared" si="271"/>
        <v>#VALUE!</v>
      </c>
      <c r="U1797">
        <v>16.850000000000001</v>
      </c>
      <c r="V1797" s="154" t="e">
        <f t="shared" si="272"/>
        <v>#VALUE!</v>
      </c>
      <c r="W1797">
        <v>16.850000000000001</v>
      </c>
      <c r="X1797" s="157" t="e">
        <f t="shared" si="273"/>
        <v>#VALUE!</v>
      </c>
      <c r="Y1797">
        <v>16.850000000000001</v>
      </c>
      <c r="Z1797" s="154" t="e">
        <f t="shared" si="274"/>
        <v>#VALUE!</v>
      </c>
      <c r="AA1797">
        <v>16.850000000000001</v>
      </c>
      <c r="AB1797" s="154" t="e">
        <f t="shared" si="275"/>
        <v>#VALUE!</v>
      </c>
      <c r="AC1797">
        <v>16.850000000000001</v>
      </c>
      <c r="AD1797" s="154" t="e">
        <f t="shared" si="276"/>
        <v>#VALUE!</v>
      </c>
      <c r="AE1797">
        <v>16.850000000000001</v>
      </c>
    </row>
    <row r="1798" spans="12:31" ht="15" x14ac:dyDescent="0.2">
      <c r="L1798" s="154" t="e">
        <f t="shared" si="267"/>
        <v>#VALUE!</v>
      </c>
      <c r="M1798">
        <v>16.86</v>
      </c>
      <c r="N1798" s="154" t="e">
        <f t="shared" si="268"/>
        <v>#VALUE!</v>
      </c>
      <c r="O1798">
        <v>16.86</v>
      </c>
      <c r="P1798" s="154" t="e">
        <f t="shared" si="269"/>
        <v>#VALUE!</v>
      </c>
      <c r="Q1798">
        <v>16.86</v>
      </c>
      <c r="R1798" s="154" t="e">
        <f t="shared" si="270"/>
        <v>#VALUE!</v>
      </c>
      <c r="S1798">
        <v>16.86</v>
      </c>
      <c r="T1798" s="154" t="e">
        <f t="shared" si="271"/>
        <v>#VALUE!</v>
      </c>
      <c r="U1798">
        <v>16.86</v>
      </c>
      <c r="V1798" s="154" t="e">
        <f t="shared" si="272"/>
        <v>#VALUE!</v>
      </c>
      <c r="W1798">
        <v>16.86</v>
      </c>
      <c r="X1798" s="157" t="e">
        <f t="shared" si="273"/>
        <v>#VALUE!</v>
      </c>
      <c r="Y1798">
        <v>16.86</v>
      </c>
      <c r="Z1798" s="154" t="e">
        <f t="shared" si="274"/>
        <v>#VALUE!</v>
      </c>
      <c r="AA1798">
        <v>16.86</v>
      </c>
      <c r="AB1798" s="154" t="e">
        <f t="shared" si="275"/>
        <v>#VALUE!</v>
      </c>
      <c r="AC1798">
        <v>16.86</v>
      </c>
      <c r="AD1798" s="154" t="e">
        <f t="shared" si="276"/>
        <v>#VALUE!</v>
      </c>
      <c r="AE1798">
        <v>16.86</v>
      </c>
    </row>
    <row r="1799" spans="12:31" ht="15" x14ac:dyDescent="0.2">
      <c r="L1799" s="154" t="e">
        <f t="shared" si="267"/>
        <v>#VALUE!</v>
      </c>
      <c r="M1799">
        <v>16.87</v>
      </c>
      <c r="N1799" s="154" t="e">
        <f t="shared" si="268"/>
        <v>#VALUE!</v>
      </c>
      <c r="O1799">
        <v>16.87</v>
      </c>
      <c r="P1799" s="154" t="e">
        <f t="shared" si="269"/>
        <v>#VALUE!</v>
      </c>
      <c r="Q1799">
        <v>16.87</v>
      </c>
      <c r="R1799" s="154" t="e">
        <f t="shared" si="270"/>
        <v>#VALUE!</v>
      </c>
      <c r="S1799">
        <v>16.87</v>
      </c>
      <c r="T1799" s="154" t="e">
        <f t="shared" si="271"/>
        <v>#VALUE!</v>
      </c>
      <c r="U1799">
        <v>16.87</v>
      </c>
      <c r="V1799" s="154" t="e">
        <f t="shared" si="272"/>
        <v>#VALUE!</v>
      </c>
      <c r="W1799">
        <v>16.87</v>
      </c>
      <c r="X1799" s="157" t="e">
        <f t="shared" si="273"/>
        <v>#VALUE!</v>
      </c>
      <c r="Y1799">
        <v>16.87</v>
      </c>
      <c r="Z1799" s="154" t="e">
        <f t="shared" si="274"/>
        <v>#VALUE!</v>
      </c>
      <c r="AA1799">
        <v>16.87</v>
      </c>
      <c r="AB1799" s="154" t="e">
        <f t="shared" si="275"/>
        <v>#VALUE!</v>
      </c>
      <c r="AC1799">
        <v>16.87</v>
      </c>
      <c r="AD1799" s="154" t="e">
        <f t="shared" si="276"/>
        <v>#VALUE!</v>
      </c>
      <c r="AE1799">
        <v>16.87</v>
      </c>
    </row>
    <row r="1800" spans="12:31" ht="15" x14ac:dyDescent="0.2">
      <c r="L1800" s="154" t="e">
        <f t="shared" si="267"/>
        <v>#VALUE!</v>
      </c>
      <c r="M1800">
        <v>16.88</v>
      </c>
      <c r="N1800" s="154" t="e">
        <f t="shared" si="268"/>
        <v>#VALUE!</v>
      </c>
      <c r="O1800">
        <v>16.88</v>
      </c>
      <c r="P1800" s="154" t="e">
        <f t="shared" si="269"/>
        <v>#VALUE!</v>
      </c>
      <c r="Q1800">
        <v>16.88</v>
      </c>
      <c r="R1800" s="154" t="e">
        <f t="shared" si="270"/>
        <v>#VALUE!</v>
      </c>
      <c r="S1800">
        <v>16.88</v>
      </c>
      <c r="T1800" s="154" t="e">
        <f t="shared" si="271"/>
        <v>#VALUE!</v>
      </c>
      <c r="U1800">
        <v>16.88</v>
      </c>
      <c r="V1800" s="154" t="e">
        <f t="shared" si="272"/>
        <v>#VALUE!</v>
      </c>
      <c r="W1800">
        <v>16.88</v>
      </c>
      <c r="X1800" s="157" t="e">
        <f t="shared" si="273"/>
        <v>#VALUE!</v>
      </c>
      <c r="Y1800">
        <v>16.88</v>
      </c>
      <c r="Z1800" s="154" t="e">
        <f t="shared" si="274"/>
        <v>#VALUE!</v>
      </c>
      <c r="AA1800">
        <v>16.88</v>
      </c>
      <c r="AB1800" s="154" t="e">
        <f t="shared" si="275"/>
        <v>#VALUE!</v>
      </c>
      <c r="AC1800">
        <v>16.88</v>
      </c>
      <c r="AD1800" s="154" t="e">
        <f t="shared" si="276"/>
        <v>#VALUE!</v>
      </c>
      <c r="AE1800">
        <v>16.88</v>
      </c>
    </row>
    <row r="1801" spans="12:31" ht="15" x14ac:dyDescent="0.2">
      <c r="L1801" s="154" t="e">
        <f t="shared" si="267"/>
        <v>#VALUE!</v>
      </c>
      <c r="M1801">
        <v>16.89</v>
      </c>
      <c r="N1801" s="154" t="e">
        <f t="shared" si="268"/>
        <v>#VALUE!</v>
      </c>
      <c r="O1801">
        <v>16.89</v>
      </c>
      <c r="P1801" s="154" t="e">
        <f t="shared" si="269"/>
        <v>#VALUE!</v>
      </c>
      <c r="Q1801">
        <v>16.89</v>
      </c>
      <c r="R1801" s="154" t="e">
        <f t="shared" si="270"/>
        <v>#VALUE!</v>
      </c>
      <c r="S1801">
        <v>16.89</v>
      </c>
      <c r="T1801" s="154" t="e">
        <f t="shared" si="271"/>
        <v>#VALUE!</v>
      </c>
      <c r="U1801">
        <v>16.89</v>
      </c>
      <c r="V1801" s="154" t="e">
        <f t="shared" si="272"/>
        <v>#VALUE!</v>
      </c>
      <c r="W1801">
        <v>16.89</v>
      </c>
      <c r="X1801" s="157" t="e">
        <f t="shared" si="273"/>
        <v>#VALUE!</v>
      </c>
      <c r="Y1801">
        <v>16.89</v>
      </c>
      <c r="Z1801" s="154" t="e">
        <f t="shared" si="274"/>
        <v>#VALUE!</v>
      </c>
      <c r="AA1801">
        <v>16.89</v>
      </c>
      <c r="AB1801" s="154" t="e">
        <f t="shared" si="275"/>
        <v>#VALUE!</v>
      </c>
      <c r="AC1801">
        <v>16.89</v>
      </c>
      <c r="AD1801" s="154" t="e">
        <f t="shared" si="276"/>
        <v>#VALUE!</v>
      </c>
      <c r="AE1801">
        <v>16.89</v>
      </c>
    </row>
    <row r="1802" spans="12:31" ht="15" x14ac:dyDescent="0.2">
      <c r="L1802" s="154" t="e">
        <f t="shared" si="267"/>
        <v>#VALUE!</v>
      </c>
      <c r="M1802">
        <v>16.899999999999999</v>
      </c>
      <c r="N1802" s="154" t="e">
        <f t="shared" si="268"/>
        <v>#VALUE!</v>
      </c>
      <c r="O1802">
        <v>16.899999999999999</v>
      </c>
      <c r="P1802" s="154" t="e">
        <f t="shared" si="269"/>
        <v>#VALUE!</v>
      </c>
      <c r="Q1802">
        <v>16.899999999999999</v>
      </c>
      <c r="R1802" s="154" t="e">
        <f t="shared" si="270"/>
        <v>#VALUE!</v>
      </c>
      <c r="S1802">
        <v>16.899999999999999</v>
      </c>
      <c r="T1802" s="154" t="e">
        <f t="shared" si="271"/>
        <v>#VALUE!</v>
      </c>
      <c r="U1802">
        <v>16.899999999999999</v>
      </c>
      <c r="V1802" s="154" t="e">
        <f t="shared" si="272"/>
        <v>#VALUE!</v>
      </c>
      <c r="W1802">
        <v>16.899999999999999</v>
      </c>
      <c r="X1802" s="157" t="e">
        <f t="shared" si="273"/>
        <v>#VALUE!</v>
      </c>
      <c r="Y1802">
        <v>16.899999999999999</v>
      </c>
      <c r="Z1802" s="154" t="e">
        <f t="shared" si="274"/>
        <v>#VALUE!</v>
      </c>
      <c r="AA1802">
        <v>16.899999999999999</v>
      </c>
      <c r="AB1802" s="154" t="e">
        <f t="shared" si="275"/>
        <v>#VALUE!</v>
      </c>
      <c r="AC1802">
        <v>16.899999999999999</v>
      </c>
      <c r="AD1802" s="154" t="e">
        <f t="shared" si="276"/>
        <v>#VALUE!</v>
      </c>
      <c r="AE1802">
        <v>16.899999999999999</v>
      </c>
    </row>
    <row r="1803" spans="12:31" ht="15" x14ac:dyDescent="0.2">
      <c r="L1803" s="154" t="e">
        <f t="shared" si="267"/>
        <v>#VALUE!</v>
      </c>
      <c r="M1803">
        <v>16.91</v>
      </c>
      <c r="N1803" s="154" t="e">
        <f t="shared" si="268"/>
        <v>#VALUE!</v>
      </c>
      <c r="O1803">
        <v>16.91</v>
      </c>
      <c r="P1803" s="154" t="e">
        <f t="shared" si="269"/>
        <v>#VALUE!</v>
      </c>
      <c r="Q1803">
        <v>16.91</v>
      </c>
      <c r="R1803" s="154" t="e">
        <f t="shared" si="270"/>
        <v>#VALUE!</v>
      </c>
      <c r="S1803">
        <v>16.91</v>
      </c>
      <c r="T1803" s="154" t="e">
        <f t="shared" si="271"/>
        <v>#VALUE!</v>
      </c>
      <c r="U1803">
        <v>16.91</v>
      </c>
      <c r="V1803" s="154" t="e">
        <f t="shared" si="272"/>
        <v>#VALUE!</v>
      </c>
      <c r="W1803">
        <v>16.91</v>
      </c>
      <c r="X1803" s="157" t="e">
        <f t="shared" si="273"/>
        <v>#VALUE!</v>
      </c>
      <c r="Y1803">
        <v>16.91</v>
      </c>
      <c r="Z1803" s="154" t="e">
        <f t="shared" si="274"/>
        <v>#VALUE!</v>
      </c>
      <c r="AA1803">
        <v>16.91</v>
      </c>
      <c r="AB1803" s="154" t="e">
        <f t="shared" si="275"/>
        <v>#VALUE!</v>
      </c>
      <c r="AC1803">
        <v>16.91</v>
      </c>
      <c r="AD1803" s="154" t="e">
        <f t="shared" si="276"/>
        <v>#VALUE!</v>
      </c>
      <c r="AE1803">
        <v>16.91</v>
      </c>
    </row>
    <row r="1804" spans="12:31" ht="15" x14ac:dyDescent="0.2">
      <c r="L1804" s="154" t="e">
        <f t="shared" si="267"/>
        <v>#VALUE!</v>
      </c>
      <c r="M1804">
        <v>16.920000000000002</v>
      </c>
      <c r="N1804" s="154" t="e">
        <f t="shared" si="268"/>
        <v>#VALUE!</v>
      </c>
      <c r="O1804">
        <v>16.920000000000002</v>
      </c>
      <c r="P1804" s="154" t="e">
        <f t="shared" si="269"/>
        <v>#VALUE!</v>
      </c>
      <c r="Q1804">
        <v>16.920000000000002</v>
      </c>
      <c r="R1804" s="154" t="e">
        <f t="shared" si="270"/>
        <v>#VALUE!</v>
      </c>
      <c r="S1804">
        <v>16.920000000000002</v>
      </c>
      <c r="T1804" s="154" t="e">
        <f t="shared" si="271"/>
        <v>#VALUE!</v>
      </c>
      <c r="U1804">
        <v>16.920000000000002</v>
      </c>
      <c r="V1804" s="154" t="e">
        <f t="shared" si="272"/>
        <v>#VALUE!</v>
      </c>
      <c r="W1804">
        <v>16.920000000000002</v>
      </c>
      <c r="X1804" s="157" t="e">
        <f t="shared" si="273"/>
        <v>#VALUE!</v>
      </c>
      <c r="Y1804">
        <v>16.920000000000002</v>
      </c>
      <c r="Z1804" s="154" t="e">
        <f t="shared" si="274"/>
        <v>#VALUE!</v>
      </c>
      <c r="AA1804">
        <v>16.920000000000002</v>
      </c>
      <c r="AB1804" s="154" t="e">
        <f t="shared" si="275"/>
        <v>#VALUE!</v>
      </c>
      <c r="AC1804">
        <v>16.920000000000002</v>
      </c>
      <c r="AD1804" s="154" t="e">
        <f t="shared" si="276"/>
        <v>#VALUE!</v>
      </c>
      <c r="AE1804">
        <v>16.920000000000002</v>
      </c>
    </row>
    <row r="1805" spans="12:31" ht="15" x14ac:dyDescent="0.2">
      <c r="L1805" s="154" t="e">
        <f t="shared" si="267"/>
        <v>#VALUE!</v>
      </c>
      <c r="M1805">
        <v>16.93</v>
      </c>
      <c r="N1805" s="154" t="e">
        <f t="shared" si="268"/>
        <v>#VALUE!</v>
      </c>
      <c r="O1805">
        <v>16.93</v>
      </c>
      <c r="P1805" s="154" t="e">
        <f t="shared" si="269"/>
        <v>#VALUE!</v>
      </c>
      <c r="Q1805">
        <v>16.93</v>
      </c>
      <c r="R1805" s="154" t="e">
        <f t="shared" si="270"/>
        <v>#VALUE!</v>
      </c>
      <c r="S1805">
        <v>16.93</v>
      </c>
      <c r="T1805" s="154" t="e">
        <f t="shared" si="271"/>
        <v>#VALUE!</v>
      </c>
      <c r="U1805">
        <v>16.93</v>
      </c>
      <c r="V1805" s="154" t="e">
        <f t="shared" si="272"/>
        <v>#VALUE!</v>
      </c>
      <c r="W1805">
        <v>16.93</v>
      </c>
      <c r="X1805" s="157" t="e">
        <f t="shared" si="273"/>
        <v>#VALUE!</v>
      </c>
      <c r="Y1805">
        <v>16.93</v>
      </c>
      <c r="Z1805" s="154" t="e">
        <f t="shared" si="274"/>
        <v>#VALUE!</v>
      </c>
      <c r="AA1805">
        <v>16.93</v>
      </c>
      <c r="AB1805" s="154" t="e">
        <f t="shared" si="275"/>
        <v>#VALUE!</v>
      </c>
      <c r="AC1805">
        <v>16.93</v>
      </c>
      <c r="AD1805" s="154" t="e">
        <f t="shared" si="276"/>
        <v>#VALUE!</v>
      </c>
      <c r="AE1805">
        <v>16.93</v>
      </c>
    </row>
    <row r="1806" spans="12:31" ht="15" x14ac:dyDescent="0.2">
      <c r="L1806" s="154" t="e">
        <f t="shared" si="267"/>
        <v>#VALUE!</v>
      </c>
      <c r="M1806">
        <v>16.940000000000001</v>
      </c>
      <c r="N1806" s="154" t="e">
        <f t="shared" si="268"/>
        <v>#VALUE!</v>
      </c>
      <c r="O1806">
        <v>16.940000000000001</v>
      </c>
      <c r="P1806" s="154" t="e">
        <f t="shared" si="269"/>
        <v>#VALUE!</v>
      </c>
      <c r="Q1806">
        <v>16.940000000000001</v>
      </c>
      <c r="R1806" s="154" t="e">
        <f t="shared" si="270"/>
        <v>#VALUE!</v>
      </c>
      <c r="S1806">
        <v>16.940000000000001</v>
      </c>
      <c r="T1806" s="154" t="e">
        <f t="shared" si="271"/>
        <v>#VALUE!</v>
      </c>
      <c r="U1806">
        <v>16.940000000000001</v>
      </c>
      <c r="V1806" s="154" t="e">
        <f t="shared" si="272"/>
        <v>#VALUE!</v>
      </c>
      <c r="W1806">
        <v>16.940000000000001</v>
      </c>
      <c r="X1806" s="157" t="e">
        <f t="shared" si="273"/>
        <v>#VALUE!</v>
      </c>
      <c r="Y1806">
        <v>16.940000000000001</v>
      </c>
      <c r="Z1806" s="154" t="e">
        <f t="shared" si="274"/>
        <v>#VALUE!</v>
      </c>
      <c r="AA1806">
        <v>16.940000000000001</v>
      </c>
      <c r="AB1806" s="154" t="e">
        <f t="shared" si="275"/>
        <v>#VALUE!</v>
      </c>
      <c r="AC1806">
        <v>16.940000000000001</v>
      </c>
      <c r="AD1806" s="154" t="e">
        <f t="shared" si="276"/>
        <v>#VALUE!</v>
      </c>
      <c r="AE1806">
        <v>16.940000000000001</v>
      </c>
    </row>
    <row r="1807" spans="12:31" ht="15" x14ac:dyDescent="0.2">
      <c r="L1807" s="154" t="e">
        <f t="shared" si="267"/>
        <v>#VALUE!</v>
      </c>
      <c r="M1807">
        <v>16.95</v>
      </c>
      <c r="N1807" s="154" t="e">
        <f t="shared" si="268"/>
        <v>#VALUE!</v>
      </c>
      <c r="O1807">
        <v>16.95</v>
      </c>
      <c r="P1807" s="154" t="e">
        <f t="shared" si="269"/>
        <v>#VALUE!</v>
      </c>
      <c r="Q1807">
        <v>16.95</v>
      </c>
      <c r="R1807" s="154" t="e">
        <f t="shared" si="270"/>
        <v>#VALUE!</v>
      </c>
      <c r="S1807">
        <v>16.95</v>
      </c>
      <c r="T1807" s="154" t="e">
        <f t="shared" si="271"/>
        <v>#VALUE!</v>
      </c>
      <c r="U1807">
        <v>16.95</v>
      </c>
      <c r="V1807" s="154" t="e">
        <f t="shared" si="272"/>
        <v>#VALUE!</v>
      </c>
      <c r="W1807">
        <v>16.95</v>
      </c>
      <c r="X1807" s="157" t="e">
        <f t="shared" si="273"/>
        <v>#VALUE!</v>
      </c>
      <c r="Y1807">
        <v>16.95</v>
      </c>
      <c r="Z1807" s="154" t="e">
        <f t="shared" si="274"/>
        <v>#VALUE!</v>
      </c>
      <c r="AA1807">
        <v>16.95</v>
      </c>
      <c r="AB1807" s="154" t="e">
        <f t="shared" si="275"/>
        <v>#VALUE!</v>
      </c>
      <c r="AC1807">
        <v>16.95</v>
      </c>
      <c r="AD1807" s="154" t="e">
        <f t="shared" si="276"/>
        <v>#VALUE!</v>
      </c>
      <c r="AE1807">
        <v>16.95</v>
      </c>
    </row>
    <row r="1808" spans="12:31" ht="15" x14ac:dyDescent="0.2">
      <c r="L1808" s="154" t="e">
        <f t="shared" si="267"/>
        <v>#VALUE!</v>
      </c>
      <c r="M1808">
        <v>16.96</v>
      </c>
      <c r="N1808" s="154" t="e">
        <f t="shared" si="268"/>
        <v>#VALUE!</v>
      </c>
      <c r="O1808">
        <v>16.96</v>
      </c>
      <c r="P1808" s="154" t="e">
        <f t="shared" si="269"/>
        <v>#VALUE!</v>
      </c>
      <c r="Q1808">
        <v>16.96</v>
      </c>
      <c r="R1808" s="154" t="e">
        <f t="shared" si="270"/>
        <v>#VALUE!</v>
      </c>
      <c r="S1808">
        <v>16.96</v>
      </c>
      <c r="T1808" s="154" t="e">
        <f t="shared" si="271"/>
        <v>#VALUE!</v>
      </c>
      <c r="U1808">
        <v>16.96</v>
      </c>
      <c r="V1808" s="154" t="e">
        <f t="shared" si="272"/>
        <v>#VALUE!</v>
      </c>
      <c r="W1808">
        <v>16.96</v>
      </c>
      <c r="X1808" s="157" t="e">
        <f t="shared" si="273"/>
        <v>#VALUE!</v>
      </c>
      <c r="Y1808">
        <v>16.96</v>
      </c>
      <c r="Z1808" s="154" t="e">
        <f t="shared" si="274"/>
        <v>#VALUE!</v>
      </c>
      <c r="AA1808">
        <v>16.96</v>
      </c>
      <c r="AB1808" s="154" t="e">
        <f t="shared" si="275"/>
        <v>#VALUE!</v>
      </c>
      <c r="AC1808">
        <v>16.96</v>
      </c>
      <c r="AD1808" s="154" t="e">
        <f t="shared" si="276"/>
        <v>#VALUE!</v>
      </c>
      <c r="AE1808">
        <v>16.96</v>
      </c>
    </row>
    <row r="1809" spans="12:31" ht="15" x14ac:dyDescent="0.2">
      <c r="L1809" s="154" t="e">
        <f t="shared" si="267"/>
        <v>#VALUE!</v>
      </c>
      <c r="M1809">
        <v>16.97</v>
      </c>
      <c r="N1809" s="154" t="e">
        <f t="shared" si="268"/>
        <v>#VALUE!</v>
      </c>
      <c r="O1809">
        <v>16.97</v>
      </c>
      <c r="P1809" s="154" t="e">
        <f t="shared" si="269"/>
        <v>#VALUE!</v>
      </c>
      <c r="Q1809">
        <v>16.97</v>
      </c>
      <c r="R1809" s="154" t="e">
        <f t="shared" si="270"/>
        <v>#VALUE!</v>
      </c>
      <c r="S1809">
        <v>16.97</v>
      </c>
      <c r="T1809" s="154" t="e">
        <f t="shared" si="271"/>
        <v>#VALUE!</v>
      </c>
      <c r="U1809">
        <v>16.97</v>
      </c>
      <c r="V1809" s="154" t="e">
        <f t="shared" si="272"/>
        <v>#VALUE!</v>
      </c>
      <c r="W1809">
        <v>16.97</v>
      </c>
      <c r="X1809" s="157" t="e">
        <f t="shared" si="273"/>
        <v>#VALUE!</v>
      </c>
      <c r="Y1809">
        <v>16.97</v>
      </c>
      <c r="Z1809" s="154" t="e">
        <f t="shared" si="274"/>
        <v>#VALUE!</v>
      </c>
      <c r="AA1809">
        <v>16.97</v>
      </c>
      <c r="AB1809" s="154" t="e">
        <f t="shared" si="275"/>
        <v>#VALUE!</v>
      </c>
      <c r="AC1809">
        <v>16.97</v>
      </c>
      <c r="AD1809" s="154" t="e">
        <f t="shared" si="276"/>
        <v>#VALUE!</v>
      </c>
      <c r="AE1809">
        <v>16.97</v>
      </c>
    </row>
    <row r="1810" spans="12:31" ht="15" x14ac:dyDescent="0.2">
      <c r="L1810" s="154" t="e">
        <f t="shared" si="267"/>
        <v>#VALUE!</v>
      </c>
      <c r="M1810">
        <v>16.98</v>
      </c>
      <c r="N1810" s="154" t="e">
        <f t="shared" si="268"/>
        <v>#VALUE!</v>
      </c>
      <c r="O1810">
        <v>16.98</v>
      </c>
      <c r="P1810" s="154" t="e">
        <f t="shared" si="269"/>
        <v>#VALUE!</v>
      </c>
      <c r="Q1810">
        <v>16.98</v>
      </c>
      <c r="R1810" s="154" t="e">
        <f t="shared" si="270"/>
        <v>#VALUE!</v>
      </c>
      <c r="S1810">
        <v>16.98</v>
      </c>
      <c r="T1810" s="154" t="e">
        <f t="shared" si="271"/>
        <v>#VALUE!</v>
      </c>
      <c r="U1810">
        <v>16.98</v>
      </c>
      <c r="V1810" s="154" t="e">
        <f t="shared" si="272"/>
        <v>#VALUE!</v>
      </c>
      <c r="W1810">
        <v>16.98</v>
      </c>
      <c r="X1810" s="157" t="e">
        <f t="shared" si="273"/>
        <v>#VALUE!</v>
      </c>
      <c r="Y1810">
        <v>16.98</v>
      </c>
      <c r="Z1810" s="154" t="e">
        <f t="shared" si="274"/>
        <v>#VALUE!</v>
      </c>
      <c r="AA1810">
        <v>16.98</v>
      </c>
      <c r="AB1810" s="154" t="e">
        <f t="shared" si="275"/>
        <v>#VALUE!</v>
      </c>
      <c r="AC1810">
        <v>16.98</v>
      </c>
      <c r="AD1810" s="154" t="e">
        <f t="shared" si="276"/>
        <v>#VALUE!</v>
      </c>
      <c r="AE1810">
        <v>16.98</v>
      </c>
    </row>
    <row r="1811" spans="12:31" ht="15" x14ac:dyDescent="0.2">
      <c r="L1811" s="154" t="e">
        <f t="shared" si="267"/>
        <v>#VALUE!</v>
      </c>
      <c r="M1811">
        <v>16.989999999999998</v>
      </c>
      <c r="N1811" s="154" t="e">
        <f t="shared" si="268"/>
        <v>#VALUE!</v>
      </c>
      <c r="O1811">
        <v>16.989999999999998</v>
      </c>
      <c r="P1811" s="154" t="e">
        <f t="shared" si="269"/>
        <v>#VALUE!</v>
      </c>
      <c r="Q1811">
        <v>16.989999999999998</v>
      </c>
      <c r="R1811" s="154" t="e">
        <f t="shared" si="270"/>
        <v>#VALUE!</v>
      </c>
      <c r="S1811">
        <v>16.989999999999998</v>
      </c>
      <c r="T1811" s="154" t="e">
        <f t="shared" si="271"/>
        <v>#VALUE!</v>
      </c>
      <c r="U1811">
        <v>16.989999999999998</v>
      </c>
      <c r="V1811" s="154" t="e">
        <f t="shared" si="272"/>
        <v>#VALUE!</v>
      </c>
      <c r="W1811">
        <v>16.989999999999998</v>
      </c>
      <c r="X1811" s="157" t="e">
        <f t="shared" si="273"/>
        <v>#VALUE!</v>
      </c>
      <c r="Y1811">
        <v>16.989999999999998</v>
      </c>
      <c r="Z1811" s="154" t="e">
        <f t="shared" si="274"/>
        <v>#VALUE!</v>
      </c>
      <c r="AA1811">
        <v>16.989999999999998</v>
      </c>
      <c r="AB1811" s="154" t="e">
        <f t="shared" si="275"/>
        <v>#VALUE!</v>
      </c>
      <c r="AC1811">
        <v>16.989999999999998</v>
      </c>
      <c r="AD1811" s="154" t="e">
        <f t="shared" si="276"/>
        <v>#VALUE!</v>
      </c>
      <c r="AE1811">
        <v>16.989999999999998</v>
      </c>
    </row>
    <row r="1812" spans="12:31" ht="15" x14ac:dyDescent="0.2">
      <c r="L1812" s="154" t="e">
        <f t="shared" si="267"/>
        <v>#VALUE!</v>
      </c>
      <c r="M1812">
        <v>17</v>
      </c>
      <c r="N1812" s="154" t="e">
        <f t="shared" si="268"/>
        <v>#VALUE!</v>
      </c>
      <c r="O1812">
        <v>17</v>
      </c>
      <c r="P1812" s="154" t="e">
        <f t="shared" si="269"/>
        <v>#VALUE!</v>
      </c>
      <c r="Q1812">
        <v>17</v>
      </c>
      <c r="R1812" s="154" t="e">
        <f t="shared" si="270"/>
        <v>#VALUE!</v>
      </c>
      <c r="S1812">
        <v>17</v>
      </c>
      <c r="T1812" s="154" t="e">
        <f t="shared" si="271"/>
        <v>#VALUE!</v>
      </c>
      <c r="U1812">
        <v>17</v>
      </c>
      <c r="V1812" s="154" t="e">
        <f t="shared" si="272"/>
        <v>#VALUE!</v>
      </c>
      <c r="W1812">
        <v>17</v>
      </c>
      <c r="X1812" s="157" t="e">
        <f t="shared" si="273"/>
        <v>#VALUE!</v>
      </c>
      <c r="Y1812">
        <v>17</v>
      </c>
      <c r="Z1812" s="154" t="e">
        <f t="shared" si="274"/>
        <v>#VALUE!</v>
      </c>
      <c r="AA1812">
        <v>17</v>
      </c>
      <c r="AB1812" s="154" t="e">
        <f t="shared" si="275"/>
        <v>#VALUE!</v>
      </c>
      <c r="AC1812">
        <v>17</v>
      </c>
      <c r="AD1812" s="154" t="e">
        <f t="shared" si="276"/>
        <v>#VALUE!</v>
      </c>
      <c r="AE1812">
        <v>17</v>
      </c>
    </row>
    <row r="1813" spans="12:31" ht="15" x14ac:dyDescent="0.2">
      <c r="L1813" s="154" t="e">
        <f t="shared" si="267"/>
        <v>#VALUE!</v>
      </c>
      <c r="M1813">
        <v>17.010000000000002</v>
      </c>
      <c r="N1813" s="154" t="e">
        <f t="shared" si="268"/>
        <v>#VALUE!</v>
      </c>
      <c r="O1813">
        <v>17.010000000000002</v>
      </c>
      <c r="P1813" s="154" t="e">
        <f t="shared" si="269"/>
        <v>#VALUE!</v>
      </c>
      <c r="Q1813">
        <v>17.010000000000002</v>
      </c>
      <c r="R1813" s="154" t="e">
        <f t="shared" si="270"/>
        <v>#VALUE!</v>
      </c>
      <c r="S1813">
        <v>17.010000000000002</v>
      </c>
      <c r="T1813" s="154" t="e">
        <f t="shared" si="271"/>
        <v>#VALUE!</v>
      </c>
      <c r="U1813">
        <v>17.010000000000002</v>
      </c>
      <c r="V1813" s="154" t="e">
        <f t="shared" si="272"/>
        <v>#VALUE!</v>
      </c>
      <c r="W1813">
        <v>17.010000000000002</v>
      </c>
      <c r="X1813" s="157" t="e">
        <f t="shared" si="273"/>
        <v>#VALUE!</v>
      </c>
      <c r="Y1813">
        <v>17.010000000000002</v>
      </c>
      <c r="Z1813" s="154" t="e">
        <f t="shared" si="274"/>
        <v>#VALUE!</v>
      </c>
      <c r="AA1813">
        <v>17.010000000000002</v>
      </c>
      <c r="AB1813" s="154" t="e">
        <f t="shared" si="275"/>
        <v>#VALUE!</v>
      </c>
      <c r="AC1813">
        <v>17.010000000000002</v>
      </c>
      <c r="AD1813" s="154" t="e">
        <f t="shared" si="276"/>
        <v>#VALUE!</v>
      </c>
      <c r="AE1813">
        <v>17.010000000000002</v>
      </c>
    </row>
    <row r="1814" spans="12:31" ht="15" x14ac:dyDescent="0.2">
      <c r="L1814" s="154" t="e">
        <f t="shared" si="267"/>
        <v>#VALUE!</v>
      </c>
      <c r="M1814">
        <v>17.02</v>
      </c>
      <c r="N1814" s="154" t="e">
        <f t="shared" si="268"/>
        <v>#VALUE!</v>
      </c>
      <c r="O1814">
        <v>17.02</v>
      </c>
      <c r="P1814" s="154" t="e">
        <f t="shared" si="269"/>
        <v>#VALUE!</v>
      </c>
      <c r="Q1814">
        <v>17.02</v>
      </c>
      <c r="R1814" s="154" t="e">
        <f t="shared" si="270"/>
        <v>#VALUE!</v>
      </c>
      <c r="S1814">
        <v>17.02</v>
      </c>
      <c r="T1814" s="154" t="e">
        <f t="shared" si="271"/>
        <v>#VALUE!</v>
      </c>
      <c r="U1814">
        <v>17.02</v>
      </c>
      <c r="V1814" s="154" t="e">
        <f t="shared" si="272"/>
        <v>#VALUE!</v>
      </c>
      <c r="W1814">
        <v>17.02</v>
      </c>
      <c r="X1814" s="157" t="e">
        <f t="shared" si="273"/>
        <v>#VALUE!</v>
      </c>
      <c r="Y1814">
        <v>17.02</v>
      </c>
      <c r="Z1814" s="154" t="e">
        <f t="shared" si="274"/>
        <v>#VALUE!</v>
      </c>
      <c r="AA1814">
        <v>17.02</v>
      </c>
      <c r="AB1814" s="154" t="e">
        <f t="shared" si="275"/>
        <v>#VALUE!</v>
      </c>
      <c r="AC1814">
        <v>17.02</v>
      </c>
      <c r="AD1814" s="154" t="e">
        <f t="shared" si="276"/>
        <v>#VALUE!</v>
      </c>
      <c r="AE1814">
        <v>17.02</v>
      </c>
    </row>
    <row r="1815" spans="12:31" ht="15" x14ac:dyDescent="0.2">
      <c r="L1815" s="154" t="e">
        <f t="shared" si="267"/>
        <v>#VALUE!</v>
      </c>
      <c r="M1815">
        <v>17.03</v>
      </c>
      <c r="N1815" s="154" t="e">
        <f t="shared" si="268"/>
        <v>#VALUE!</v>
      </c>
      <c r="O1815">
        <v>17.03</v>
      </c>
      <c r="P1815" s="154" t="e">
        <f t="shared" si="269"/>
        <v>#VALUE!</v>
      </c>
      <c r="Q1815">
        <v>17.03</v>
      </c>
      <c r="R1815" s="154" t="e">
        <f t="shared" si="270"/>
        <v>#VALUE!</v>
      </c>
      <c r="S1815">
        <v>17.03</v>
      </c>
      <c r="T1815" s="154" t="e">
        <f t="shared" si="271"/>
        <v>#VALUE!</v>
      </c>
      <c r="U1815">
        <v>17.03</v>
      </c>
      <c r="V1815" s="154" t="e">
        <f t="shared" si="272"/>
        <v>#VALUE!</v>
      </c>
      <c r="W1815">
        <v>17.03</v>
      </c>
      <c r="X1815" s="157" t="e">
        <f t="shared" si="273"/>
        <v>#VALUE!</v>
      </c>
      <c r="Y1815">
        <v>17.03</v>
      </c>
      <c r="Z1815" s="154" t="e">
        <f t="shared" si="274"/>
        <v>#VALUE!</v>
      </c>
      <c r="AA1815">
        <v>17.03</v>
      </c>
      <c r="AB1815" s="154" t="e">
        <f t="shared" si="275"/>
        <v>#VALUE!</v>
      </c>
      <c r="AC1815">
        <v>17.03</v>
      </c>
      <c r="AD1815" s="154" t="e">
        <f t="shared" si="276"/>
        <v>#VALUE!</v>
      </c>
      <c r="AE1815">
        <v>17.03</v>
      </c>
    </row>
    <row r="1816" spans="12:31" ht="15" x14ac:dyDescent="0.2">
      <c r="L1816" s="154" t="e">
        <f t="shared" si="267"/>
        <v>#VALUE!</v>
      </c>
      <c r="M1816">
        <v>17.04</v>
      </c>
      <c r="N1816" s="154" t="e">
        <f t="shared" si="268"/>
        <v>#VALUE!</v>
      </c>
      <c r="O1816">
        <v>17.04</v>
      </c>
      <c r="P1816" s="154" t="e">
        <f t="shared" si="269"/>
        <v>#VALUE!</v>
      </c>
      <c r="Q1816">
        <v>17.04</v>
      </c>
      <c r="R1816" s="154" t="e">
        <f t="shared" si="270"/>
        <v>#VALUE!</v>
      </c>
      <c r="S1816">
        <v>17.04</v>
      </c>
      <c r="T1816" s="154" t="e">
        <f t="shared" si="271"/>
        <v>#VALUE!</v>
      </c>
      <c r="U1816">
        <v>17.04</v>
      </c>
      <c r="V1816" s="154" t="e">
        <f t="shared" si="272"/>
        <v>#VALUE!</v>
      </c>
      <c r="W1816">
        <v>17.04</v>
      </c>
      <c r="X1816" s="157" t="e">
        <f t="shared" si="273"/>
        <v>#VALUE!</v>
      </c>
      <c r="Y1816">
        <v>17.04</v>
      </c>
      <c r="Z1816" s="154" t="e">
        <f t="shared" si="274"/>
        <v>#VALUE!</v>
      </c>
      <c r="AA1816">
        <v>17.04</v>
      </c>
      <c r="AB1816" s="154" t="e">
        <f t="shared" si="275"/>
        <v>#VALUE!</v>
      </c>
      <c r="AC1816">
        <v>17.04</v>
      </c>
      <c r="AD1816" s="154" t="e">
        <f t="shared" si="276"/>
        <v>#VALUE!</v>
      </c>
      <c r="AE1816">
        <v>17.04</v>
      </c>
    </row>
    <row r="1817" spans="12:31" ht="15" x14ac:dyDescent="0.2">
      <c r="L1817" s="154" t="e">
        <f t="shared" si="267"/>
        <v>#VALUE!</v>
      </c>
      <c r="M1817">
        <v>17.05</v>
      </c>
      <c r="N1817" s="154" t="e">
        <f t="shared" si="268"/>
        <v>#VALUE!</v>
      </c>
      <c r="O1817">
        <v>17.05</v>
      </c>
      <c r="P1817" s="154" t="e">
        <f t="shared" si="269"/>
        <v>#VALUE!</v>
      </c>
      <c r="Q1817">
        <v>17.05</v>
      </c>
      <c r="R1817" s="154" t="e">
        <f t="shared" si="270"/>
        <v>#VALUE!</v>
      </c>
      <c r="S1817">
        <v>17.05</v>
      </c>
      <c r="T1817" s="154" t="e">
        <f t="shared" si="271"/>
        <v>#VALUE!</v>
      </c>
      <c r="U1817">
        <v>17.05</v>
      </c>
      <c r="V1817" s="154" t="e">
        <f t="shared" si="272"/>
        <v>#VALUE!</v>
      </c>
      <c r="W1817">
        <v>17.05</v>
      </c>
      <c r="X1817" s="157" t="e">
        <f t="shared" si="273"/>
        <v>#VALUE!</v>
      </c>
      <c r="Y1817">
        <v>17.05</v>
      </c>
      <c r="Z1817" s="154" t="e">
        <f t="shared" si="274"/>
        <v>#VALUE!</v>
      </c>
      <c r="AA1817">
        <v>17.05</v>
      </c>
      <c r="AB1817" s="154" t="e">
        <f t="shared" si="275"/>
        <v>#VALUE!</v>
      </c>
      <c r="AC1817">
        <v>17.05</v>
      </c>
      <c r="AD1817" s="154" t="e">
        <f t="shared" si="276"/>
        <v>#VALUE!</v>
      </c>
      <c r="AE1817">
        <v>17.05</v>
      </c>
    </row>
    <row r="1818" spans="12:31" ht="15" x14ac:dyDescent="0.2">
      <c r="L1818" s="154" t="e">
        <f t="shared" si="267"/>
        <v>#VALUE!</v>
      </c>
      <c r="M1818">
        <v>17.059999999999999</v>
      </c>
      <c r="N1818" s="154" t="e">
        <f t="shared" si="268"/>
        <v>#VALUE!</v>
      </c>
      <c r="O1818">
        <v>17.059999999999999</v>
      </c>
      <c r="P1818" s="154" t="e">
        <f t="shared" si="269"/>
        <v>#VALUE!</v>
      </c>
      <c r="Q1818">
        <v>17.059999999999999</v>
      </c>
      <c r="R1818" s="154" t="e">
        <f t="shared" si="270"/>
        <v>#VALUE!</v>
      </c>
      <c r="S1818">
        <v>17.059999999999999</v>
      </c>
      <c r="T1818" s="154" t="e">
        <f t="shared" si="271"/>
        <v>#VALUE!</v>
      </c>
      <c r="U1818">
        <v>17.059999999999999</v>
      </c>
      <c r="V1818" s="154" t="e">
        <f t="shared" si="272"/>
        <v>#VALUE!</v>
      </c>
      <c r="W1818">
        <v>17.059999999999999</v>
      </c>
      <c r="X1818" s="157" t="e">
        <f t="shared" si="273"/>
        <v>#VALUE!</v>
      </c>
      <c r="Y1818">
        <v>17.059999999999999</v>
      </c>
      <c r="Z1818" s="154" t="e">
        <f t="shared" si="274"/>
        <v>#VALUE!</v>
      </c>
      <c r="AA1818">
        <v>17.059999999999999</v>
      </c>
      <c r="AB1818" s="154" t="e">
        <f t="shared" si="275"/>
        <v>#VALUE!</v>
      </c>
      <c r="AC1818">
        <v>17.059999999999999</v>
      </c>
      <c r="AD1818" s="154" t="e">
        <f t="shared" si="276"/>
        <v>#VALUE!</v>
      </c>
      <c r="AE1818">
        <v>17.059999999999999</v>
      </c>
    </row>
    <row r="1819" spans="12:31" ht="15" x14ac:dyDescent="0.2">
      <c r="L1819" s="154" t="e">
        <f t="shared" si="267"/>
        <v>#VALUE!</v>
      </c>
      <c r="M1819">
        <v>17.07</v>
      </c>
      <c r="N1819" s="154" t="e">
        <f t="shared" si="268"/>
        <v>#VALUE!</v>
      </c>
      <c r="O1819">
        <v>17.07</v>
      </c>
      <c r="P1819" s="154" t="e">
        <f t="shared" si="269"/>
        <v>#VALUE!</v>
      </c>
      <c r="Q1819">
        <v>17.07</v>
      </c>
      <c r="R1819" s="154" t="e">
        <f t="shared" si="270"/>
        <v>#VALUE!</v>
      </c>
      <c r="S1819">
        <v>17.07</v>
      </c>
      <c r="T1819" s="154" t="e">
        <f t="shared" si="271"/>
        <v>#VALUE!</v>
      </c>
      <c r="U1819">
        <v>17.07</v>
      </c>
      <c r="V1819" s="154" t="e">
        <f t="shared" si="272"/>
        <v>#VALUE!</v>
      </c>
      <c r="W1819">
        <v>17.07</v>
      </c>
      <c r="X1819" s="157" t="e">
        <f t="shared" si="273"/>
        <v>#VALUE!</v>
      </c>
      <c r="Y1819">
        <v>17.07</v>
      </c>
      <c r="Z1819" s="154" t="e">
        <f t="shared" si="274"/>
        <v>#VALUE!</v>
      </c>
      <c r="AA1819">
        <v>17.07</v>
      </c>
      <c r="AB1819" s="154" t="e">
        <f t="shared" si="275"/>
        <v>#VALUE!</v>
      </c>
      <c r="AC1819">
        <v>17.07</v>
      </c>
      <c r="AD1819" s="154" t="e">
        <f t="shared" si="276"/>
        <v>#VALUE!</v>
      </c>
      <c r="AE1819">
        <v>17.07</v>
      </c>
    </row>
    <row r="1820" spans="12:31" ht="15" x14ac:dyDescent="0.2">
      <c r="L1820" s="154" t="e">
        <f t="shared" si="267"/>
        <v>#VALUE!</v>
      </c>
      <c r="M1820">
        <v>17.079999999999998</v>
      </c>
      <c r="N1820" s="154" t="e">
        <f t="shared" si="268"/>
        <v>#VALUE!</v>
      </c>
      <c r="O1820">
        <v>17.079999999999998</v>
      </c>
      <c r="P1820" s="154" t="e">
        <f t="shared" si="269"/>
        <v>#VALUE!</v>
      </c>
      <c r="Q1820">
        <v>17.079999999999998</v>
      </c>
      <c r="R1820" s="154" t="e">
        <f t="shared" si="270"/>
        <v>#VALUE!</v>
      </c>
      <c r="S1820">
        <v>17.079999999999998</v>
      </c>
      <c r="T1820" s="154" t="e">
        <f t="shared" si="271"/>
        <v>#VALUE!</v>
      </c>
      <c r="U1820">
        <v>17.079999999999998</v>
      </c>
      <c r="V1820" s="154" t="e">
        <f t="shared" si="272"/>
        <v>#VALUE!</v>
      </c>
      <c r="W1820">
        <v>17.079999999999998</v>
      </c>
      <c r="X1820" s="157" t="e">
        <f t="shared" si="273"/>
        <v>#VALUE!</v>
      </c>
      <c r="Y1820">
        <v>17.079999999999998</v>
      </c>
      <c r="Z1820" s="154" t="e">
        <f t="shared" si="274"/>
        <v>#VALUE!</v>
      </c>
      <c r="AA1820">
        <v>17.079999999999998</v>
      </c>
      <c r="AB1820" s="154" t="e">
        <f t="shared" si="275"/>
        <v>#VALUE!</v>
      </c>
      <c r="AC1820">
        <v>17.079999999999998</v>
      </c>
      <c r="AD1820" s="154" t="e">
        <f t="shared" si="276"/>
        <v>#VALUE!</v>
      </c>
      <c r="AE1820">
        <v>17.079999999999998</v>
      </c>
    </row>
    <row r="1821" spans="12:31" ht="15" x14ac:dyDescent="0.2">
      <c r="L1821" s="154" t="e">
        <f t="shared" si="267"/>
        <v>#VALUE!</v>
      </c>
      <c r="M1821">
        <v>17.09</v>
      </c>
      <c r="N1821" s="154" t="e">
        <f t="shared" si="268"/>
        <v>#VALUE!</v>
      </c>
      <c r="O1821">
        <v>17.09</v>
      </c>
      <c r="P1821" s="154" t="e">
        <f t="shared" si="269"/>
        <v>#VALUE!</v>
      </c>
      <c r="Q1821">
        <v>17.09</v>
      </c>
      <c r="R1821" s="154" t="e">
        <f t="shared" si="270"/>
        <v>#VALUE!</v>
      </c>
      <c r="S1821">
        <v>17.09</v>
      </c>
      <c r="T1821" s="154" t="e">
        <f t="shared" si="271"/>
        <v>#VALUE!</v>
      </c>
      <c r="U1821">
        <v>17.09</v>
      </c>
      <c r="V1821" s="154" t="e">
        <f t="shared" si="272"/>
        <v>#VALUE!</v>
      </c>
      <c r="W1821">
        <v>17.09</v>
      </c>
      <c r="X1821" s="157" t="e">
        <f t="shared" si="273"/>
        <v>#VALUE!</v>
      </c>
      <c r="Y1821">
        <v>17.09</v>
      </c>
      <c r="Z1821" s="154" t="e">
        <f t="shared" si="274"/>
        <v>#VALUE!</v>
      </c>
      <c r="AA1821">
        <v>17.09</v>
      </c>
      <c r="AB1821" s="154" t="e">
        <f t="shared" si="275"/>
        <v>#VALUE!</v>
      </c>
      <c r="AC1821">
        <v>17.09</v>
      </c>
      <c r="AD1821" s="154" t="e">
        <f t="shared" si="276"/>
        <v>#VALUE!</v>
      </c>
      <c r="AE1821">
        <v>17.09</v>
      </c>
    </row>
    <row r="1822" spans="12:31" ht="15" x14ac:dyDescent="0.2">
      <c r="L1822" s="154" t="e">
        <f t="shared" si="267"/>
        <v>#VALUE!</v>
      </c>
      <c r="M1822">
        <v>17.100000000000001</v>
      </c>
      <c r="N1822" s="154" t="e">
        <f t="shared" si="268"/>
        <v>#VALUE!</v>
      </c>
      <c r="O1822">
        <v>17.100000000000001</v>
      </c>
      <c r="P1822" s="154" t="e">
        <f t="shared" si="269"/>
        <v>#VALUE!</v>
      </c>
      <c r="Q1822">
        <v>17.100000000000001</v>
      </c>
      <c r="R1822" s="154" t="e">
        <f t="shared" si="270"/>
        <v>#VALUE!</v>
      </c>
      <c r="S1822">
        <v>17.100000000000001</v>
      </c>
      <c r="T1822" s="154" t="e">
        <f t="shared" si="271"/>
        <v>#VALUE!</v>
      </c>
      <c r="U1822">
        <v>17.100000000000001</v>
      </c>
      <c r="V1822" s="154" t="e">
        <f t="shared" si="272"/>
        <v>#VALUE!</v>
      </c>
      <c r="W1822">
        <v>17.100000000000001</v>
      </c>
      <c r="X1822" s="157" t="e">
        <f t="shared" si="273"/>
        <v>#VALUE!</v>
      </c>
      <c r="Y1822">
        <v>17.100000000000001</v>
      </c>
      <c r="Z1822" s="154" t="e">
        <f t="shared" si="274"/>
        <v>#VALUE!</v>
      </c>
      <c r="AA1822">
        <v>17.100000000000001</v>
      </c>
      <c r="AB1822" s="154" t="e">
        <f t="shared" si="275"/>
        <v>#VALUE!</v>
      </c>
      <c r="AC1822">
        <v>17.100000000000001</v>
      </c>
      <c r="AD1822" s="154" t="e">
        <f t="shared" si="276"/>
        <v>#VALUE!</v>
      </c>
      <c r="AE1822">
        <v>17.100000000000001</v>
      </c>
    </row>
    <row r="1823" spans="12:31" ht="15" x14ac:dyDescent="0.2">
      <c r="L1823" s="154" t="e">
        <f t="shared" si="267"/>
        <v>#VALUE!</v>
      </c>
      <c r="M1823">
        <v>17.11</v>
      </c>
      <c r="N1823" s="154" t="e">
        <f t="shared" si="268"/>
        <v>#VALUE!</v>
      </c>
      <c r="O1823">
        <v>17.11</v>
      </c>
      <c r="P1823" s="154" t="e">
        <f t="shared" si="269"/>
        <v>#VALUE!</v>
      </c>
      <c r="Q1823">
        <v>17.11</v>
      </c>
      <c r="R1823" s="154" t="e">
        <f t="shared" si="270"/>
        <v>#VALUE!</v>
      </c>
      <c r="S1823">
        <v>17.11</v>
      </c>
      <c r="T1823" s="154" t="e">
        <f t="shared" si="271"/>
        <v>#VALUE!</v>
      </c>
      <c r="U1823">
        <v>17.11</v>
      </c>
      <c r="V1823" s="154" t="e">
        <f t="shared" si="272"/>
        <v>#VALUE!</v>
      </c>
      <c r="W1823">
        <v>17.11</v>
      </c>
      <c r="X1823" s="157" t="e">
        <f t="shared" si="273"/>
        <v>#VALUE!</v>
      </c>
      <c r="Y1823">
        <v>17.11</v>
      </c>
      <c r="Z1823" s="154" t="e">
        <f t="shared" si="274"/>
        <v>#VALUE!</v>
      </c>
      <c r="AA1823">
        <v>17.11</v>
      </c>
      <c r="AB1823" s="154" t="e">
        <f t="shared" si="275"/>
        <v>#VALUE!</v>
      </c>
      <c r="AC1823">
        <v>17.11</v>
      </c>
      <c r="AD1823" s="154" t="e">
        <f t="shared" si="276"/>
        <v>#VALUE!</v>
      </c>
      <c r="AE1823">
        <v>17.11</v>
      </c>
    </row>
    <row r="1824" spans="12:31" ht="15" x14ac:dyDescent="0.2">
      <c r="L1824" s="154" t="e">
        <f t="shared" si="267"/>
        <v>#VALUE!</v>
      </c>
      <c r="M1824">
        <v>17.12</v>
      </c>
      <c r="N1824" s="154" t="e">
        <f t="shared" si="268"/>
        <v>#VALUE!</v>
      </c>
      <c r="O1824">
        <v>17.12</v>
      </c>
      <c r="P1824" s="154" t="e">
        <f t="shared" si="269"/>
        <v>#VALUE!</v>
      </c>
      <c r="Q1824">
        <v>17.12</v>
      </c>
      <c r="R1824" s="154" t="e">
        <f t="shared" si="270"/>
        <v>#VALUE!</v>
      </c>
      <c r="S1824">
        <v>17.12</v>
      </c>
      <c r="T1824" s="154" t="e">
        <f t="shared" si="271"/>
        <v>#VALUE!</v>
      </c>
      <c r="U1824">
        <v>17.12</v>
      </c>
      <c r="V1824" s="154" t="e">
        <f t="shared" si="272"/>
        <v>#VALUE!</v>
      </c>
      <c r="W1824">
        <v>17.12</v>
      </c>
      <c r="X1824" s="157" t="e">
        <f t="shared" si="273"/>
        <v>#VALUE!</v>
      </c>
      <c r="Y1824">
        <v>17.12</v>
      </c>
      <c r="Z1824" s="154" t="e">
        <f t="shared" si="274"/>
        <v>#VALUE!</v>
      </c>
      <c r="AA1824">
        <v>17.12</v>
      </c>
      <c r="AB1824" s="154" t="e">
        <f t="shared" si="275"/>
        <v>#VALUE!</v>
      </c>
      <c r="AC1824">
        <v>17.12</v>
      </c>
      <c r="AD1824" s="154" t="e">
        <f t="shared" si="276"/>
        <v>#VALUE!</v>
      </c>
      <c r="AE1824">
        <v>17.12</v>
      </c>
    </row>
    <row r="1825" spans="12:31" ht="15" x14ac:dyDescent="0.2">
      <c r="L1825" s="154" t="e">
        <f t="shared" si="267"/>
        <v>#VALUE!</v>
      </c>
      <c r="M1825">
        <v>17.13</v>
      </c>
      <c r="N1825" s="154" t="e">
        <f t="shared" si="268"/>
        <v>#VALUE!</v>
      </c>
      <c r="O1825">
        <v>17.13</v>
      </c>
      <c r="P1825" s="154" t="e">
        <f t="shared" si="269"/>
        <v>#VALUE!</v>
      </c>
      <c r="Q1825">
        <v>17.13</v>
      </c>
      <c r="R1825" s="154" t="e">
        <f t="shared" si="270"/>
        <v>#VALUE!</v>
      </c>
      <c r="S1825">
        <v>17.13</v>
      </c>
      <c r="T1825" s="154" t="e">
        <f t="shared" si="271"/>
        <v>#VALUE!</v>
      </c>
      <c r="U1825">
        <v>17.13</v>
      </c>
      <c r="V1825" s="154" t="e">
        <f t="shared" si="272"/>
        <v>#VALUE!</v>
      </c>
      <c r="W1825">
        <v>17.13</v>
      </c>
      <c r="X1825" s="157" t="e">
        <f t="shared" si="273"/>
        <v>#VALUE!</v>
      </c>
      <c r="Y1825">
        <v>17.13</v>
      </c>
      <c r="Z1825" s="154" t="e">
        <f t="shared" si="274"/>
        <v>#VALUE!</v>
      </c>
      <c r="AA1825">
        <v>17.13</v>
      </c>
      <c r="AB1825" s="154" t="e">
        <f t="shared" si="275"/>
        <v>#VALUE!</v>
      </c>
      <c r="AC1825">
        <v>17.13</v>
      </c>
      <c r="AD1825" s="154" t="e">
        <f t="shared" si="276"/>
        <v>#VALUE!</v>
      </c>
      <c r="AE1825">
        <v>17.13</v>
      </c>
    </row>
    <row r="1826" spans="12:31" ht="15" x14ac:dyDescent="0.2">
      <c r="L1826" s="154" t="e">
        <f t="shared" si="267"/>
        <v>#VALUE!</v>
      </c>
      <c r="M1826">
        <v>17.14</v>
      </c>
      <c r="N1826" s="154" t="e">
        <f t="shared" si="268"/>
        <v>#VALUE!</v>
      </c>
      <c r="O1826">
        <v>17.14</v>
      </c>
      <c r="P1826" s="154" t="e">
        <f t="shared" si="269"/>
        <v>#VALUE!</v>
      </c>
      <c r="Q1826">
        <v>17.14</v>
      </c>
      <c r="R1826" s="154" t="e">
        <f t="shared" si="270"/>
        <v>#VALUE!</v>
      </c>
      <c r="S1826">
        <v>17.14</v>
      </c>
      <c r="T1826" s="154" t="e">
        <f t="shared" si="271"/>
        <v>#VALUE!</v>
      </c>
      <c r="U1826">
        <v>17.14</v>
      </c>
      <c r="V1826" s="154" t="e">
        <f t="shared" si="272"/>
        <v>#VALUE!</v>
      </c>
      <c r="W1826">
        <v>17.14</v>
      </c>
      <c r="X1826" s="157" t="e">
        <f t="shared" si="273"/>
        <v>#VALUE!</v>
      </c>
      <c r="Y1826">
        <v>17.14</v>
      </c>
      <c r="Z1826" s="154" t="e">
        <f t="shared" si="274"/>
        <v>#VALUE!</v>
      </c>
      <c r="AA1826">
        <v>17.14</v>
      </c>
      <c r="AB1826" s="154" t="e">
        <f t="shared" si="275"/>
        <v>#VALUE!</v>
      </c>
      <c r="AC1826">
        <v>17.14</v>
      </c>
      <c r="AD1826" s="154" t="e">
        <f t="shared" si="276"/>
        <v>#VALUE!</v>
      </c>
      <c r="AE1826">
        <v>17.14</v>
      </c>
    </row>
    <row r="1827" spans="12:31" ht="15" x14ac:dyDescent="0.2">
      <c r="L1827" s="154" t="e">
        <f t="shared" si="267"/>
        <v>#VALUE!</v>
      </c>
      <c r="M1827">
        <v>17.149999999999999</v>
      </c>
      <c r="N1827" s="154" t="e">
        <f t="shared" si="268"/>
        <v>#VALUE!</v>
      </c>
      <c r="O1827">
        <v>17.149999999999999</v>
      </c>
      <c r="P1827" s="154" t="e">
        <f t="shared" si="269"/>
        <v>#VALUE!</v>
      </c>
      <c r="Q1827">
        <v>17.149999999999999</v>
      </c>
      <c r="R1827" s="154" t="e">
        <f t="shared" si="270"/>
        <v>#VALUE!</v>
      </c>
      <c r="S1827">
        <v>17.149999999999999</v>
      </c>
      <c r="T1827" s="154" t="e">
        <f t="shared" si="271"/>
        <v>#VALUE!</v>
      </c>
      <c r="U1827">
        <v>17.149999999999999</v>
      </c>
      <c r="V1827" s="154" t="e">
        <f t="shared" si="272"/>
        <v>#VALUE!</v>
      </c>
      <c r="W1827">
        <v>17.149999999999999</v>
      </c>
      <c r="X1827" s="157" t="e">
        <f t="shared" si="273"/>
        <v>#VALUE!</v>
      </c>
      <c r="Y1827">
        <v>17.149999999999999</v>
      </c>
      <c r="Z1827" s="154" t="e">
        <f t="shared" si="274"/>
        <v>#VALUE!</v>
      </c>
      <c r="AA1827">
        <v>17.149999999999999</v>
      </c>
      <c r="AB1827" s="154" t="e">
        <f t="shared" si="275"/>
        <v>#VALUE!</v>
      </c>
      <c r="AC1827">
        <v>17.149999999999999</v>
      </c>
      <c r="AD1827" s="154" t="e">
        <f t="shared" si="276"/>
        <v>#VALUE!</v>
      </c>
      <c r="AE1827">
        <v>17.149999999999999</v>
      </c>
    </row>
    <row r="1828" spans="12:31" ht="15" x14ac:dyDescent="0.2">
      <c r="L1828" s="154" t="e">
        <f t="shared" si="267"/>
        <v>#VALUE!</v>
      </c>
      <c r="M1828">
        <v>17.16</v>
      </c>
      <c r="N1828" s="154" t="e">
        <f t="shared" si="268"/>
        <v>#VALUE!</v>
      </c>
      <c r="O1828">
        <v>17.16</v>
      </c>
      <c r="P1828" s="154" t="e">
        <f t="shared" si="269"/>
        <v>#VALUE!</v>
      </c>
      <c r="Q1828">
        <v>17.16</v>
      </c>
      <c r="R1828" s="154" t="e">
        <f t="shared" si="270"/>
        <v>#VALUE!</v>
      </c>
      <c r="S1828">
        <v>17.16</v>
      </c>
      <c r="T1828" s="154" t="e">
        <f t="shared" si="271"/>
        <v>#VALUE!</v>
      </c>
      <c r="U1828">
        <v>17.16</v>
      </c>
      <c r="V1828" s="154" t="e">
        <f t="shared" si="272"/>
        <v>#VALUE!</v>
      </c>
      <c r="W1828">
        <v>17.16</v>
      </c>
      <c r="X1828" s="157" t="e">
        <f t="shared" si="273"/>
        <v>#VALUE!</v>
      </c>
      <c r="Y1828">
        <v>17.16</v>
      </c>
      <c r="Z1828" s="154" t="e">
        <f t="shared" si="274"/>
        <v>#VALUE!</v>
      </c>
      <c r="AA1828">
        <v>17.16</v>
      </c>
      <c r="AB1828" s="154" t="e">
        <f t="shared" si="275"/>
        <v>#VALUE!</v>
      </c>
      <c r="AC1828">
        <v>17.16</v>
      </c>
      <c r="AD1828" s="154" t="e">
        <f t="shared" si="276"/>
        <v>#VALUE!</v>
      </c>
      <c r="AE1828">
        <v>17.16</v>
      </c>
    </row>
    <row r="1829" spans="12:31" ht="15" x14ac:dyDescent="0.2">
      <c r="L1829" s="154" t="e">
        <f t="shared" si="267"/>
        <v>#VALUE!</v>
      </c>
      <c r="M1829">
        <v>17.170000000000002</v>
      </c>
      <c r="N1829" s="154" t="e">
        <f t="shared" si="268"/>
        <v>#VALUE!</v>
      </c>
      <c r="O1829">
        <v>17.170000000000002</v>
      </c>
      <c r="P1829" s="154" t="e">
        <f t="shared" si="269"/>
        <v>#VALUE!</v>
      </c>
      <c r="Q1829">
        <v>17.170000000000002</v>
      </c>
      <c r="R1829" s="154" t="e">
        <f t="shared" si="270"/>
        <v>#VALUE!</v>
      </c>
      <c r="S1829">
        <v>17.170000000000002</v>
      </c>
      <c r="T1829" s="154" t="e">
        <f t="shared" si="271"/>
        <v>#VALUE!</v>
      </c>
      <c r="U1829">
        <v>17.170000000000002</v>
      </c>
      <c r="V1829" s="154" t="e">
        <f t="shared" si="272"/>
        <v>#VALUE!</v>
      </c>
      <c r="W1829">
        <v>17.170000000000002</v>
      </c>
      <c r="X1829" s="157" t="e">
        <f t="shared" si="273"/>
        <v>#VALUE!</v>
      </c>
      <c r="Y1829">
        <v>17.170000000000002</v>
      </c>
      <c r="Z1829" s="154" t="e">
        <f t="shared" si="274"/>
        <v>#VALUE!</v>
      </c>
      <c r="AA1829">
        <v>17.170000000000002</v>
      </c>
      <c r="AB1829" s="154" t="e">
        <f t="shared" si="275"/>
        <v>#VALUE!</v>
      </c>
      <c r="AC1829">
        <v>17.170000000000002</v>
      </c>
      <c r="AD1829" s="154" t="e">
        <f t="shared" si="276"/>
        <v>#VALUE!</v>
      </c>
      <c r="AE1829">
        <v>17.170000000000002</v>
      </c>
    </row>
    <row r="1830" spans="12:31" ht="15" x14ac:dyDescent="0.2">
      <c r="L1830" s="154" t="e">
        <f t="shared" si="267"/>
        <v>#VALUE!</v>
      </c>
      <c r="M1830">
        <v>17.18</v>
      </c>
      <c r="N1830" s="154" t="e">
        <f t="shared" si="268"/>
        <v>#VALUE!</v>
      </c>
      <c r="O1830">
        <v>17.18</v>
      </c>
      <c r="P1830" s="154" t="e">
        <f t="shared" si="269"/>
        <v>#VALUE!</v>
      </c>
      <c r="Q1830">
        <v>17.18</v>
      </c>
      <c r="R1830" s="154" t="e">
        <f t="shared" si="270"/>
        <v>#VALUE!</v>
      </c>
      <c r="S1830">
        <v>17.18</v>
      </c>
      <c r="T1830" s="154" t="e">
        <f t="shared" si="271"/>
        <v>#VALUE!</v>
      </c>
      <c r="U1830">
        <v>17.18</v>
      </c>
      <c r="V1830" s="154" t="e">
        <f t="shared" si="272"/>
        <v>#VALUE!</v>
      </c>
      <c r="W1830">
        <v>17.18</v>
      </c>
      <c r="X1830" s="157" t="e">
        <f t="shared" si="273"/>
        <v>#VALUE!</v>
      </c>
      <c r="Y1830">
        <v>17.18</v>
      </c>
      <c r="Z1830" s="154" t="e">
        <f t="shared" si="274"/>
        <v>#VALUE!</v>
      </c>
      <c r="AA1830">
        <v>17.18</v>
      </c>
      <c r="AB1830" s="154" t="e">
        <f t="shared" si="275"/>
        <v>#VALUE!</v>
      </c>
      <c r="AC1830">
        <v>17.18</v>
      </c>
      <c r="AD1830" s="154" t="e">
        <f t="shared" si="276"/>
        <v>#VALUE!</v>
      </c>
      <c r="AE1830">
        <v>17.18</v>
      </c>
    </row>
    <row r="1831" spans="12:31" ht="15" x14ac:dyDescent="0.2">
      <c r="L1831" s="154" t="e">
        <f t="shared" si="267"/>
        <v>#VALUE!</v>
      </c>
      <c r="M1831">
        <v>17.190000000000001</v>
      </c>
      <c r="N1831" s="154" t="e">
        <f t="shared" si="268"/>
        <v>#VALUE!</v>
      </c>
      <c r="O1831">
        <v>17.190000000000001</v>
      </c>
      <c r="P1831" s="154" t="e">
        <f t="shared" si="269"/>
        <v>#VALUE!</v>
      </c>
      <c r="Q1831">
        <v>17.190000000000001</v>
      </c>
      <c r="R1831" s="154" t="e">
        <f t="shared" si="270"/>
        <v>#VALUE!</v>
      </c>
      <c r="S1831">
        <v>17.190000000000001</v>
      </c>
      <c r="T1831" s="154" t="e">
        <f t="shared" si="271"/>
        <v>#VALUE!</v>
      </c>
      <c r="U1831">
        <v>17.190000000000001</v>
      </c>
      <c r="V1831" s="154" t="e">
        <f t="shared" si="272"/>
        <v>#VALUE!</v>
      </c>
      <c r="W1831">
        <v>17.190000000000001</v>
      </c>
      <c r="X1831" s="157" t="e">
        <f t="shared" si="273"/>
        <v>#VALUE!</v>
      </c>
      <c r="Y1831">
        <v>17.190000000000001</v>
      </c>
      <c r="Z1831" s="154" t="e">
        <f t="shared" si="274"/>
        <v>#VALUE!</v>
      </c>
      <c r="AA1831">
        <v>17.190000000000001</v>
      </c>
      <c r="AB1831" s="154" t="e">
        <f t="shared" si="275"/>
        <v>#VALUE!</v>
      </c>
      <c r="AC1831">
        <v>17.190000000000001</v>
      </c>
      <c r="AD1831" s="154" t="e">
        <f t="shared" si="276"/>
        <v>#VALUE!</v>
      </c>
      <c r="AE1831">
        <v>17.190000000000001</v>
      </c>
    </row>
    <row r="1832" spans="12:31" ht="15" x14ac:dyDescent="0.2">
      <c r="L1832" s="154" t="e">
        <f t="shared" si="267"/>
        <v>#VALUE!</v>
      </c>
      <c r="M1832">
        <v>17.2</v>
      </c>
      <c r="N1832" s="154" t="e">
        <f t="shared" si="268"/>
        <v>#VALUE!</v>
      </c>
      <c r="O1832">
        <v>17.2</v>
      </c>
      <c r="P1832" s="154" t="e">
        <f t="shared" si="269"/>
        <v>#VALUE!</v>
      </c>
      <c r="Q1832">
        <v>17.2</v>
      </c>
      <c r="R1832" s="154" t="e">
        <f t="shared" si="270"/>
        <v>#VALUE!</v>
      </c>
      <c r="S1832">
        <v>17.2</v>
      </c>
      <c r="T1832" s="154" t="e">
        <f t="shared" si="271"/>
        <v>#VALUE!</v>
      </c>
      <c r="U1832">
        <v>17.2</v>
      </c>
      <c r="V1832" s="154" t="e">
        <f t="shared" si="272"/>
        <v>#VALUE!</v>
      </c>
      <c r="W1832">
        <v>17.2</v>
      </c>
      <c r="X1832" s="157" t="e">
        <f t="shared" si="273"/>
        <v>#VALUE!</v>
      </c>
      <c r="Y1832">
        <v>17.2</v>
      </c>
      <c r="Z1832" s="154" t="e">
        <f t="shared" si="274"/>
        <v>#VALUE!</v>
      </c>
      <c r="AA1832">
        <v>17.2</v>
      </c>
      <c r="AB1832" s="154" t="e">
        <f t="shared" si="275"/>
        <v>#VALUE!</v>
      </c>
      <c r="AC1832">
        <v>17.2</v>
      </c>
      <c r="AD1832" s="154" t="e">
        <f t="shared" si="276"/>
        <v>#VALUE!</v>
      </c>
      <c r="AE1832">
        <v>17.2</v>
      </c>
    </row>
    <row r="1833" spans="12:31" ht="15" x14ac:dyDescent="0.2">
      <c r="L1833" s="154" t="e">
        <f t="shared" si="267"/>
        <v>#VALUE!</v>
      </c>
      <c r="M1833">
        <v>17.21</v>
      </c>
      <c r="N1833" s="154" t="e">
        <f t="shared" si="268"/>
        <v>#VALUE!</v>
      </c>
      <c r="O1833">
        <v>17.21</v>
      </c>
      <c r="P1833" s="154" t="e">
        <f t="shared" si="269"/>
        <v>#VALUE!</v>
      </c>
      <c r="Q1833">
        <v>17.21</v>
      </c>
      <c r="R1833" s="154" t="e">
        <f t="shared" si="270"/>
        <v>#VALUE!</v>
      </c>
      <c r="S1833">
        <v>17.21</v>
      </c>
      <c r="T1833" s="154" t="e">
        <f t="shared" si="271"/>
        <v>#VALUE!</v>
      </c>
      <c r="U1833">
        <v>17.21</v>
      </c>
      <c r="V1833" s="154" t="e">
        <f t="shared" si="272"/>
        <v>#VALUE!</v>
      </c>
      <c r="W1833">
        <v>17.21</v>
      </c>
      <c r="X1833" s="157" t="e">
        <f t="shared" si="273"/>
        <v>#VALUE!</v>
      </c>
      <c r="Y1833">
        <v>17.21</v>
      </c>
      <c r="Z1833" s="154" t="e">
        <f t="shared" si="274"/>
        <v>#VALUE!</v>
      </c>
      <c r="AA1833">
        <v>17.21</v>
      </c>
      <c r="AB1833" s="154" t="e">
        <f t="shared" si="275"/>
        <v>#VALUE!</v>
      </c>
      <c r="AC1833">
        <v>17.21</v>
      </c>
      <c r="AD1833" s="154" t="e">
        <f t="shared" si="276"/>
        <v>#VALUE!</v>
      </c>
      <c r="AE1833">
        <v>17.21</v>
      </c>
    </row>
    <row r="1834" spans="12:31" ht="15" x14ac:dyDescent="0.2">
      <c r="L1834" s="154" t="e">
        <f t="shared" si="267"/>
        <v>#VALUE!</v>
      </c>
      <c r="M1834">
        <v>17.22</v>
      </c>
      <c r="N1834" s="154" t="e">
        <f t="shared" si="268"/>
        <v>#VALUE!</v>
      </c>
      <c r="O1834">
        <v>17.22</v>
      </c>
      <c r="P1834" s="154" t="e">
        <f t="shared" si="269"/>
        <v>#VALUE!</v>
      </c>
      <c r="Q1834">
        <v>17.22</v>
      </c>
      <c r="R1834" s="154" t="e">
        <f t="shared" si="270"/>
        <v>#VALUE!</v>
      </c>
      <c r="S1834">
        <v>17.22</v>
      </c>
      <c r="T1834" s="154" t="e">
        <f t="shared" si="271"/>
        <v>#VALUE!</v>
      </c>
      <c r="U1834">
        <v>17.22</v>
      </c>
      <c r="V1834" s="154" t="e">
        <f t="shared" si="272"/>
        <v>#VALUE!</v>
      </c>
      <c r="W1834">
        <v>17.22</v>
      </c>
      <c r="X1834" s="157" t="e">
        <f t="shared" si="273"/>
        <v>#VALUE!</v>
      </c>
      <c r="Y1834">
        <v>17.22</v>
      </c>
      <c r="Z1834" s="154" t="e">
        <f t="shared" si="274"/>
        <v>#VALUE!</v>
      </c>
      <c r="AA1834">
        <v>17.22</v>
      </c>
      <c r="AB1834" s="154" t="e">
        <f t="shared" si="275"/>
        <v>#VALUE!</v>
      </c>
      <c r="AC1834">
        <v>17.22</v>
      </c>
      <c r="AD1834" s="154" t="e">
        <f t="shared" si="276"/>
        <v>#VALUE!</v>
      </c>
      <c r="AE1834">
        <v>17.22</v>
      </c>
    </row>
    <row r="1835" spans="12:31" ht="15" x14ac:dyDescent="0.2">
      <c r="L1835" s="154" t="e">
        <f t="shared" si="267"/>
        <v>#VALUE!</v>
      </c>
      <c r="M1835">
        <v>17.23</v>
      </c>
      <c r="N1835" s="154" t="e">
        <f t="shared" si="268"/>
        <v>#VALUE!</v>
      </c>
      <c r="O1835">
        <v>17.23</v>
      </c>
      <c r="P1835" s="154" t="e">
        <f t="shared" si="269"/>
        <v>#VALUE!</v>
      </c>
      <c r="Q1835">
        <v>17.23</v>
      </c>
      <c r="R1835" s="154" t="e">
        <f t="shared" si="270"/>
        <v>#VALUE!</v>
      </c>
      <c r="S1835">
        <v>17.23</v>
      </c>
      <c r="T1835" s="154" t="e">
        <f t="shared" si="271"/>
        <v>#VALUE!</v>
      </c>
      <c r="U1835">
        <v>17.23</v>
      </c>
      <c r="V1835" s="154" t="e">
        <f t="shared" si="272"/>
        <v>#VALUE!</v>
      </c>
      <c r="W1835">
        <v>17.23</v>
      </c>
      <c r="X1835" s="157" t="e">
        <f t="shared" si="273"/>
        <v>#VALUE!</v>
      </c>
      <c r="Y1835">
        <v>17.23</v>
      </c>
      <c r="Z1835" s="154" t="e">
        <f t="shared" si="274"/>
        <v>#VALUE!</v>
      </c>
      <c r="AA1835">
        <v>17.23</v>
      </c>
      <c r="AB1835" s="154" t="e">
        <f t="shared" si="275"/>
        <v>#VALUE!</v>
      </c>
      <c r="AC1835">
        <v>17.23</v>
      </c>
      <c r="AD1835" s="154" t="e">
        <f t="shared" si="276"/>
        <v>#VALUE!</v>
      </c>
      <c r="AE1835">
        <v>17.23</v>
      </c>
    </row>
    <row r="1836" spans="12:31" ht="15" x14ac:dyDescent="0.2">
      <c r="L1836" s="154" t="e">
        <f t="shared" si="267"/>
        <v>#VALUE!</v>
      </c>
      <c r="M1836">
        <v>17.239999999999998</v>
      </c>
      <c r="N1836" s="154" t="e">
        <f t="shared" si="268"/>
        <v>#VALUE!</v>
      </c>
      <c r="O1836">
        <v>17.239999999999998</v>
      </c>
      <c r="P1836" s="154" t="e">
        <f t="shared" si="269"/>
        <v>#VALUE!</v>
      </c>
      <c r="Q1836">
        <v>17.239999999999998</v>
      </c>
      <c r="R1836" s="154" t="e">
        <f t="shared" si="270"/>
        <v>#VALUE!</v>
      </c>
      <c r="S1836">
        <v>17.239999999999998</v>
      </c>
      <c r="T1836" s="154" t="e">
        <f t="shared" si="271"/>
        <v>#VALUE!</v>
      </c>
      <c r="U1836">
        <v>17.239999999999998</v>
      </c>
      <c r="V1836" s="154" t="e">
        <f t="shared" si="272"/>
        <v>#VALUE!</v>
      </c>
      <c r="W1836">
        <v>17.239999999999998</v>
      </c>
      <c r="X1836" s="157" t="e">
        <f t="shared" si="273"/>
        <v>#VALUE!</v>
      </c>
      <c r="Y1836">
        <v>17.239999999999998</v>
      </c>
      <c r="Z1836" s="154" t="e">
        <f t="shared" si="274"/>
        <v>#VALUE!</v>
      </c>
      <c r="AA1836">
        <v>17.239999999999998</v>
      </c>
      <c r="AB1836" s="154" t="e">
        <f t="shared" si="275"/>
        <v>#VALUE!</v>
      </c>
      <c r="AC1836">
        <v>17.239999999999998</v>
      </c>
      <c r="AD1836" s="154" t="e">
        <f t="shared" si="276"/>
        <v>#VALUE!</v>
      </c>
      <c r="AE1836">
        <v>17.239999999999998</v>
      </c>
    </row>
    <row r="1837" spans="12:31" ht="15" x14ac:dyDescent="0.2">
      <c r="L1837" s="154" t="e">
        <f t="shared" si="267"/>
        <v>#VALUE!</v>
      </c>
      <c r="M1837">
        <v>17.25</v>
      </c>
      <c r="N1837" s="154" t="e">
        <f t="shared" si="268"/>
        <v>#VALUE!</v>
      </c>
      <c r="O1837">
        <v>17.25</v>
      </c>
      <c r="P1837" s="154" t="e">
        <f t="shared" si="269"/>
        <v>#VALUE!</v>
      </c>
      <c r="Q1837">
        <v>17.25</v>
      </c>
      <c r="R1837" s="154" t="e">
        <f t="shared" si="270"/>
        <v>#VALUE!</v>
      </c>
      <c r="S1837">
        <v>17.25</v>
      </c>
      <c r="T1837" s="154" t="e">
        <f t="shared" si="271"/>
        <v>#VALUE!</v>
      </c>
      <c r="U1837">
        <v>17.25</v>
      </c>
      <c r="V1837" s="154" t="e">
        <f t="shared" si="272"/>
        <v>#VALUE!</v>
      </c>
      <c r="W1837">
        <v>17.25</v>
      </c>
      <c r="X1837" s="157" t="e">
        <f t="shared" si="273"/>
        <v>#VALUE!</v>
      </c>
      <c r="Y1837">
        <v>17.25</v>
      </c>
      <c r="Z1837" s="154" t="e">
        <f t="shared" si="274"/>
        <v>#VALUE!</v>
      </c>
      <c r="AA1837">
        <v>17.25</v>
      </c>
      <c r="AB1837" s="154" t="e">
        <f t="shared" si="275"/>
        <v>#VALUE!</v>
      </c>
      <c r="AC1837">
        <v>17.25</v>
      </c>
      <c r="AD1837" s="154" t="e">
        <f t="shared" si="276"/>
        <v>#VALUE!</v>
      </c>
      <c r="AE1837">
        <v>17.25</v>
      </c>
    </row>
    <row r="1838" spans="12:31" ht="15" x14ac:dyDescent="0.2">
      <c r="L1838" s="154" t="e">
        <f t="shared" si="267"/>
        <v>#VALUE!</v>
      </c>
      <c r="M1838">
        <v>17.260000000000002</v>
      </c>
      <c r="N1838" s="154" t="e">
        <f t="shared" si="268"/>
        <v>#VALUE!</v>
      </c>
      <c r="O1838">
        <v>17.260000000000002</v>
      </c>
      <c r="P1838" s="154" t="e">
        <f t="shared" si="269"/>
        <v>#VALUE!</v>
      </c>
      <c r="Q1838">
        <v>17.260000000000002</v>
      </c>
      <c r="R1838" s="154" t="e">
        <f t="shared" si="270"/>
        <v>#VALUE!</v>
      </c>
      <c r="S1838">
        <v>17.260000000000002</v>
      </c>
      <c r="T1838" s="154" t="e">
        <f t="shared" si="271"/>
        <v>#VALUE!</v>
      </c>
      <c r="U1838">
        <v>17.260000000000002</v>
      </c>
      <c r="V1838" s="154" t="e">
        <f t="shared" si="272"/>
        <v>#VALUE!</v>
      </c>
      <c r="W1838">
        <v>17.260000000000002</v>
      </c>
      <c r="X1838" s="157" t="e">
        <f t="shared" si="273"/>
        <v>#VALUE!</v>
      </c>
      <c r="Y1838">
        <v>17.260000000000002</v>
      </c>
      <c r="Z1838" s="154" t="e">
        <f t="shared" si="274"/>
        <v>#VALUE!</v>
      </c>
      <c r="AA1838">
        <v>17.260000000000002</v>
      </c>
      <c r="AB1838" s="154" t="e">
        <f t="shared" si="275"/>
        <v>#VALUE!</v>
      </c>
      <c r="AC1838">
        <v>17.260000000000002</v>
      </c>
      <c r="AD1838" s="154" t="e">
        <f t="shared" si="276"/>
        <v>#VALUE!</v>
      </c>
      <c r="AE1838">
        <v>17.260000000000002</v>
      </c>
    </row>
    <row r="1839" spans="12:31" ht="15" x14ac:dyDescent="0.2">
      <c r="L1839" s="154" t="e">
        <f t="shared" si="267"/>
        <v>#VALUE!</v>
      </c>
      <c r="M1839">
        <v>17.27</v>
      </c>
      <c r="N1839" s="154" t="e">
        <f t="shared" si="268"/>
        <v>#VALUE!</v>
      </c>
      <c r="O1839">
        <v>17.27</v>
      </c>
      <c r="P1839" s="154" t="e">
        <f t="shared" si="269"/>
        <v>#VALUE!</v>
      </c>
      <c r="Q1839">
        <v>17.27</v>
      </c>
      <c r="R1839" s="154" t="e">
        <f t="shared" si="270"/>
        <v>#VALUE!</v>
      </c>
      <c r="S1839">
        <v>17.27</v>
      </c>
      <c r="T1839" s="154" t="e">
        <f t="shared" si="271"/>
        <v>#VALUE!</v>
      </c>
      <c r="U1839">
        <v>17.27</v>
      </c>
      <c r="V1839" s="154" t="e">
        <f t="shared" si="272"/>
        <v>#VALUE!</v>
      </c>
      <c r="W1839">
        <v>17.27</v>
      </c>
      <c r="X1839" s="157" t="e">
        <f t="shared" si="273"/>
        <v>#VALUE!</v>
      </c>
      <c r="Y1839">
        <v>17.27</v>
      </c>
      <c r="Z1839" s="154" t="e">
        <f t="shared" si="274"/>
        <v>#VALUE!</v>
      </c>
      <c r="AA1839">
        <v>17.27</v>
      </c>
      <c r="AB1839" s="154" t="e">
        <f t="shared" si="275"/>
        <v>#VALUE!</v>
      </c>
      <c r="AC1839">
        <v>17.27</v>
      </c>
      <c r="AD1839" s="154" t="e">
        <f t="shared" si="276"/>
        <v>#VALUE!</v>
      </c>
      <c r="AE1839">
        <v>17.27</v>
      </c>
    </row>
    <row r="1840" spans="12:31" ht="15" x14ac:dyDescent="0.2">
      <c r="L1840" s="154" t="e">
        <f t="shared" si="267"/>
        <v>#VALUE!</v>
      </c>
      <c r="M1840">
        <v>17.28</v>
      </c>
      <c r="N1840" s="154" t="e">
        <f t="shared" si="268"/>
        <v>#VALUE!</v>
      </c>
      <c r="O1840">
        <v>17.28</v>
      </c>
      <c r="P1840" s="154" t="e">
        <f t="shared" si="269"/>
        <v>#VALUE!</v>
      </c>
      <c r="Q1840">
        <v>17.28</v>
      </c>
      <c r="R1840" s="154" t="e">
        <f t="shared" si="270"/>
        <v>#VALUE!</v>
      </c>
      <c r="S1840">
        <v>17.28</v>
      </c>
      <c r="T1840" s="154" t="e">
        <f t="shared" si="271"/>
        <v>#VALUE!</v>
      </c>
      <c r="U1840">
        <v>17.28</v>
      </c>
      <c r="V1840" s="154" t="e">
        <f t="shared" si="272"/>
        <v>#VALUE!</v>
      </c>
      <c r="W1840">
        <v>17.28</v>
      </c>
      <c r="X1840" s="157" t="e">
        <f t="shared" si="273"/>
        <v>#VALUE!</v>
      </c>
      <c r="Y1840">
        <v>17.28</v>
      </c>
      <c r="Z1840" s="154" t="e">
        <f t="shared" si="274"/>
        <v>#VALUE!</v>
      </c>
      <c r="AA1840">
        <v>17.28</v>
      </c>
      <c r="AB1840" s="154" t="e">
        <f t="shared" si="275"/>
        <v>#VALUE!</v>
      </c>
      <c r="AC1840">
        <v>17.28</v>
      </c>
      <c r="AD1840" s="154" t="e">
        <f t="shared" si="276"/>
        <v>#VALUE!</v>
      </c>
      <c r="AE1840">
        <v>17.28</v>
      </c>
    </row>
    <row r="1841" spans="12:31" ht="15" x14ac:dyDescent="0.2">
      <c r="L1841" s="154" t="e">
        <f t="shared" ref="L1841:L1904" si="277">((1.486/$D$33)*((((PI()*($D$46/12)^2)/4)-((($D$46/12)/2)^2*((2*ACOS(((($D$46/12)/2)-(($D$46/12)-(M1841/12)))/(($D$46/12)/2)))-SIN(2*ACOS(((($D$46/12)/2)-(($D$46/12)-(M1841/12)))/(($D$46/12)/2))))/2))/((PI()*($D$46/12))-((2*ACOS(((($D$46/12)/2)-(($D$46/12)-(M1841/12)))/(($D$46/12)/2)))*(($D$46/12)/2))))^(2/3)*$H$17^0.5)*(((PI()*($D$46/12)^2)/4)-((($D$46/12)/2)^2*((2*ACOS(((($D$46/12)/2)-(($D$46/12)-(M1841/12)))/(($D$46/12)/2)))-SIN(2*ACOS(((($D$46/12)/2)-(($D$46/12)-(M1841/12)))/(($D$46/12)/2))))/2))</f>
        <v>#VALUE!</v>
      </c>
      <c r="M1841">
        <v>17.29</v>
      </c>
      <c r="N1841" s="154" t="e">
        <f t="shared" ref="N1841:N1904" si="278">((1.486/$D$34)*((((PI()*($D$47/12)^2)/4)-((($D$47/12)/2)^2*((2*ACOS(((($D$47/12)/2)-(($D$47/12)-(O1841/12)))/(($D$47/12)/2)))-SIN(2*ACOS(((($D$47/12)/2)-(($D$47/12)-(O1841/12)))/(($D$47/12)/2))))/2))/((PI()*($D$47/12))-((2*ACOS(((($D$47/12)/2)-(($D$47/12)-(O1841/12)))/(($D$47/12)/2)))*(($D$47/12)/2))))^(2/3)*$H$18^0.5)*(((PI()*($D$47/12)^2)/4)-((($D$47/12)/2)^2*((2*ACOS(((($D$47/12)/2)-(($D$47/12)-(O1841/12)))/(($D$47/12)/2)))-SIN(2*ACOS(((($D$47/12)/2)-(($D$47/12)-(O1841/12)))/(($D$47/12)/2))))/2))</f>
        <v>#VALUE!</v>
      </c>
      <c r="O1841">
        <v>17.29</v>
      </c>
      <c r="P1841" s="154" t="e">
        <f t="shared" ref="P1841:P1904" si="279">((1.486/$D$35)*((((PI()*($D$48/12)^2)/4)-((($D$48/12)/2)^2*((2*ACOS(((($D$48/12)/2)-(($D$48/12)-(Q1841/12)))/(($D$48/12)/2)))-SIN(2*ACOS(((($D$48/12)/2)-(($D$48/12)-(Q1841/12)))/(($D$48/12)/2))))/2))/((PI()*($D$48/12))-((2*ACOS(((($D$48/12)/2)-(($D$48/12)-(Q1841/12)))/(($D$48/12)/2)))*(($D$48/12)/2))))^(2/3)*$H$19^0.5)*(((PI()*($D$48/12)^2)/4)-((($D$48/12)/2)^2*((2*ACOS(((($D$48/12)/2)-(($D$48/12)-(Q1841/12)))/(($D$48/12)/2)))-SIN(2*ACOS(((($D$48/12)/2)-(($D$48/12)-(Q1841/12)))/(($D$48/12)/2))))/2))</f>
        <v>#VALUE!</v>
      </c>
      <c r="Q1841">
        <v>17.29</v>
      </c>
      <c r="R1841" s="154" t="e">
        <f t="shared" ref="R1841:R1904" si="280">((1.486/$D$36)*((((PI()*($D$49/12)^2)/4)-((($D$49/12)/2)^2*((2*ACOS(((($D$49/12)/2)-(($D$49/12)-(S1841/12)))/(($D$49/12)/2)))-SIN(2*ACOS(((($D$49/12)/2)-(($D$49/12)-(S1841/12)))/(($D$49/12)/2))))/2))/((PI()*($D$49/12))-((2*ACOS(((($D$49/12)/2)-(($D$49/12)-(S1841/12)))/(($D$49/12)/2)))*(($D$49/12)/2))))^(2/3)*$H$20^0.5)*(((PI()*($D$49/12)^2)/4)-((($D$49/12)/2)^2*((2*ACOS(((($D$49/12)/2)-(($D$49/12)-(S1841/12)))/(($D$49/12)/2)))-SIN(2*ACOS(((($D$49/12)/2)-(($D$49/12)-(S1841/12)))/(($D$49/12)/2))))/2))</f>
        <v>#VALUE!</v>
      </c>
      <c r="S1841">
        <v>17.29</v>
      </c>
      <c r="T1841" s="154" t="e">
        <f t="shared" ref="T1841:T1904" si="281">((1.486/$D$37)*((((PI()*($D$50/12)^2)/4)-((($D$50/12)/2)^2*((2*ACOS(((($D$50/12)/2)-(($D$50/12)-(U1841/12)))/(($D$50/12)/2)))-SIN(2*ACOS(((($D$50/12)/2)-(($D$50/12)-(U1841/12)))/(($D$50/12)/2))))/2))/((PI()*($D$50/12))-((2*ACOS(((($D$50/12)/2)-(($D$50/12)-(U1841/12)))/(($D$50/12)/2)))*(($D$50/12)/2))))^(2/3)*$H$21^0.5)*(((PI()*($D$50/12)^2)/4)-((($D$50/12)/2)^2*((2*ACOS(((($D$50/12)/2)-(($D$50/12)-(U1841/12)))/(($D$50/12)/2)))-SIN(2*ACOS(((($D$50/12)/2)-(($D$50/12)-(U1841/12)))/(($D$50/12)/2))))/2))</f>
        <v>#VALUE!</v>
      </c>
      <c r="U1841">
        <v>17.29</v>
      </c>
      <c r="V1841" s="154" t="e">
        <f t="shared" ref="V1841:V1904" si="282">((1.486/$D$38)*((((PI()*($D$51/12)^2)/4)-((($D$51/12)/2)^2*((2*ACOS(((($D$51/12)/2)-(($D$51/12)-(W1841/12)))/(($D$51/12)/2)))-SIN(2*ACOS(((($D$51/12)/2)-(($D$51/12)-(W1841/12)))/(($D$51/12)/2))))/2))/((PI()*($D$51/12))-((2*ACOS(((($D$51/12)/2)-(($D$51/12)-(W1841/12)))/(($D$51/12)/2)))*(($D$51/12)/2))))^(2/3)*$H$22^0.5)*(((PI()*($D$51/12)^2)/4)-((($D$51/12)/2)^2*((2*ACOS(((($D$51/12)/2)-(($D$51/12)-(W1841/12)))/(($D$51/12)/2)))-SIN(2*ACOS(((($D$51/12)/2)-(($D$51/12)-(W1841/12)))/(($D$51/12)/2))))/2))</f>
        <v>#VALUE!</v>
      </c>
      <c r="W1841">
        <v>17.29</v>
      </c>
      <c r="X1841" s="157" t="e">
        <f t="shared" ref="X1841:X1904" si="283">((1.486/$D$39)*((((PI()*($D$52/12)^2)/4)-((($D$52/12)/2)^2*((2*ACOS(((($D$52/12)/2)-(($D$52/12)-(Y1841/12)))/(($D$52/12)/2)))-SIN(2*ACOS(((($D$52/12)/2)-(($D$52/12)-(Y1841/12)))/(($D$52/12)/2))))/2))/((PI()*($D$52/12))-((2*ACOS(((($D$52/12)/2)-(($D$52/12)-(Y1841/12)))/(($D$52/12)/2)))*(($D$52/12)/2))))^(2/3)*$H$23^0.5)*(((PI()*($D$52/12)^2)/4)-((($D$52/12)/2)^2*((2*ACOS(((($D$52/12)/2)-(($D$52/12)-(Y1841/12)))/(($D$52/12)/2)))-SIN(2*ACOS(((($D$52/12)/2)-(($D$52/12)-(Y1841/12)))/(($D$52/12)/2))))/2))</f>
        <v>#VALUE!</v>
      </c>
      <c r="Y1841">
        <v>17.29</v>
      </c>
      <c r="Z1841" s="154" t="e">
        <f t="shared" ref="Z1841:Z1904" si="284">((1.486/$D$40)*((((PI()*($D$53/12)^2)/4)-((($D$53/12)/2)^2*((2*ACOS(((($D$53/12)/2)-(($D$53/12)-(AA1841/12)))/(($D$53/12)/2)))-SIN(2*ACOS(((($D$53/12)/2)-(($D$53/12)-(AA1841/12)))/(($D$53/12)/2))))/2))/((PI()*($D$53/12))-((2*ACOS(((($D$53/12)/2)-(($D$53/12)-(AA1841/12)))/(($D$53/12)/2)))*(($D$53/12)/2))))^(2/3)*$H$24^0.5)*(((PI()*($D$53/12)^2)/4)-((($D$53/12)/2)^2*((2*ACOS(((($D$53/12)/2)-(($D$53/12)-(AA1841/12)))/(($D$53/12)/2)))-SIN(2*ACOS(((($D$53/12)/2)-(($D$53/12)-(AA1841/12)))/(($D$53/12)/2))))/2))</f>
        <v>#VALUE!</v>
      </c>
      <c r="AA1841">
        <v>17.29</v>
      </c>
      <c r="AB1841" s="154" t="e">
        <f t="shared" ref="AB1841:AB1904" si="285">((1.486/$D$41)*((((PI()*($D$54/12)^2)/4)-((($D$54/12)/2)^2*((2*ACOS(((($D$54/12)/2)-(($D$54/12)-(AC1841/12)))/(($D$54/12)/2)))-SIN(2*ACOS(((($D$54/12)/2)-(($D$54/12)-(AC1841/12)))/(($D$54/12)/2))))/2))/((PI()*($D$54/12))-((2*ACOS(((($D$54/12)/2)-(($D$54/12)-(AC1841/12)))/(($D$54/12)/2)))*(($D$54/12)/2))))^(2/3)*$H$25^0.5)*(((PI()*($D$54/12)^2)/4)-((($D$54/12)/2)^2*((2*ACOS(((($D$54/12)/2)-(($D$54/12)-(AC1841/12)))/(($D$54/12)/2)))-SIN(2*ACOS(((($D$54/12)/2)-(($D$54/12)-(AC1841/12)))/(($D$54/12)/2))))/2))</f>
        <v>#VALUE!</v>
      </c>
      <c r="AC1841">
        <v>17.29</v>
      </c>
      <c r="AD1841" s="154" t="e">
        <f t="shared" ref="AD1841:AD1904" si="286">((1.486/$D$42)*((((PI()*($D$55/12)^2)/4)-((($D$55/12)/2)^2*((2*ACOS(((($D$55/12)/2)-(($D$55/12)-(AE1841/12)))/(($D$55/12)/2)))-SIN(2*ACOS(((($D$55/12)/2)-(($D$55/12)-(AE1841/12)))/(($D$55/12)/2))))/2))/((PI()*($D$55/12))-((2*ACOS(((($D$55/12)/2)-(($D$55/12)-(AE1841/12)))/(($D$55/12)/2)))*(($D$55/12)/2))))^(2/3)*$H$26^0.5)*(((PI()*($D$55/12)^2)/4)-((($D$55/12)/2)^2*((2*ACOS(((($D$55/12)/2)-(($D$55/12)-(AE1841/12)))/(($D$55/12)/2)))-SIN(2*ACOS(((($D$55/12)/2)-(($D$55/12)-(AE1841/12)))/(($D$55/12)/2))))/2))</f>
        <v>#VALUE!</v>
      </c>
      <c r="AE1841">
        <v>17.29</v>
      </c>
    </row>
    <row r="1842" spans="12:31" ht="15" x14ac:dyDescent="0.2">
      <c r="L1842" s="154" t="e">
        <f t="shared" si="277"/>
        <v>#VALUE!</v>
      </c>
      <c r="M1842">
        <v>17.3</v>
      </c>
      <c r="N1842" s="154" t="e">
        <f t="shared" si="278"/>
        <v>#VALUE!</v>
      </c>
      <c r="O1842">
        <v>17.3</v>
      </c>
      <c r="P1842" s="154" t="e">
        <f t="shared" si="279"/>
        <v>#VALUE!</v>
      </c>
      <c r="Q1842">
        <v>17.3</v>
      </c>
      <c r="R1842" s="154" t="e">
        <f t="shared" si="280"/>
        <v>#VALUE!</v>
      </c>
      <c r="S1842">
        <v>17.3</v>
      </c>
      <c r="T1842" s="154" t="e">
        <f t="shared" si="281"/>
        <v>#VALUE!</v>
      </c>
      <c r="U1842">
        <v>17.3</v>
      </c>
      <c r="V1842" s="154" t="e">
        <f t="shared" si="282"/>
        <v>#VALUE!</v>
      </c>
      <c r="W1842">
        <v>17.3</v>
      </c>
      <c r="X1842" s="157" t="e">
        <f t="shared" si="283"/>
        <v>#VALUE!</v>
      </c>
      <c r="Y1842">
        <v>17.3</v>
      </c>
      <c r="Z1842" s="154" t="e">
        <f t="shared" si="284"/>
        <v>#VALUE!</v>
      </c>
      <c r="AA1842">
        <v>17.3</v>
      </c>
      <c r="AB1842" s="154" t="e">
        <f t="shared" si="285"/>
        <v>#VALUE!</v>
      </c>
      <c r="AC1842">
        <v>17.3</v>
      </c>
      <c r="AD1842" s="154" t="e">
        <f t="shared" si="286"/>
        <v>#VALUE!</v>
      </c>
      <c r="AE1842">
        <v>17.3</v>
      </c>
    </row>
    <row r="1843" spans="12:31" ht="15" x14ac:dyDescent="0.2">
      <c r="L1843" s="154" t="e">
        <f t="shared" si="277"/>
        <v>#VALUE!</v>
      </c>
      <c r="M1843">
        <v>17.309999999999999</v>
      </c>
      <c r="N1843" s="154" t="e">
        <f t="shared" si="278"/>
        <v>#VALUE!</v>
      </c>
      <c r="O1843">
        <v>17.309999999999999</v>
      </c>
      <c r="P1843" s="154" t="e">
        <f t="shared" si="279"/>
        <v>#VALUE!</v>
      </c>
      <c r="Q1843">
        <v>17.309999999999999</v>
      </c>
      <c r="R1843" s="154" t="e">
        <f t="shared" si="280"/>
        <v>#VALUE!</v>
      </c>
      <c r="S1843">
        <v>17.309999999999999</v>
      </c>
      <c r="T1843" s="154" t="e">
        <f t="shared" si="281"/>
        <v>#VALUE!</v>
      </c>
      <c r="U1843">
        <v>17.309999999999999</v>
      </c>
      <c r="V1843" s="154" t="e">
        <f t="shared" si="282"/>
        <v>#VALUE!</v>
      </c>
      <c r="W1843">
        <v>17.309999999999999</v>
      </c>
      <c r="X1843" s="157" t="e">
        <f t="shared" si="283"/>
        <v>#VALUE!</v>
      </c>
      <c r="Y1843">
        <v>17.309999999999999</v>
      </c>
      <c r="Z1843" s="154" t="e">
        <f t="shared" si="284"/>
        <v>#VALUE!</v>
      </c>
      <c r="AA1843">
        <v>17.309999999999999</v>
      </c>
      <c r="AB1843" s="154" t="e">
        <f t="shared" si="285"/>
        <v>#VALUE!</v>
      </c>
      <c r="AC1843">
        <v>17.309999999999999</v>
      </c>
      <c r="AD1843" s="154" t="e">
        <f t="shared" si="286"/>
        <v>#VALUE!</v>
      </c>
      <c r="AE1843">
        <v>17.309999999999999</v>
      </c>
    </row>
    <row r="1844" spans="12:31" ht="15" x14ac:dyDescent="0.2">
      <c r="L1844" s="154" t="e">
        <f t="shared" si="277"/>
        <v>#VALUE!</v>
      </c>
      <c r="M1844">
        <v>17.32</v>
      </c>
      <c r="N1844" s="154" t="e">
        <f t="shared" si="278"/>
        <v>#VALUE!</v>
      </c>
      <c r="O1844">
        <v>17.32</v>
      </c>
      <c r="P1844" s="154" t="e">
        <f t="shared" si="279"/>
        <v>#VALUE!</v>
      </c>
      <c r="Q1844">
        <v>17.32</v>
      </c>
      <c r="R1844" s="154" t="e">
        <f t="shared" si="280"/>
        <v>#VALUE!</v>
      </c>
      <c r="S1844">
        <v>17.32</v>
      </c>
      <c r="T1844" s="154" t="e">
        <f t="shared" si="281"/>
        <v>#VALUE!</v>
      </c>
      <c r="U1844">
        <v>17.32</v>
      </c>
      <c r="V1844" s="154" t="e">
        <f t="shared" si="282"/>
        <v>#VALUE!</v>
      </c>
      <c r="W1844">
        <v>17.32</v>
      </c>
      <c r="X1844" s="157" t="e">
        <f t="shared" si="283"/>
        <v>#VALUE!</v>
      </c>
      <c r="Y1844">
        <v>17.32</v>
      </c>
      <c r="Z1844" s="154" t="e">
        <f t="shared" si="284"/>
        <v>#VALUE!</v>
      </c>
      <c r="AA1844">
        <v>17.32</v>
      </c>
      <c r="AB1844" s="154" t="e">
        <f t="shared" si="285"/>
        <v>#VALUE!</v>
      </c>
      <c r="AC1844">
        <v>17.32</v>
      </c>
      <c r="AD1844" s="154" t="e">
        <f t="shared" si="286"/>
        <v>#VALUE!</v>
      </c>
      <c r="AE1844">
        <v>17.32</v>
      </c>
    </row>
    <row r="1845" spans="12:31" ht="15" x14ac:dyDescent="0.2">
      <c r="L1845" s="154" t="e">
        <f t="shared" si="277"/>
        <v>#VALUE!</v>
      </c>
      <c r="M1845">
        <v>17.329999999999998</v>
      </c>
      <c r="N1845" s="154" t="e">
        <f t="shared" si="278"/>
        <v>#VALUE!</v>
      </c>
      <c r="O1845">
        <v>17.329999999999998</v>
      </c>
      <c r="P1845" s="154" t="e">
        <f t="shared" si="279"/>
        <v>#VALUE!</v>
      </c>
      <c r="Q1845">
        <v>17.329999999999998</v>
      </c>
      <c r="R1845" s="154" t="e">
        <f t="shared" si="280"/>
        <v>#VALUE!</v>
      </c>
      <c r="S1845">
        <v>17.329999999999998</v>
      </c>
      <c r="T1845" s="154" t="e">
        <f t="shared" si="281"/>
        <v>#VALUE!</v>
      </c>
      <c r="U1845">
        <v>17.329999999999998</v>
      </c>
      <c r="V1845" s="154" t="e">
        <f t="shared" si="282"/>
        <v>#VALUE!</v>
      </c>
      <c r="W1845">
        <v>17.329999999999998</v>
      </c>
      <c r="X1845" s="157" t="e">
        <f t="shared" si="283"/>
        <v>#VALUE!</v>
      </c>
      <c r="Y1845">
        <v>17.329999999999998</v>
      </c>
      <c r="Z1845" s="154" t="e">
        <f t="shared" si="284"/>
        <v>#VALUE!</v>
      </c>
      <c r="AA1845">
        <v>17.329999999999998</v>
      </c>
      <c r="AB1845" s="154" t="e">
        <f t="shared" si="285"/>
        <v>#VALUE!</v>
      </c>
      <c r="AC1845">
        <v>17.329999999999998</v>
      </c>
      <c r="AD1845" s="154" t="e">
        <f t="shared" si="286"/>
        <v>#VALUE!</v>
      </c>
      <c r="AE1845">
        <v>17.329999999999998</v>
      </c>
    </row>
    <row r="1846" spans="12:31" ht="15" x14ac:dyDescent="0.2">
      <c r="L1846" s="154" t="e">
        <f t="shared" si="277"/>
        <v>#VALUE!</v>
      </c>
      <c r="M1846">
        <v>17.34</v>
      </c>
      <c r="N1846" s="154" t="e">
        <f t="shared" si="278"/>
        <v>#VALUE!</v>
      </c>
      <c r="O1846">
        <v>17.34</v>
      </c>
      <c r="P1846" s="154" t="e">
        <f t="shared" si="279"/>
        <v>#VALUE!</v>
      </c>
      <c r="Q1846">
        <v>17.34</v>
      </c>
      <c r="R1846" s="154" t="e">
        <f t="shared" si="280"/>
        <v>#VALUE!</v>
      </c>
      <c r="S1846">
        <v>17.34</v>
      </c>
      <c r="T1846" s="154" t="e">
        <f t="shared" si="281"/>
        <v>#VALUE!</v>
      </c>
      <c r="U1846">
        <v>17.34</v>
      </c>
      <c r="V1846" s="154" t="e">
        <f t="shared" si="282"/>
        <v>#VALUE!</v>
      </c>
      <c r="W1846">
        <v>17.34</v>
      </c>
      <c r="X1846" s="157" t="e">
        <f t="shared" si="283"/>
        <v>#VALUE!</v>
      </c>
      <c r="Y1846">
        <v>17.34</v>
      </c>
      <c r="Z1846" s="154" t="e">
        <f t="shared" si="284"/>
        <v>#VALUE!</v>
      </c>
      <c r="AA1846">
        <v>17.34</v>
      </c>
      <c r="AB1846" s="154" t="e">
        <f t="shared" si="285"/>
        <v>#VALUE!</v>
      </c>
      <c r="AC1846">
        <v>17.34</v>
      </c>
      <c r="AD1846" s="154" t="e">
        <f t="shared" si="286"/>
        <v>#VALUE!</v>
      </c>
      <c r="AE1846">
        <v>17.34</v>
      </c>
    </row>
    <row r="1847" spans="12:31" ht="15" x14ac:dyDescent="0.2">
      <c r="L1847" s="154" t="e">
        <f t="shared" si="277"/>
        <v>#VALUE!</v>
      </c>
      <c r="M1847">
        <v>17.350000000000001</v>
      </c>
      <c r="N1847" s="154" t="e">
        <f t="shared" si="278"/>
        <v>#VALUE!</v>
      </c>
      <c r="O1847">
        <v>17.350000000000001</v>
      </c>
      <c r="P1847" s="154" t="e">
        <f t="shared" si="279"/>
        <v>#VALUE!</v>
      </c>
      <c r="Q1847">
        <v>17.350000000000001</v>
      </c>
      <c r="R1847" s="154" t="e">
        <f t="shared" si="280"/>
        <v>#VALUE!</v>
      </c>
      <c r="S1847">
        <v>17.350000000000001</v>
      </c>
      <c r="T1847" s="154" t="e">
        <f t="shared" si="281"/>
        <v>#VALUE!</v>
      </c>
      <c r="U1847">
        <v>17.350000000000001</v>
      </c>
      <c r="V1847" s="154" t="e">
        <f t="shared" si="282"/>
        <v>#VALUE!</v>
      </c>
      <c r="W1847">
        <v>17.350000000000001</v>
      </c>
      <c r="X1847" s="157" t="e">
        <f t="shared" si="283"/>
        <v>#VALUE!</v>
      </c>
      <c r="Y1847">
        <v>17.350000000000001</v>
      </c>
      <c r="Z1847" s="154" t="e">
        <f t="shared" si="284"/>
        <v>#VALUE!</v>
      </c>
      <c r="AA1847">
        <v>17.350000000000001</v>
      </c>
      <c r="AB1847" s="154" t="e">
        <f t="shared" si="285"/>
        <v>#VALUE!</v>
      </c>
      <c r="AC1847">
        <v>17.350000000000001</v>
      </c>
      <c r="AD1847" s="154" t="e">
        <f t="shared" si="286"/>
        <v>#VALUE!</v>
      </c>
      <c r="AE1847">
        <v>17.350000000000001</v>
      </c>
    </row>
    <row r="1848" spans="12:31" ht="15" x14ac:dyDescent="0.2">
      <c r="L1848" s="154" t="e">
        <f t="shared" si="277"/>
        <v>#VALUE!</v>
      </c>
      <c r="M1848">
        <v>17.36</v>
      </c>
      <c r="N1848" s="154" t="e">
        <f t="shared" si="278"/>
        <v>#VALUE!</v>
      </c>
      <c r="O1848">
        <v>17.36</v>
      </c>
      <c r="P1848" s="154" t="e">
        <f t="shared" si="279"/>
        <v>#VALUE!</v>
      </c>
      <c r="Q1848">
        <v>17.36</v>
      </c>
      <c r="R1848" s="154" t="e">
        <f t="shared" si="280"/>
        <v>#VALUE!</v>
      </c>
      <c r="S1848">
        <v>17.36</v>
      </c>
      <c r="T1848" s="154" t="e">
        <f t="shared" si="281"/>
        <v>#VALUE!</v>
      </c>
      <c r="U1848">
        <v>17.36</v>
      </c>
      <c r="V1848" s="154" t="e">
        <f t="shared" si="282"/>
        <v>#VALUE!</v>
      </c>
      <c r="W1848">
        <v>17.36</v>
      </c>
      <c r="X1848" s="157" t="e">
        <f t="shared" si="283"/>
        <v>#VALUE!</v>
      </c>
      <c r="Y1848">
        <v>17.36</v>
      </c>
      <c r="Z1848" s="154" t="e">
        <f t="shared" si="284"/>
        <v>#VALUE!</v>
      </c>
      <c r="AA1848">
        <v>17.36</v>
      </c>
      <c r="AB1848" s="154" t="e">
        <f t="shared" si="285"/>
        <v>#VALUE!</v>
      </c>
      <c r="AC1848">
        <v>17.36</v>
      </c>
      <c r="AD1848" s="154" t="e">
        <f t="shared" si="286"/>
        <v>#VALUE!</v>
      </c>
      <c r="AE1848">
        <v>17.36</v>
      </c>
    </row>
    <row r="1849" spans="12:31" ht="15" x14ac:dyDescent="0.2">
      <c r="L1849" s="154" t="e">
        <f t="shared" si="277"/>
        <v>#VALUE!</v>
      </c>
      <c r="M1849">
        <v>17.37</v>
      </c>
      <c r="N1849" s="154" t="e">
        <f t="shared" si="278"/>
        <v>#VALUE!</v>
      </c>
      <c r="O1849">
        <v>17.37</v>
      </c>
      <c r="P1849" s="154" t="e">
        <f t="shared" si="279"/>
        <v>#VALUE!</v>
      </c>
      <c r="Q1849">
        <v>17.37</v>
      </c>
      <c r="R1849" s="154" t="e">
        <f t="shared" si="280"/>
        <v>#VALUE!</v>
      </c>
      <c r="S1849">
        <v>17.37</v>
      </c>
      <c r="T1849" s="154" t="e">
        <f t="shared" si="281"/>
        <v>#VALUE!</v>
      </c>
      <c r="U1849">
        <v>17.37</v>
      </c>
      <c r="V1849" s="154" t="e">
        <f t="shared" si="282"/>
        <v>#VALUE!</v>
      </c>
      <c r="W1849">
        <v>17.37</v>
      </c>
      <c r="X1849" s="157" t="e">
        <f t="shared" si="283"/>
        <v>#VALUE!</v>
      </c>
      <c r="Y1849">
        <v>17.37</v>
      </c>
      <c r="Z1849" s="154" t="e">
        <f t="shared" si="284"/>
        <v>#VALUE!</v>
      </c>
      <c r="AA1849">
        <v>17.37</v>
      </c>
      <c r="AB1849" s="154" t="e">
        <f t="shared" si="285"/>
        <v>#VALUE!</v>
      </c>
      <c r="AC1849">
        <v>17.37</v>
      </c>
      <c r="AD1849" s="154" t="e">
        <f t="shared" si="286"/>
        <v>#VALUE!</v>
      </c>
      <c r="AE1849">
        <v>17.37</v>
      </c>
    </row>
    <row r="1850" spans="12:31" ht="15" x14ac:dyDescent="0.2">
      <c r="L1850" s="154" t="e">
        <f t="shared" si="277"/>
        <v>#VALUE!</v>
      </c>
      <c r="M1850">
        <v>17.38</v>
      </c>
      <c r="N1850" s="154" t="e">
        <f t="shared" si="278"/>
        <v>#VALUE!</v>
      </c>
      <c r="O1850">
        <v>17.38</v>
      </c>
      <c r="P1850" s="154" t="e">
        <f t="shared" si="279"/>
        <v>#VALUE!</v>
      </c>
      <c r="Q1850">
        <v>17.38</v>
      </c>
      <c r="R1850" s="154" t="e">
        <f t="shared" si="280"/>
        <v>#VALUE!</v>
      </c>
      <c r="S1850">
        <v>17.38</v>
      </c>
      <c r="T1850" s="154" t="e">
        <f t="shared" si="281"/>
        <v>#VALUE!</v>
      </c>
      <c r="U1850">
        <v>17.38</v>
      </c>
      <c r="V1850" s="154" t="e">
        <f t="shared" si="282"/>
        <v>#VALUE!</v>
      </c>
      <c r="W1850">
        <v>17.38</v>
      </c>
      <c r="X1850" s="157" t="e">
        <f t="shared" si="283"/>
        <v>#VALUE!</v>
      </c>
      <c r="Y1850">
        <v>17.38</v>
      </c>
      <c r="Z1850" s="154" t="e">
        <f t="shared" si="284"/>
        <v>#VALUE!</v>
      </c>
      <c r="AA1850">
        <v>17.38</v>
      </c>
      <c r="AB1850" s="154" t="e">
        <f t="shared" si="285"/>
        <v>#VALUE!</v>
      </c>
      <c r="AC1850">
        <v>17.38</v>
      </c>
      <c r="AD1850" s="154" t="e">
        <f t="shared" si="286"/>
        <v>#VALUE!</v>
      </c>
      <c r="AE1850">
        <v>17.38</v>
      </c>
    </row>
    <row r="1851" spans="12:31" ht="15" x14ac:dyDescent="0.2">
      <c r="L1851" s="154" t="e">
        <f t="shared" si="277"/>
        <v>#VALUE!</v>
      </c>
      <c r="M1851">
        <v>17.39</v>
      </c>
      <c r="N1851" s="154" t="e">
        <f t="shared" si="278"/>
        <v>#VALUE!</v>
      </c>
      <c r="O1851">
        <v>17.39</v>
      </c>
      <c r="P1851" s="154" t="e">
        <f t="shared" si="279"/>
        <v>#VALUE!</v>
      </c>
      <c r="Q1851">
        <v>17.39</v>
      </c>
      <c r="R1851" s="154" t="e">
        <f t="shared" si="280"/>
        <v>#VALUE!</v>
      </c>
      <c r="S1851">
        <v>17.39</v>
      </c>
      <c r="T1851" s="154" t="e">
        <f t="shared" si="281"/>
        <v>#VALUE!</v>
      </c>
      <c r="U1851">
        <v>17.39</v>
      </c>
      <c r="V1851" s="154" t="e">
        <f t="shared" si="282"/>
        <v>#VALUE!</v>
      </c>
      <c r="W1851">
        <v>17.39</v>
      </c>
      <c r="X1851" s="157" t="e">
        <f t="shared" si="283"/>
        <v>#VALUE!</v>
      </c>
      <c r="Y1851">
        <v>17.39</v>
      </c>
      <c r="Z1851" s="154" t="e">
        <f t="shared" si="284"/>
        <v>#VALUE!</v>
      </c>
      <c r="AA1851">
        <v>17.39</v>
      </c>
      <c r="AB1851" s="154" t="e">
        <f t="shared" si="285"/>
        <v>#VALUE!</v>
      </c>
      <c r="AC1851">
        <v>17.39</v>
      </c>
      <c r="AD1851" s="154" t="e">
        <f t="shared" si="286"/>
        <v>#VALUE!</v>
      </c>
      <c r="AE1851">
        <v>17.39</v>
      </c>
    </row>
    <row r="1852" spans="12:31" ht="15" x14ac:dyDescent="0.2">
      <c r="L1852" s="154" t="e">
        <f t="shared" si="277"/>
        <v>#VALUE!</v>
      </c>
      <c r="M1852">
        <v>17.399999999999999</v>
      </c>
      <c r="N1852" s="154" t="e">
        <f t="shared" si="278"/>
        <v>#VALUE!</v>
      </c>
      <c r="O1852">
        <v>17.399999999999999</v>
      </c>
      <c r="P1852" s="154" t="e">
        <f t="shared" si="279"/>
        <v>#VALUE!</v>
      </c>
      <c r="Q1852">
        <v>17.399999999999999</v>
      </c>
      <c r="R1852" s="154" t="e">
        <f t="shared" si="280"/>
        <v>#VALUE!</v>
      </c>
      <c r="S1852">
        <v>17.399999999999999</v>
      </c>
      <c r="T1852" s="154" t="e">
        <f t="shared" si="281"/>
        <v>#VALUE!</v>
      </c>
      <c r="U1852">
        <v>17.399999999999999</v>
      </c>
      <c r="V1852" s="154" t="e">
        <f t="shared" si="282"/>
        <v>#VALUE!</v>
      </c>
      <c r="W1852">
        <v>17.399999999999999</v>
      </c>
      <c r="X1852" s="157" t="e">
        <f t="shared" si="283"/>
        <v>#VALUE!</v>
      </c>
      <c r="Y1852">
        <v>17.399999999999999</v>
      </c>
      <c r="Z1852" s="154" t="e">
        <f t="shared" si="284"/>
        <v>#VALUE!</v>
      </c>
      <c r="AA1852">
        <v>17.399999999999999</v>
      </c>
      <c r="AB1852" s="154" t="e">
        <f t="shared" si="285"/>
        <v>#VALUE!</v>
      </c>
      <c r="AC1852">
        <v>17.399999999999999</v>
      </c>
      <c r="AD1852" s="154" t="e">
        <f t="shared" si="286"/>
        <v>#VALUE!</v>
      </c>
      <c r="AE1852">
        <v>17.399999999999999</v>
      </c>
    </row>
    <row r="1853" spans="12:31" ht="15" x14ac:dyDescent="0.2">
      <c r="L1853" s="154" t="e">
        <f t="shared" si="277"/>
        <v>#VALUE!</v>
      </c>
      <c r="M1853">
        <v>17.41</v>
      </c>
      <c r="N1853" s="154" t="e">
        <f t="shared" si="278"/>
        <v>#VALUE!</v>
      </c>
      <c r="O1853">
        <v>17.41</v>
      </c>
      <c r="P1853" s="154" t="e">
        <f t="shared" si="279"/>
        <v>#VALUE!</v>
      </c>
      <c r="Q1853">
        <v>17.41</v>
      </c>
      <c r="R1853" s="154" t="e">
        <f t="shared" si="280"/>
        <v>#VALUE!</v>
      </c>
      <c r="S1853">
        <v>17.41</v>
      </c>
      <c r="T1853" s="154" t="e">
        <f t="shared" si="281"/>
        <v>#VALUE!</v>
      </c>
      <c r="U1853">
        <v>17.41</v>
      </c>
      <c r="V1853" s="154" t="e">
        <f t="shared" si="282"/>
        <v>#VALUE!</v>
      </c>
      <c r="W1853">
        <v>17.41</v>
      </c>
      <c r="X1853" s="157" t="e">
        <f t="shared" si="283"/>
        <v>#VALUE!</v>
      </c>
      <c r="Y1853">
        <v>17.41</v>
      </c>
      <c r="Z1853" s="154" t="e">
        <f t="shared" si="284"/>
        <v>#VALUE!</v>
      </c>
      <c r="AA1853">
        <v>17.41</v>
      </c>
      <c r="AB1853" s="154" t="e">
        <f t="shared" si="285"/>
        <v>#VALUE!</v>
      </c>
      <c r="AC1853">
        <v>17.41</v>
      </c>
      <c r="AD1853" s="154" t="e">
        <f t="shared" si="286"/>
        <v>#VALUE!</v>
      </c>
      <c r="AE1853">
        <v>17.41</v>
      </c>
    </row>
    <row r="1854" spans="12:31" ht="15" x14ac:dyDescent="0.2">
      <c r="L1854" s="154" t="e">
        <f t="shared" si="277"/>
        <v>#VALUE!</v>
      </c>
      <c r="M1854">
        <v>17.420000000000002</v>
      </c>
      <c r="N1854" s="154" t="e">
        <f t="shared" si="278"/>
        <v>#VALUE!</v>
      </c>
      <c r="O1854">
        <v>17.420000000000002</v>
      </c>
      <c r="P1854" s="154" t="e">
        <f t="shared" si="279"/>
        <v>#VALUE!</v>
      </c>
      <c r="Q1854">
        <v>17.420000000000002</v>
      </c>
      <c r="R1854" s="154" t="e">
        <f t="shared" si="280"/>
        <v>#VALUE!</v>
      </c>
      <c r="S1854">
        <v>17.420000000000002</v>
      </c>
      <c r="T1854" s="154" t="e">
        <f t="shared" si="281"/>
        <v>#VALUE!</v>
      </c>
      <c r="U1854">
        <v>17.420000000000002</v>
      </c>
      <c r="V1854" s="154" t="e">
        <f t="shared" si="282"/>
        <v>#VALUE!</v>
      </c>
      <c r="W1854">
        <v>17.420000000000002</v>
      </c>
      <c r="X1854" s="157" t="e">
        <f t="shared" si="283"/>
        <v>#VALUE!</v>
      </c>
      <c r="Y1854">
        <v>17.420000000000002</v>
      </c>
      <c r="Z1854" s="154" t="e">
        <f t="shared" si="284"/>
        <v>#VALUE!</v>
      </c>
      <c r="AA1854">
        <v>17.420000000000002</v>
      </c>
      <c r="AB1854" s="154" t="e">
        <f t="shared" si="285"/>
        <v>#VALUE!</v>
      </c>
      <c r="AC1854">
        <v>17.420000000000002</v>
      </c>
      <c r="AD1854" s="154" t="e">
        <f t="shared" si="286"/>
        <v>#VALUE!</v>
      </c>
      <c r="AE1854">
        <v>17.420000000000002</v>
      </c>
    </row>
    <row r="1855" spans="12:31" ht="15" x14ac:dyDescent="0.2">
      <c r="L1855" s="154" t="e">
        <f t="shared" si="277"/>
        <v>#VALUE!</v>
      </c>
      <c r="M1855">
        <v>17.43</v>
      </c>
      <c r="N1855" s="154" t="e">
        <f t="shared" si="278"/>
        <v>#VALUE!</v>
      </c>
      <c r="O1855">
        <v>17.43</v>
      </c>
      <c r="P1855" s="154" t="e">
        <f t="shared" si="279"/>
        <v>#VALUE!</v>
      </c>
      <c r="Q1855">
        <v>17.43</v>
      </c>
      <c r="R1855" s="154" t="e">
        <f t="shared" si="280"/>
        <v>#VALUE!</v>
      </c>
      <c r="S1855">
        <v>17.43</v>
      </c>
      <c r="T1855" s="154" t="e">
        <f t="shared" si="281"/>
        <v>#VALUE!</v>
      </c>
      <c r="U1855">
        <v>17.43</v>
      </c>
      <c r="V1855" s="154" t="e">
        <f t="shared" si="282"/>
        <v>#VALUE!</v>
      </c>
      <c r="W1855">
        <v>17.43</v>
      </c>
      <c r="X1855" s="157" t="e">
        <f t="shared" si="283"/>
        <v>#VALUE!</v>
      </c>
      <c r="Y1855">
        <v>17.43</v>
      </c>
      <c r="Z1855" s="154" t="e">
        <f t="shared" si="284"/>
        <v>#VALUE!</v>
      </c>
      <c r="AA1855">
        <v>17.43</v>
      </c>
      <c r="AB1855" s="154" t="e">
        <f t="shared" si="285"/>
        <v>#VALUE!</v>
      </c>
      <c r="AC1855">
        <v>17.43</v>
      </c>
      <c r="AD1855" s="154" t="e">
        <f t="shared" si="286"/>
        <v>#VALUE!</v>
      </c>
      <c r="AE1855">
        <v>17.43</v>
      </c>
    </row>
    <row r="1856" spans="12:31" ht="15" x14ac:dyDescent="0.2">
      <c r="L1856" s="154" t="e">
        <f t="shared" si="277"/>
        <v>#VALUE!</v>
      </c>
      <c r="M1856">
        <v>17.440000000000001</v>
      </c>
      <c r="N1856" s="154" t="e">
        <f t="shared" si="278"/>
        <v>#VALUE!</v>
      </c>
      <c r="O1856">
        <v>17.440000000000001</v>
      </c>
      <c r="P1856" s="154" t="e">
        <f t="shared" si="279"/>
        <v>#VALUE!</v>
      </c>
      <c r="Q1856">
        <v>17.440000000000001</v>
      </c>
      <c r="R1856" s="154" t="e">
        <f t="shared" si="280"/>
        <v>#VALUE!</v>
      </c>
      <c r="S1856">
        <v>17.440000000000001</v>
      </c>
      <c r="T1856" s="154" t="e">
        <f t="shared" si="281"/>
        <v>#VALUE!</v>
      </c>
      <c r="U1856">
        <v>17.440000000000001</v>
      </c>
      <c r="V1856" s="154" t="e">
        <f t="shared" si="282"/>
        <v>#VALUE!</v>
      </c>
      <c r="W1856">
        <v>17.440000000000001</v>
      </c>
      <c r="X1856" s="157" t="e">
        <f t="shared" si="283"/>
        <v>#VALUE!</v>
      </c>
      <c r="Y1856">
        <v>17.440000000000001</v>
      </c>
      <c r="Z1856" s="154" t="e">
        <f t="shared" si="284"/>
        <v>#VALUE!</v>
      </c>
      <c r="AA1856">
        <v>17.440000000000001</v>
      </c>
      <c r="AB1856" s="154" t="e">
        <f t="shared" si="285"/>
        <v>#VALUE!</v>
      </c>
      <c r="AC1856">
        <v>17.440000000000001</v>
      </c>
      <c r="AD1856" s="154" t="e">
        <f t="shared" si="286"/>
        <v>#VALUE!</v>
      </c>
      <c r="AE1856">
        <v>17.440000000000001</v>
      </c>
    </row>
    <row r="1857" spans="12:31" ht="15" x14ac:dyDescent="0.2">
      <c r="L1857" s="154" t="e">
        <f t="shared" si="277"/>
        <v>#VALUE!</v>
      </c>
      <c r="M1857">
        <v>17.45</v>
      </c>
      <c r="N1857" s="154" t="e">
        <f t="shared" si="278"/>
        <v>#VALUE!</v>
      </c>
      <c r="O1857">
        <v>17.45</v>
      </c>
      <c r="P1857" s="154" t="e">
        <f t="shared" si="279"/>
        <v>#VALUE!</v>
      </c>
      <c r="Q1857">
        <v>17.45</v>
      </c>
      <c r="R1857" s="154" t="e">
        <f t="shared" si="280"/>
        <v>#VALUE!</v>
      </c>
      <c r="S1857">
        <v>17.45</v>
      </c>
      <c r="T1857" s="154" t="e">
        <f t="shared" si="281"/>
        <v>#VALUE!</v>
      </c>
      <c r="U1857">
        <v>17.45</v>
      </c>
      <c r="V1857" s="154" t="e">
        <f t="shared" si="282"/>
        <v>#VALUE!</v>
      </c>
      <c r="W1857">
        <v>17.45</v>
      </c>
      <c r="X1857" s="157" t="e">
        <f t="shared" si="283"/>
        <v>#VALUE!</v>
      </c>
      <c r="Y1857">
        <v>17.45</v>
      </c>
      <c r="Z1857" s="154" t="e">
        <f t="shared" si="284"/>
        <v>#VALUE!</v>
      </c>
      <c r="AA1857">
        <v>17.45</v>
      </c>
      <c r="AB1857" s="154" t="e">
        <f t="shared" si="285"/>
        <v>#VALUE!</v>
      </c>
      <c r="AC1857">
        <v>17.45</v>
      </c>
      <c r="AD1857" s="154" t="e">
        <f t="shared" si="286"/>
        <v>#VALUE!</v>
      </c>
      <c r="AE1857">
        <v>17.45</v>
      </c>
    </row>
    <row r="1858" spans="12:31" ht="15" x14ac:dyDescent="0.2">
      <c r="L1858" s="154" t="e">
        <f t="shared" si="277"/>
        <v>#VALUE!</v>
      </c>
      <c r="M1858">
        <v>17.46</v>
      </c>
      <c r="N1858" s="154" t="e">
        <f t="shared" si="278"/>
        <v>#VALUE!</v>
      </c>
      <c r="O1858">
        <v>17.46</v>
      </c>
      <c r="P1858" s="154" t="e">
        <f t="shared" si="279"/>
        <v>#VALUE!</v>
      </c>
      <c r="Q1858">
        <v>17.46</v>
      </c>
      <c r="R1858" s="154" t="e">
        <f t="shared" si="280"/>
        <v>#VALUE!</v>
      </c>
      <c r="S1858">
        <v>17.46</v>
      </c>
      <c r="T1858" s="154" t="e">
        <f t="shared" si="281"/>
        <v>#VALUE!</v>
      </c>
      <c r="U1858">
        <v>17.46</v>
      </c>
      <c r="V1858" s="154" t="e">
        <f t="shared" si="282"/>
        <v>#VALUE!</v>
      </c>
      <c r="W1858">
        <v>17.46</v>
      </c>
      <c r="X1858" s="157" t="e">
        <f t="shared" si="283"/>
        <v>#VALUE!</v>
      </c>
      <c r="Y1858">
        <v>17.46</v>
      </c>
      <c r="Z1858" s="154" t="e">
        <f t="shared" si="284"/>
        <v>#VALUE!</v>
      </c>
      <c r="AA1858">
        <v>17.46</v>
      </c>
      <c r="AB1858" s="154" t="e">
        <f t="shared" si="285"/>
        <v>#VALUE!</v>
      </c>
      <c r="AC1858">
        <v>17.46</v>
      </c>
      <c r="AD1858" s="154" t="e">
        <f t="shared" si="286"/>
        <v>#VALUE!</v>
      </c>
      <c r="AE1858">
        <v>17.46</v>
      </c>
    </row>
    <row r="1859" spans="12:31" ht="15" x14ac:dyDescent="0.2">
      <c r="L1859" s="154" t="e">
        <f t="shared" si="277"/>
        <v>#VALUE!</v>
      </c>
      <c r="M1859">
        <v>17.47</v>
      </c>
      <c r="N1859" s="154" t="e">
        <f t="shared" si="278"/>
        <v>#VALUE!</v>
      </c>
      <c r="O1859">
        <v>17.47</v>
      </c>
      <c r="P1859" s="154" t="e">
        <f t="shared" si="279"/>
        <v>#VALUE!</v>
      </c>
      <c r="Q1859">
        <v>17.47</v>
      </c>
      <c r="R1859" s="154" t="e">
        <f t="shared" si="280"/>
        <v>#VALUE!</v>
      </c>
      <c r="S1859">
        <v>17.47</v>
      </c>
      <c r="T1859" s="154" t="e">
        <f t="shared" si="281"/>
        <v>#VALUE!</v>
      </c>
      <c r="U1859">
        <v>17.47</v>
      </c>
      <c r="V1859" s="154" t="e">
        <f t="shared" si="282"/>
        <v>#VALUE!</v>
      </c>
      <c r="W1859">
        <v>17.47</v>
      </c>
      <c r="X1859" s="157" t="e">
        <f t="shared" si="283"/>
        <v>#VALUE!</v>
      </c>
      <c r="Y1859">
        <v>17.47</v>
      </c>
      <c r="Z1859" s="154" t="e">
        <f t="shared" si="284"/>
        <v>#VALUE!</v>
      </c>
      <c r="AA1859">
        <v>17.47</v>
      </c>
      <c r="AB1859" s="154" t="e">
        <f t="shared" si="285"/>
        <v>#VALUE!</v>
      </c>
      <c r="AC1859">
        <v>17.47</v>
      </c>
      <c r="AD1859" s="154" t="e">
        <f t="shared" si="286"/>
        <v>#VALUE!</v>
      </c>
      <c r="AE1859">
        <v>17.47</v>
      </c>
    </row>
    <row r="1860" spans="12:31" ht="15" x14ac:dyDescent="0.2">
      <c r="L1860" s="154" t="e">
        <f t="shared" si="277"/>
        <v>#VALUE!</v>
      </c>
      <c r="M1860">
        <v>17.48</v>
      </c>
      <c r="N1860" s="154" t="e">
        <f t="shared" si="278"/>
        <v>#VALUE!</v>
      </c>
      <c r="O1860">
        <v>17.48</v>
      </c>
      <c r="P1860" s="154" t="e">
        <f t="shared" si="279"/>
        <v>#VALUE!</v>
      </c>
      <c r="Q1860">
        <v>17.48</v>
      </c>
      <c r="R1860" s="154" t="e">
        <f t="shared" si="280"/>
        <v>#VALUE!</v>
      </c>
      <c r="S1860">
        <v>17.48</v>
      </c>
      <c r="T1860" s="154" t="e">
        <f t="shared" si="281"/>
        <v>#VALUE!</v>
      </c>
      <c r="U1860">
        <v>17.48</v>
      </c>
      <c r="V1860" s="154" t="e">
        <f t="shared" si="282"/>
        <v>#VALUE!</v>
      </c>
      <c r="W1860">
        <v>17.48</v>
      </c>
      <c r="X1860" s="157" t="e">
        <f t="shared" si="283"/>
        <v>#VALUE!</v>
      </c>
      <c r="Y1860">
        <v>17.48</v>
      </c>
      <c r="Z1860" s="154" t="e">
        <f t="shared" si="284"/>
        <v>#VALUE!</v>
      </c>
      <c r="AA1860">
        <v>17.48</v>
      </c>
      <c r="AB1860" s="154" t="e">
        <f t="shared" si="285"/>
        <v>#VALUE!</v>
      </c>
      <c r="AC1860">
        <v>17.48</v>
      </c>
      <c r="AD1860" s="154" t="e">
        <f t="shared" si="286"/>
        <v>#VALUE!</v>
      </c>
      <c r="AE1860">
        <v>17.48</v>
      </c>
    </row>
    <row r="1861" spans="12:31" ht="15" x14ac:dyDescent="0.2">
      <c r="L1861" s="154" t="e">
        <f t="shared" si="277"/>
        <v>#VALUE!</v>
      </c>
      <c r="M1861">
        <v>17.489999999999998</v>
      </c>
      <c r="N1861" s="154" t="e">
        <f t="shared" si="278"/>
        <v>#VALUE!</v>
      </c>
      <c r="O1861">
        <v>17.489999999999998</v>
      </c>
      <c r="P1861" s="154" t="e">
        <f t="shared" si="279"/>
        <v>#VALUE!</v>
      </c>
      <c r="Q1861">
        <v>17.489999999999998</v>
      </c>
      <c r="R1861" s="154" t="e">
        <f t="shared" si="280"/>
        <v>#VALUE!</v>
      </c>
      <c r="S1861">
        <v>17.489999999999998</v>
      </c>
      <c r="T1861" s="154" t="e">
        <f t="shared" si="281"/>
        <v>#VALUE!</v>
      </c>
      <c r="U1861">
        <v>17.489999999999998</v>
      </c>
      <c r="V1861" s="154" t="e">
        <f t="shared" si="282"/>
        <v>#VALUE!</v>
      </c>
      <c r="W1861">
        <v>17.489999999999998</v>
      </c>
      <c r="X1861" s="157" t="e">
        <f t="shared" si="283"/>
        <v>#VALUE!</v>
      </c>
      <c r="Y1861">
        <v>17.489999999999998</v>
      </c>
      <c r="Z1861" s="154" t="e">
        <f t="shared" si="284"/>
        <v>#VALUE!</v>
      </c>
      <c r="AA1861">
        <v>17.489999999999998</v>
      </c>
      <c r="AB1861" s="154" t="e">
        <f t="shared" si="285"/>
        <v>#VALUE!</v>
      </c>
      <c r="AC1861">
        <v>17.489999999999998</v>
      </c>
      <c r="AD1861" s="154" t="e">
        <f t="shared" si="286"/>
        <v>#VALUE!</v>
      </c>
      <c r="AE1861">
        <v>17.489999999999998</v>
      </c>
    </row>
    <row r="1862" spans="12:31" ht="15" x14ac:dyDescent="0.2">
      <c r="L1862" s="154" t="e">
        <f t="shared" si="277"/>
        <v>#VALUE!</v>
      </c>
      <c r="M1862">
        <v>17.5</v>
      </c>
      <c r="N1862" s="154" t="e">
        <f t="shared" si="278"/>
        <v>#VALUE!</v>
      </c>
      <c r="O1862">
        <v>17.5</v>
      </c>
      <c r="P1862" s="154" t="e">
        <f t="shared" si="279"/>
        <v>#VALUE!</v>
      </c>
      <c r="Q1862">
        <v>17.5</v>
      </c>
      <c r="R1862" s="154" t="e">
        <f t="shared" si="280"/>
        <v>#VALUE!</v>
      </c>
      <c r="S1862">
        <v>17.5</v>
      </c>
      <c r="T1862" s="154" t="e">
        <f t="shared" si="281"/>
        <v>#VALUE!</v>
      </c>
      <c r="U1862">
        <v>17.5</v>
      </c>
      <c r="V1862" s="154" t="e">
        <f t="shared" si="282"/>
        <v>#VALUE!</v>
      </c>
      <c r="W1862">
        <v>17.5</v>
      </c>
      <c r="X1862" s="157" t="e">
        <f t="shared" si="283"/>
        <v>#VALUE!</v>
      </c>
      <c r="Y1862">
        <v>17.5</v>
      </c>
      <c r="Z1862" s="154" t="e">
        <f t="shared" si="284"/>
        <v>#VALUE!</v>
      </c>
      <c r="AA1862">
        <v>17.5</v>
      </c>
      <c r="AB1862" s="154" t="e">
        <f t="shared" si="285"/>
        <v>#VALUE!</v>
      </c>
      <c r="AC1862">
        <v>17.5</v>
      </c>
      <c r="AD1862" s="154" t="e">
        <f t="shared" si="286"/>
        <v>#VALUE!</v>
      </c>
      <c r="AE1862">
        <v>17.5</v>
      </c>
    </row>
    <row r="1863" spans="12:31" ht="15" x14ac:dyDescent="0.2">
      <c r="L1863" s="154" t="e">
        <f t="shared" si="277"/>
        <v>#VALUE!</v>
      </c>
      <c r="M1863">
        <v>17.510000000000002</v>
      </c>
      <c r="N1863" s="154" t="e">
        <f t="shared" si="278"/>
        <v>#VALUE!</v>
      </c>
      <c r="O1863">
        <v>17.510000000000002</v>
      </c>
      <c r="P1863" s="154" t="e">
        <f t="shared" si="279"/>
        <v>#VALUE!</v>
      </c>
      <c r="Q1863">
        <v>17.510000000000002</v>
      </c>
      <c r="R1863" s="154" t="e">
        <f t="shared" si="280"/>
        <v>#VALUE!</v>
      </c>
      <c r="S1863">
        <v>17.510000000000002</v>
      </c>
      <c r="T1863" s="154" t="e">
        <f t="shared" si="281"/>
        <v>#VALUE!</v>
      </c>
      <c r="U1863">
        <v>17.510000000000002</v>
      </c>
      <c r="V1863" s="154" t="e">
        <f t="shared" si="282"/>
        <v>#VALUE!</v>
      </c>
      <c r="W1863">
        <v>17.510000000000002</v>
      </c>
      <c r="X1863" s="157" t="e">
        <f t="shared" si="283"/>
        <v>#VALUE!</v>
      </c>
      <c r="Y1863">
        <v>17.510000000000002</v>
      </c>
      <c r="Z1863" s="154" t="e">
        <f t="shared" si="284"/>
        <v>#VALUE!</v>
      </c>
      <c r="AA1863">
        <v>17.510000000000002</v>
      </c>
      <c r="AB1863" s="154" t="e">
        <f t="shared" si="285"/>
        <v>#VALUE!</v>
      </c>
      <c r="AC1863">
        <v>17.510000000000002</v>
      </c>
      <c r="AD1863" s="154" t="e">
        <f t="shared" si="286"/>
        <v>#VALUE!</v>
      </c>
      <c r="AE1863">
        <v>17.510000000000002</v>
      </c>
    </row>
    <row r="1864" spans="12:31" ht="15" x14ac:dyDescent="0.2">
      <c r="L1864" s="154" t="e">
        <f t="shared" si="277"/>
        <v>#VALUE!</v>
      </c>
      <c r="M1864">
        <v>17.52</v>
      </c>
      <c r="N1864" s="154" t="e">
        <f t="shared" si="278"/>
        <v>#VALUE!</v>
      </c>
      <c r="O1864">
        <v>17.52</v>
      </c>
      <c r="P1864" s="154" t="e">
        <f t="shared" si="279"/>
        <v>#VALUE!</v>
      </c>
      <c r="Q1864">
        <v>17.52</v>
      </c>
      <c r="R1864" s="154" t="e">
        <f t="shared" si="280"/>
        <v>#VALUE!</v>
      </c>
      <c r="S1864">
        <v>17.52</v>
      </c>
      <c r="T1864" s="154" t="e">
        <f t="shared" si="281"/>
        <v>#VALUE!</v>
      </c>
      <c r="U1864">
        <v>17.52</v>
      </c>
      <c r="V1864" s="154" t="e">
        <f t="shared" si="282"/>
        <v>#VALUE!</v>
      </c>
      <c r="W1864">
        <v>17.52</v>
      </c>
      <c r="X1864" s="157" t="e">
        <f t="shared" si="283"/>
        <v>#VALUE!</v>
      </c>
      <c r="Y1864">
        <v>17.52</v>
      </c>
      <c r="Z1864" s="154" t="e">
        <f t="shared" si="284"/>
        <v>#VALUE!</v>
      </c>
      <c r="AA1864">
        <v>17.52</v>
      </c>
      <c r="AB1864" s="154" t="e">
        <f t="shared" si="285"/>
        <v>#VALUE!</v>
      </c>
      <c r="AC1864">
        <v>17.52</v>
      </c>
      <c r="AD1864" s="154" t="e">
        <f t="shared" si="286"/>
        <v>#VALUE!</v>
      </c>
      <c r="AE1864">
        <v>17.52</v>
      </c>
    </row>
    <row r="1865" spans="12:31" ht="15" x14ac:dyDescent="0.2">
      <c r="L1865" s="154" t="e">
        <f t="shared" si="277"/>
        <v>#VALUE!</v>
      </c>
      <c r="M1865">
        <v>17.53</v>
      </c>
      <c r="N1865" s="154" t="e">
        <f t="shared" si="278"/>
        <v>#VALUE!</v>
      </c>
      <c r="O1865">
        <v>17.53</v>
      </c>
      <c r="P1865" s="154" t="e">
        <f t="shared" si="279"/>
        <v>#VALUE!</v>
      </c>
      <c r="Q1865">
        <v>17.53</v>
      </c>
      <c r="R1865" s="154" t="e">
        <f t="shared" si="280"/>
        <v>#VALUE!</v>
      </c>
      <c r="S1865">
        <v>17.53</v>
      </c>
      <c r="T1865" s="154" t="e">
        <f t="shared" si="281"/>
        <v>#VALUE!</v>
      </c>
      <c r="U1865">
        <v>17.53</v>
      </c>
      <c r="V1865" s="154" t="e">
        <f t="shared" si="282"/>
        <v>#VALUE!</v>
      </c>
      <c r="W1865">
        <v>17.53</v>
      </c>
      <c r="X1865" s="157" t="e">
        <f t="shared" si="283"/>
        <v>#VALUE!</v>
      </c>
      <c r="Y1865">
        <v>17.53</v>
      </c>
      <c r="Z1865" s="154" t="e">
        <f t="shared" si="284"/>
        <v>#VALUE!</v>
      </c>
      <c r="AA1865">
        <v>17.53</v>
      </c>
      <c r="AB1865" s="154" t="e">
        <f t="shared" si="285"/>
        <v>#VALUE!</v>
      </c>
      <c r="AC1865">
        <v>17.53</v>
      </c>
      <c r="AD1865" s="154" t="e">
        <f t="shared" si="286"/>
        <v>#VALUE!</v>
      </c>
      <c r="AE1865">
        <v>17.53</v>
      </c>
    </row>
    <row r="1866" spans="12:31" ht="15" x14ac:dyDescent="0.2">
      <c r="L1866" s="154" t="e">
        <f t="shared" si="277"/>
        <v>#VALUE!</v>
      </c>
      <c r="M1866">
        <v>17.54</v>
      </c>
      <c r="N1866" s="154" t="e">
        <f t="shared" si="278"/>
        <v>#VALUE!</v>
      </c>
      <c r="O1866">
        <v>17.54</v>
      </c>
      <c r="P1866" s="154" t="e">
        <f t="shared" si="279"/>
        <v>#VALUE!</v>
      </c>
      <c r="Q1866">
        <v>17.54</v>
      </c>
      <c r="R1866" s="154" t="e">
        <f t="shared" si="280"/>
        <v>#VALUE!</v>
      </c>
      <c r="S1866">
        <v>17.54</v>
      </c>
      <c r="T1866" s="154" t="e">
        <f t="shared" si="281"/>
        <v>#VALUE!</v>
      </c>
      <c r="U1866">
        <v>17.54</v>
      </c>
      <c r="V1866" s="154" t="e">
        <f t="shared" si="282"/>
        <v>#VALUE!</v>
      </c>
      <c r="W1866">
        <v>17.54</v>
      </c>
      <c r="X1866" s="157" t="e">
        <f t="shared" si="283"/>
        <v>#VALUE!</v>
      </c>
      <c r="Y1866">
        <v>17.54</v>
      </c>
      <c r="Z1866" s="154" t="e">
        <f t="shared" si="284"/>
        <v>#VALUE!</v>
      </c>
      <c r="AA1866">
        <v>17.54</v>
      </c>
      <c r="AB1866" s="154" t="e">
        <f t="shared" si="285"/>
        <v>#VALUE!</v>
      </c>
      <c r="AC1866">
        <v>17.54</v>
      </c>
      <c r="AD1866" s="154" t="e">
        <f t="shared" si="286"/>
        <v>#VALUE!</v>
      </c>
      <c r="AE1866">
        <v>17.54</v>
      </c>
    </row>
    <row r="1867" spans="12:31" ht="15" x14ac:dyDescent="0.2">
      <c r="L1867" s="154" t="e">
        <f t="shared" si="277"/>
        <v>#VALUE!</v>
      </c>
      <c r="M1867">
        <v>17.55</v>
      </c>
      <c r="N1867" s="154" t="e">
        <f t="shared" si="278"/>
        <v>#VALUE!</v>
      </c>
      <c r="O1867">
        <v>17.55</v>
      </c>
      <c r="P1867" s="154" t="e">
        <f t="shared" si="279"/>
        <v>#VALUE!</v>
      </c>
      <c r="Q1867">
        <v>17.55</v>
      </c>
      <c r="R1867" s="154" t="e">
        <f t="shared" si="280"/>
        <v>#VALUE!</v>
      </c>
      <c r="S1867">
        <v>17.55</v>
      </c>
      <c r="T1867" s="154" t="e">
        <f t="shared" si="281"/>
        <v>#VALUE!</v>
      </c>
      <c r="U1867">
        <v>17.55</v>
      </c>
      <c r="V1867" s="154" t="e">
        <f t="shared" si="282"/>
        <v>#VALUE!</v>
      </c>
      <c r="W1867">
        <v>17.55</v>
      </c>
      <c r="X1867" s="157" t="e">
        <f t="shared" si="283"/>
        <v>#VALUE!</v>
      </c>
      <c r="Y1867">
        <v>17.55</v>
      </c>
      <c r="Z1867" s="154" t="e">
        <f t="shared" si="284"/>
        <v>#VALUE!</v>
      </c>
      <c r="AA1867">
        <v>17.55</v>
      </c>
      <c r="AB1867" s="154" t="e">
        <f t="shared" si="285"/>
        <v>#VALUE!</v>
      </c>
      <c r="AC1867">
        <v>17.55</v>
      </c>
      <c r="AD1867" s="154" t="e">
        <f t="shared" si="286"/>
        <v>#VALUE!</v>
      </c>
      <c r="AE1867">
        <v>17.55</v>
      </c>
    </row>
    <row r="1868" spans="12:31" ht="15" x14ac:dyDescent="0.2">
      <c r="L1868" s="154" t="e">
        <f t="shared" si="277"/>
        <v>#VALUE!</v>
      </c>
      <c r="M1868">
        <v>17.559999999999999</v>
      </c>
      <c r="N1868" s="154" t="e">
        <f t="shared" si="278"/>
        <v>#VALUE!</v>
      </c>
      <c r="O1868">
        <v>17.559999999999999</v>
      </c>
      <c r="P1868" s="154" t="e">
        <f t="shared" si="279"/>
        <v>#VALUE!</v>
      </c>
      <c r="Q1868">
        <v>17.559999999999999</v>
      </c>
      <c r="R1868" s="154" t="e">
        <f t="shared" si="280"/>
        <v>#VALUE!</v>
      </c>
      <c r="S1868">
        <v>17.559999999999999</v>
      </c>
      <c r="T1868" s="154" t="e">
        <f t="shared" si="281"/>
        <v>#VALUE!</v>
      </c>
      <c r="U1868">
        <v>17.559999999999999</v>
      </c>
      <c r="V1868" s="154" t="e">
        <f t="shared" si="282"/>
        <v>#VALUE!</v>
      </c>
      <c r="W1868">
        <v>17.559999999999999</v>
      </c>
      <c r="X1868" s="157" t="e">
        <f t="shared" si="283"/>
        <v>#VALUE!</v>
      </c>
      <c r="Y1868">
        <v>17.559999999999999</v>
      </c>
      <c r="Z1868" s="154" t="e">
        <f t="shared" si="284"/>
        <v>#VALUE!</v>
      </c>
      <c r="AA1868">
        <v>17.559999999999999</v>
      </c>
      <c r="AB1868" s="154" t="e">
        <f t="shared" si="285"/>
        <v>#VALUE!</v>
      </c>
      <c r="AC1868">
        <v>17.559999999999999</v>
      </c>
      <c r="AD1868" s="154" t="e">
        <f t="shared" si="286"/>
        <v>#VALUE!</v>
      </c>
      <c r="AE1868">
        <v>17.559999999999999</v>
      </c>
    </row>
    <row r="1869" spans="12:31" ht="15" x14ac:dyDescent="0.2">
      <c r="L1869" s="154" t="e">
        <f t="shared" si="277"/>
        <v>#VALUE!</v>
      </c>
      <c r="M1869">
        <v>17.57</v>
      </c>
      <c r="N1869" s="154" t="e">
        <f t="shared" si="278"/>
        <v>#VALUE!</v>
      </c>
      <c r="O1869">
        <v>17.57</v>
      </c>
      <c r="P1869" s="154" t="e">
        <f t="shared" si="279"/>
        <v>#VALUE!</v>
      </c>
      <c r="Q1869">
        <v>17.57</v>
      </c>
      <c r="R1869" s="154" t="e">
        <f t="shared" si="280"/>
        <v>#VALUE!</v>
      </c>
      <c r="S1869">
        <v>17.57</v>
      </c>
      <c r="T1869" s="154" t="e">
        <f t="shared" si="281"/>
        <v>#VALUE!</v>
      </c>
      <c r="U1869">
        <v>17.57</v>
      </c>
      <c r="V1869" s="154" t="e">
        <f t="shared" si="282"/>
        <v>#VALUE!</v>
      </c>
      <c r="W1869">
        <v>17.57</v>
      </c>
      <c r="X1869" s="157" t="e">
        <f t="shared" si="283"/>
        <v>#VALUE!</v>
      </c>
      <c r="Y1869">
        <v>17.57</v>
      </c>
      <c r="Z1869" s="154" t="e">
        <f t="shared" si="284"/>
        <v>#VALUE!</v>
      </c>
      <c r="AA1869">
        <v>17.57</v>
      </c>
      <c r="AB1869" s="154" t="e">
        <f t="shared" si="285"/>
        <v>#VALUE!</v>
      </c>
      <c r="AC1869">
        <v>17.57</v>
      </c>
      <c r="AD1869" s="154" t="e">
        <f t="shared" si="286"/>
        <v>#VALUE!</v>
      </c>
      <c r="AE1869">
        <v>17.57</v>
      </c>
    </row>
    <row r="1870" spans="12:31" ht="15" x14ac:dyDescent="0.2">
      <c r="L1870" s="154" t="e">
        <f t="shared" si="277"/>
        <v>#VALUE!</v>
      </c>
      <c r="M1870">
        <v>17.579999999999998</v>
      </c>
      <c r="N1870" s="154" t="e">
        <f t="shared" si="278"/>
        <v>#VALUE!</v>
      </c>
      <c r="O1870">
        <v>17.579999999999998</v>
      </c>
      <c r="P1870" s="154" t="e">
        <f t="shared" si="279"/>
        <v>#VALUE!</v>
      </c>
      <c r="Q1870">
        <v>17.579999999999998</v>
      </c>
      <c r="R1870" s="154" t="e">
        <f t="shared" si="280"/>
        <v>#VALUE!</v>
      </c>
      <c r="S1870">
        <v>17.579999999999998</v>
      </c>
      <c r="T1870" s="154" t="e">
        <f t="shared" si="281"/>
        <v>#VALUE!</v>
      </c>
      <c r="U1870">
        <v>17.579999999999998</v>
      </c>
      <c r="V1870" s="154" t="e">
        <f t="shared" si="282"/>
        <v>#VALUE!</v>
      </c>
      <c r="W1870">
        <v>17.579999999999998</v>
      </c>
      <c r="X1870" s="157" t="e">
        <f t="shared" si="283"/>
        <v>#VALUE!</v>
      </c>
      <c r="Y1870">
        <v>17.579999999999998</v>
      </c>
      <c r="Z1870" s="154" t="e">
        <f t="shared" si="284"/>
        <v>#VALUE!</v>
      </c>
      <c r="AA1870">
        <v>17.579999999999998</v>
      </c>
      <c r="AB1870" s="154" t="e">
        <f t="shared" si="285"/>
        <v>#VALUE!</v>
      </c>
      <c r="AC1870">
        <v>17.579999999999998</v>
      </c>
      <c r="AD1870" s="154" t="e">
        <f t="shared" si="286"/>
        <v>#VALUE!</v>
      </c>
      <c r="AE1870">
        <v>17.579999999999998</v>
      </c>
    </row>
    <row r="1871" spans="12:31" ht="15" x14ac:dyDescent="0.2">
      <c r="L1871" s="154" t="e">
        <f t="shared" si="277"/>
        <v>#VALUE!</v>
      </c>
      <c r="M1871">
        <v>17.59</v>
      </c>
      <c r="N1871" s="154" t="e">
        <f t="shared" si="278"/>
        <v>#VALUE!</v>
      </c>
      <c r="O1871">
        <v>17.59</v>
      </c>
      <c r="P1871" s="154" t="e">
        <f t="shared" si="279"/>
        <v>#VALUE!</v>
      </c>
      <c r="Q1871">
        <v>17.59</v>
      </c>
      <c r="R1871" s="154" t="e">
        <f t="shared" si="280"/>
        <v>#VALUE!</v>
      </c>
      <c r="S1871">
        <v>17.59</v>
      </c>
      <c r="T1871" s="154" t="e">
        <f t="shared" si="281"/>
        <v>#VALUE!</v>
      </c>
      <c r="U1871">
        <v>17.59</v>
      </c>
      <c r="V1871" s="154" t="e">
        <f t="shared" si="282"/>
        <v>#VALUE!</v>
      </c>
      <c r="W1871">
        <v>17.59</v>
      </c>
      <c r="X1871" s="157" t="e">
        <f t="shared" si="283"/>
        <v>#VALUE!</v>
      </c>
      <c r="Y1871">
        <v>17.59</v>
      </c>
      <c r="Z1871" s="154" t="e">
        <f t="shared" si="284"/>
        <v>#VALUE!</v>
      </c>
      <c r="AA1871">
        <v>17.59</v>
      </c>
      <c r="AB1871" s="154" t="e">
        <f t="shared" si="285"/>
        <v>#VALUE!</v>
      </c>
      <c r="AC1871">
        <v>17.59</v>
      </c>
      <c r="AD1871" s="154" t="e">
        <f t="shared" si="286"/>
        <v>#VALUE!</v>
      </c>
      <c r="AE1871">
        <v>17.59</v>
      </c>
    </row>
    <row r="1872" spans="12:31" ht="15" x14ac:dyDescent="0.2">
      <c r="L1872" s="154" t="e">
        <f t="shared" si="277"/>
        <v>#VALUE!</v>
      </c>
      <c r="M1872">
        <v>17.600000000000001</v>
      </c>
      <c r="N1872" s="154" t="e">
        <f t="shared" si="278"/>
        <v>#VALUE!</v>
      </c>
      <c r="O1872">
        <v>17.600000000000001</v>
      </c>
      <c r="P1872" s="154" t="e">
        <f t="shared" si="279"/>
        <v>#VALUE!</v>
      </c>
      <c r="Q1872">
        <v>17.600000000000001</v>
      </c>
      <c r="R1872" s="154" t="e">
        <f t="shared" si="280"/>
        <v>#VALUE!</v>
      </c>
      <c r="S1872">
        <v>17.600000000000001</v>
      </c>
      <c r="T1872" s="154" t="e">
        <f t="shared" si="281"/>
        <v>#VALUE!</v>
      </c>
      <c r="U1872">
        <v>17.600000000000001</v>
      </c>
      <c r="V1872" s="154" t="e">
        <f t="shared" si="282"/>
        <v>#VALUE!</v>
      </c>
      <c r="W1872">
        <v>17.600000000000001</v>
      </c>
      <c r="X1872" s="157" t="e">
        <f t="shared" si="283"/>
        <v>#VALUE!</v>
      </c>
      <c r="Y1872">
        <v>17.600000000000001</v>
      </c>
      <c r="Z1872" s="154" t="e">
        <f t="shared" si="284"/>
        <v>#VALUE!</v>
      </c>
      <c r="AA1872">
        <v>17.600000000000001</v>
      </c>
      <c r="AB1872" s="154" t="e">
        <f t="shared" si="285"/>
        <v>#VALUE!</v>
      </c>
      <c r="AC1872">
        <v>17.600000000000001</v>
      </c>
      <c r="AD1872" s="154" t="e">
        <f t="shared" si="286"/>
        <v>#VALUE!</v>
      </c>
      <c r="AE1872">
        <v>17.600000000000001</v>
      </c>
    </row>
    <row r="1873" spans="12:31" ht="15" x14ac:dyDescent="0.2">
      <c r="L1873" s="154" t="e">
        <f t="shared" si="277"/>
        <v>#VALUE!</v>
      </c>
      <c r="M1873">
        <v>17.61</v>
      </c>
      <c r="N1873" s="154" t="e">
        <f t="shared" si="278"/>
        <v>#VALUE!</v>
      </c>
      <c r="O1873">
        <v>17.61</v>
      </c>
      <c r="P1873" s="154" t="e">
        <f t="shared" si="279"/>
        <v>#VALUE!</v>
      </c>
      <c r="Q1873">
        <v>17.61</v>
      </c>
      <c r="R1873" s="154" t="e">
        <f t="shared" si="280"/>
        <v>#VALUE!</v>
      </c>
      <c r="S1873">
        <v>17.61</v>
      </c>
      <c r="T1873" s="154" t="e">
        <f t="shared" si="281"/>
        <v>#VALUE!</v>
      </c>
      <c r="U1873">
        <v>17.61</v>
      </c>
      <c r="V1873" s="154" t="e">
        <f t="shared" si="282"/>
        <v>#VALUE!</v>
      </c>
      <c r="W1873">
        <v>17.61</v>
      </c>
      <c r="X1873" s="157" t="e">
        <f t="shared" si="283"/>
        <v>#VALUE!</v>
      </c>
      <c r="Y1873">
        <v>17.61</v>
      </c>
      <c r="Z1873" s="154" t="e">
        <f t="shared" si="284"/>
        <v>#VALUE!</v>
      </c>
      <c r="AA1873">
        <v>17.61</v>
      </c>
      <c r="AB1873" s="154" t="e">
        <f t="shared" si="285"/>
        <v>#VALUE!</v>
      </c>
      <c r="AC1873">
        <v>17.61</v>
      </c>
      <c r="AD1873" s="154" t="e">
        <f t="shared" si="286"/>
        <v>#VALUE!</v>
      </c>
      <c r="AE1873">
        <v>17.61</v>
      </c>
    </row>
    <row r="1874" spans="12:31" ht="15" x14ac:dyDescent="0.2">
      <c r="L1874" s="154" t="e">
        <f t="shared" si="277"/>
        <v>#VALUE!</v>
      </c>
      <c r="M1874">
        <v>17.62</v>
      </c>
      <c r="N1874" s="154" t="e">
        <f t="shared" si="278"/>
        <v>#VALUE!</v>
      </c>
      <c r="O1874">
        <v>17.62</v>
      </c>
      <c r="P1874" s="154" t="e">
        <f t="shared" si="279"/>
        <v>#VALUE!</v>
      </c>
      <c r="Q1874">
        <v>17.62</v>
      </c>
      <c r="R1874" s="154" t="e">
        <f t="shared" si="280"/>
        <v>#VALUE!</v>
      </c>
      <c r="S1874">
        <v>17.62</v>
      </c>
      <c r="T1874" s="154" t="e">
        <f t="shared" si="281"/>
        <v>#VALUE!</v>
      </c>
      <c r="U1874">
        <v>17.62</v>
      </c>
      <c r="V1874" s="154" t="e">
        <f t="shared" si="282"/>
        <v>#VALUE!</v>
      </c>
      <c r="W1874">
        <v>17.62</v>
      </c>
      <c r="X1874" s="157" t="e">
        <f t="shared" si="283"/>
        <v>#VALUE!</v>
      </c>
      <c r="Y1874">
        <v>17.62</v>
      </c>
      <c r="Z1874" s="154" t="e">
        <f t="shared" si="284"/>
        <v>#VALUE!</v>
      </c>
      <c r="AA1874">
        <v>17.62</v>
      </c>
      <c r="AB1874" s="154" t="e">
        <f t="shared" si="285"/>
        <v>#VALUE!</v>
      </c>
      <c r="AC1874">
        <v>17.62</v>
      </c>
      <c r="AD1874" s="154" t="e">
        <f t="shared" si="286"/>
        <v>#VALUE!</v>
      </c>
      <c r="AE1874">
        <v>17.62</v>
      </c>
    </row>
    <row r="1875" spans="12:31" ht="15" x14ac:dyDescent="0.2">
      <c r="L1875" s="154" t="e">
        <f t="shared" si="277"/>
        <v>#VALUE!</v>
      </c>
      <c r="M1875">
        <v>17.63</v>
      </c>
      <c r="N1875" s="154" t="e">
        <f t="shared" si="278"/>
        <v>#VALUE!</v>
      </c>
      <c r="O1875">
        <v>17.63</v>
      </c>
      <c r="P1875" s="154" t="e">
        <f t="shared" si="279"/>
        <v>#VALUE!</v>
      </c>
      <c r="Q1875">
        <v>17.63</v>
      </c>
      <c r="R1875" s="154" t="e">
        <f t="shared" si="280"/>
        <v>#VALUE!</v>
      </c>
      <c r="S1875">
        <v>17.63</v>
      </c>
      <c r="T1875" s="154" t="e">
        <f t="shared" si="281"/>
        <v>#VALUE!</v>
      </c>
      <c r="U1875">
        <v>17.63</v>
      </c>
      <c r="V1875" s="154" t="e">
        <f t="shared" si="282"/>
        <v>#VALUE!</v>
      </c>
      <c r="W1875">
        <v>17.63</v>
      </c>
      <c r="X1875" s="157" t="e">
        <f t="shared" si="283"/>
        <v>#VALUE!</v>
      </c>
      <c r="Y1875">
        <v>17.63</v>
      </c>
      <c r="Z1875" s="154" t="e">
        <f t="shared" si="284"/>
        <v>#VALUE!</v>
      </c>
      <c r="AA1875">
        <v>17.63</v>
      </c>
      <c r="AB1875" s="154" t="e">
        <f t="shared" si="285"/>
        <v>#VALUE!</v>
      </c>
      <c r="AC1875">
        <v>17.63</v>
      </c>
      <c r="AD1875" s="154" t="e">
        <f t="shared" si="286"/>
        <v>#VALUE!</v>
      </c>
      <c r="AE1875">
        <v>17.63</v>
      </c>
    </row>
    <row r="1876" spans="12:31" ht="15" x14ac:dyDescent="0.2">
      <c r="L1876" s="154" t="e">
        <f t="shared" si="277"/>
        <v>#VALUE!</v>
      </c>
      <c r="M1876">
        <v>17.64</v>
      </c>
      <c r="N1876" s="154" t="e">
        <f t="shared" si="278"/>
        <v>#VALUE!</v>
      </c>
      <c r="O1876">
        <v>17.64</v>
      </c>
      <c r="P1876" s="154" t="e">
        <f t="shared" si="279"/>
        <v>#VALUE!</v>
      </c>
      <c r="Q1876">
        <v>17.64</v>
      </c>
      <c r="R1876" s="154" t="e">
        <f t="shared" si="280"/>
        <v>#VALUE!</v>
      </c>
      <c r="S1876">
        <v>17.64</v>
      </c>
      <c r="T1876" s="154" t="e">
        <f t="shared" si="281"/>
        <v>#VALUE!</v>
      </c>
      <c r="U1876">
        <v>17.64</v>
      </c>
      <c r="V1876" s="154" t="e">
        <f t="shared" si="282"/>
        <v>#VALUE!</v>
      </c>
      <c r="W1876">
        <v>17.64</v>
      </c>
      <c r="X1876" s="157" t="e">
        <f t="shared" si="283"/>
        <v>#VALUE!</v>
      </c>
      <c r="Y1876">
        <v>17.64</v>
      </c>
      <c r="Z1876" s="154" t="e">
        <f t="shared" si="284"/>
        <v>#VALUE!</v>
      </c>
      <c r="AA1876">
        <v>17.64</v>
      </c>
      <c r="AB1876" s="154" t="e">
        <f t="shared" si="285"/>
        <v>#VALUE!</v>
      </c>
      <c r="AC1876">
        <v>17.64</v>
      </c>
      <c r="AD1876" s="154" t="e">
        <f t="shared" si="286"/>
        <v>#VALUE!</v>
      </c>
      <c r="AE1876">
        <v>17.64</v>
      </c>
    </row>
    <row r="1877" spans="12:31" ht="15" x14ac:dyDescent="0.2">
      <c r="L1877" s="154" t="e">
        <f t="shared" si="277"/>
        <v>#VALUE!</v>
      </c>
      <c r="M1877">
        <v>17.649999999999999</v>
      </c>
      <c r="N1877" s="154" t="e">
        <f t="shared" si="278"/>
        <v>#VALUE!</v>
      </c>
      <c r="O1877">
        <v>17.649999999999999</v>
      </c>
      <c r="P1877" s="154" t="e">
        <f t="shared" si="279"/>
        <v>#VALUE!</v>
      </c>
      <c r="Q1877">
        <v>17.649999999999999</v>
      </c>
      <c r="R1877" s="154" t="e">
        <f t="shared" si="280"/>
        <v>#VALUE!</v>
      </c>
      <c r="S1877">
        <v>17.649999999999999</v>
      </c>
      <c r="T1877" s="154" t="e">
        <f t="shared" si="281"/>
        <v>#VALUE!</v>
      </c>
      <c r="U1877">
        <v>17.649999999999999</v>
      </c>
      <c r="V1877" s="154" t="e">
        <f t="shared" si="282"/>
        <v>#VALUE!</v>
      </c>
      <c r="W1877">
        <v>17.649999999999999</v>
      </c>
      <c r="X1877" s="157" t="e">
        <f t="shared" si="283"/>
        <v>#VALUE!</v>
      </c>
      <c r="Y1877">
        <v>17.649999999999999</v>
      </c>
      <c r="Z1877" s="154" t="e">
        <f t="shared" si="284"/>
        <v>#VALUE!</v>
      </c>
      <c r="AA1877">
        <v>17.649999999999999</v>
      </c>
      <c r="AB1877" s="154" t="e">
        <f t="shared" si="285"/>
        <v>#VALUE!</v>
      </c>
      <c r="AC1877">
        <v>17.649999999999999</v>
      </c>
      <c r="AD1877" s="154" t="e">
        <f t="shared" si="286"/>
        <v>#VALUE!</v>
      </c>
      <c r="AE1877">
        <v>17.649999999999999</v>
      </c>
    </row>
    <row r="1878" spans="12:31" ht="15" x14ac:dyDescent="0.2">
      <c r="L1878" s="154" t="e">
        <f t="shared" si="277"/>
        <v>#VALUE!</v>
      </c>
      <c r="M1878">
        <v>17.66</v>
      </c>
      <c r="N1878" s="154" t="e">
        <f t="shared" si="278"/>
        <v>#VALUE!</v>
      </c>
      <c r="O1878">
        <v>17.66</v>
      </c>
      <c r="P1878" s="154" t="e">
        <f t="shared" si="279"/>
        <v>#VALUE!</v>
      </c>
      <c r="Q1878">
        <v>17.66</v>
      </c>
      <c r="R1878" s="154" t="e">
        <f t="shared" si="280"/>
        <v>#VALUE!</v>
      </c>
      <c r="S1878">
        <v>17.66</v>
      </c>
      <c r="T1878" s="154" t="e">
        <f t="shared" si="281"/>
        <v>#VALUE!</v>
      </c>
      <c r="U1878">
        <v>17.66</v>
      </c>
      <c r="V1878" s="154" t="e">
        <f t="shared" si="282"/>
        <v>#VALUE!</v>
      </c>
      <c r="W1878">
        <v>17.66</v>
      </c>
      <c r="X1878" s="157" t="e">
        <f t="shared" si="283"/>
        <v>#VALUE!</v>
      </c>
      <c r="Y1878">
        <v>17.66</v>
      </c>
      <c r="Z1878" s="154" t="e">
        <f t="shared" si="284"/>
        <v>#VALUE!</v>
      </c>
      <c r="AA1878">
        <v>17.66</v>
      </c>
      <c r="AB1878" s="154" t="e">
        <f t="shared" si="285"/>
        <v>#VALUE!</v>
      </c>
      <c r="AC1878">
        <v>17.66</v>
      </c>
      <c r="AD1878" s="154" t="e">
        <f t="shared" si="286"/>
        <v>#VALUE!</v>
      </c>
      <c r="AE1878">
        <v>17.66</v>
      </c>
    </row>
    <row r="1879" spans="12:31" ht="15" x14ac:dyDescent="0.2">
      <c r="L1879" s="154" t="e">
        <f t="shared" si="277"/>
        <v>#VALUE!</v>
      </c>
      <c r="M1879">
        <v>17.670000000000002</v>
      </c>
      <c r="N1879" s="154" t="e">
        <f t="shared" si="278"/>
        <v>#VALUE!</v>
      </c>
      <c r="O1879">
        <v>17.670000000000002</v>
      </c>
      <c r="P1879" s="154" t="e">
        <f t="shared" si="279"/>
        <v>#VALUE!</v>
      </c>
      <c r="Q1879">
        <v>17.670000000000002</v>
      </c>
      <c r="R1879" s="154" t="e">
        <f t="shared" si="280"/>
        <v>#VALUE!</v>
      </c>
      <c r="S1879">
        <v>17.670000000000002</v>
      </c>
      <c r="T1879" s="154" t="e">
        <f t="shared" si="281"/>
        <v>#VALUE!</v>
      </c>
      <c r="U1879">
        <v>17.670000000000002</v>
      </c>
      <c r="V1879" s="154" t="e">
        <f t="shared" si="282"/>
        <v>#VALUE!</v>
      </c>
      <c r="W1879">
        <v>17.670000000000002</v>
      </c>
      <c r="X1879" s="157" t="e">
        <f t="shared" si="283"/>
        <v>#VALUE!</v>
      </c>
      <c r="Y1879">
        <v>17.670000000000002</v>
      </c>
      <c r="Z1879" s="154" t="e">
        <f t="shared" si="284"/>
        <v>#VALUE!</v>
      </c>
      <c r="AA1879">
        <v>17.670000000000002</v>
      </c>
      <c r="AB1879" s="154" t="e">
        <f t="shared" si="285"/>
        <v>#VALUE!</v>
      </c>
      <c r="AC1879">
        <v>17.670000000000002</v>
      </c>
      <c r="AD1879" s="154" t="e">
        <f t="shared" si="286"/>
        <v>#VALUE!</v>
      </c>
      <c r="AE1879">
        <v>17.670000000000002</v>
      </c>
    </row>
    <row r="1880" spans="12:31" ht="15" x14ac:dyDescent="0.2">
      <c r="L1880" s="154" t="e">
        <f t="shared" si="277"/>
        <v>#VALUE!</v>
      </c>
      <c r="M1880">
        <v>17.68</v>
      </c>
      <c r="N1880" s="154" t="e">
        <f t="shared" si="278"/>
        <v>#VALUE!</v>
      </c>
      <c r="O1880">
        <v>17.68</v>
      </c>
      <c r="P1880" s="154" t="e">
        <f t="shared" si="279"/>
        <v>#VALUE!</v>
      </c>
      <c r="Q1880">
        <v>17.68</v>
      </c>
      <c r="R1880" s="154" t="e">
        <f t="shared" si="280"/>
        <v>#VALUE!</v>
      </c>
      <c r="S1880">
        <v>17.68</v>
      </c>
      <c r="T1880" s="154" t="e">
        <f t="shared" si="281"/>
        <v>#VALUE!</v>
      </c>
      <c r="U1880">
        <v>17.68</v>
      </c>
      <c r="V1880" s="154" t="e">
        <f t="shared" si="282"/>
        <v>#VALUE!</v>
      </c>
      <c r="W1880">
        <v>17.68</v>
      </c>
      <c r="X1880" s="157" t="e">
        <f t="shared" si="283"/>
        <v>#VALUE!</v>
      </c>
      <c r="Y1880">
        <v>17.68</v>
      </c>
      <c r="Z1880" s="154" t="e">
        <f t="shared" si="284"/>
        <v>#VALUE!</v>
      </c>
      <c r="AA1880">
        <v>17.68</v>
      </c>
      <c r="AB1880" s="154" t="e">
        <f t="shared" si="285"/>
        <v>#VALUE!</v>
      </c>
      <c r="AC1880">
        <v>17.68</v>
      </c>
      <c r="AD1880" s="154" t="e">
        <f t="shared" si="286"/>
        <v>#VALUE!</v>
      </c>
      <c r="AE1880">
        <v>17.68</v>
      </c>
    </row>
    <row r="1881" spans="12:31" ht="15" x14ac:dyDescent="0.2">
      <c r="L1881" s="154" t="e">
        <f t="shared" si="277"/>
        <v>#VALUE!</v>
      </c>
      <c r="M1881">
        <v>17.690000000000001</v>
      </c>
      <c r="N1881" s="154" t="e">
        <f t="shared" si="278"/>
        <v>#VALUE!</v>
      </c>
      <c r="O1881">
        <v>17.690000000000001</v>
      </c>
      <c r="P1881" s="154" t="e">
        <f t="shared" si="279"/>
        <v>#VALUE!</v>
      </c>
      <c r="Q1881">
        <v>17.690000000000001</v>
      </c>
      <c r="R1881" s="154" t="e">
        <f t="shared" si="280"/>
        <v>#VALUE!</v>
      </c>
      <c r="S1881">
        <v>17.690000000000001</v>
      </c>
      <c r="T1881" s="154" t="e">
        <f t="shared" si="281"/>
        <v>#VALUE!</v>
      </c>
      <c r="U1881">
        <v>17.690000000000001</v>
      </c>
      <c r="V1881" s="154" t="e">
        <f t="shared" si="282"/>
        <v>#VALUE!</v>
      </c>
      <c r="W1881">
        <v>17.690000000000001</v>
      </c>
      <c r="X1881" s="157" t="e">
        <f t="shared" si="283"/>
        <v>#VALUE!</v>
      </c>
      <c r="Y1881">
        <v>17.690000000000001</v>
      </c>
      <c r="Z1881" s="154" t="e">
        <f t="shared" si="284"/>
        <v>#VALUE!</v>
      </c>
      <c r="AA1881">
        <v>17.690000000000001</v>
      </c>
      <c r="AB1881" s="154" t="e">
        <f t="shared" si="285"/>
        <v>#VALUE!</v>
      </c>
      <c r="AC1881">
        <v>17.690000000000001</v>
      </c>
      <c r="AD1881" s="154" t="e">
        <f t="shared" si="286"/>
        <v>#VALUE!</v>
      </c>
      <c r="AE1881">
        <v>17.690000000000001</v>
      </c>
    </row>
    <row r="1882" spans="12:31" ht="15" x14ac:dyDescent="0.2">
      <c r="L1882" s="154" t="e">
        <f t="shared" si="277"/>
        <v>#VALUE!</v>
      </c>
      <c r="M1882">
        <v>17.7</v>
      </c>
      <c r="N1882" s="154" t="e">
        <f t="shared" si="278"/>
        <v>#VALUE!</v>
      </c>
      <c r="O1882">
        <v>17.7</v>
      </c>
      <c r="P1882" s="154" t="e">
        <f t="shared" si="279"/>
        <v>#VALUE!</v>
      </c>
      <c r="Q1882">
        <v>17.7</v>
      </c>
      <c r="R1882" s="154" t="e">
        <f t="shared" si="280"/>
        <v>#VALUE!</v>
      </c>
      <c r="S1882">
        <v>17.7</v>
      </c>
      <c r="T1882" s="154" t="e">
        <f t="shared" si="281"/>
        <v>#VALUE!</v>
      </c>
      <c r="U1882">
        <v>17.7</v>
      </c>
      <c r="V1882" s="154" t="e">
        <f t="shared" si="282"/>
        <v>#VALUE!</v>
      </c>
      <c r="W1882">
        <v>17.7</v>
      </c>
      <c r="X1882" s="157" t="e">
        <f t="shared" si="283"/>
        <v>#VALUE!</v>
      </c>
      <c r="Y1882">
        <v>17.7</v>
      </c>
      <c r="Z1882" s="154" t="e">
        <f t="shared" si="284"/>
        <v>#VALUE!</v>
      </c>
      <c r="AA1882">
        <v>17.7</v>
      </c>
      <c r="AB1882" s="154" t="e">
        <f t="shared" si="285"/>
        <v>#VALUE!</v>
      </c>
      <c r="AC1882">
        <v>17.7</v>
      </c>
      <c r="AD1882" s="154" t="e">
        <f t="shared" si="286"/>
        <v>#VALUE!</v>
      </c>
      <c r="AE1882">
        <v>17.7</v>
      </c>
    </row>
    <row r="1883" spans="12:31" ht="15" x14ac:dyDescent="0.2">
      <c r="L1883" s="154" t="e">
        <f t="shared" si="277"/>
        <v>#VALUE!</v>
      </c>
      <c r="M1883">
        <v>17.71</v>
      </c>
      <c r="N1883" s="154" t="e">
        <f t="shared" si="278"/>
        <v>#VALUE!</v>
      </c>
      <c r="O1883">
        <v>17.71</v>
      </c>
      <c r="P1883" s="154" t="e">
        <f t="shared" si="279"/>
        <v>#VALUE!</v>
      </c>
      <c r="Q1883">
        <v>17.71</v>
      </c>
      <c r="R1883" s="154" t="e">
        <f t="shared" si="280"/>
        <v>#VALUE!</v>
      </c>
      <c r="S1883">
        <v>17.71</v>
      </c>
      <c r="T1883" s="154" t="e">
        <f t="shared" si="281"/>
        <v>#VALUE!</v>
      </c>
      <c r="U1883">
        <v>17.71</v>
      </c>
      <c r="V1883" s="154" t="e">
        <f t="shared" si="282"/>
        <v>#VALUE!</v>
      </c>
      <c r="W1883">
        <v>17.71</v>
      </c>
      <c r="X1883" s="157" t="e">
        <f t="shared" si="283"/>
        <v>#VALUE!</v>
      </c>
      <c r="Y1883">
        <v>17.71</v>
      </c>
      <c r="Z1883" s="154" t="e">
        <f t="shared" si="284"/>
        <v>#VALUE!</v>
      </c>
      <c r="AA1883">
        <v>17.71</v>
      </c>
      <c r="AB1883" s="154" t="e">
        <f t="shared" si="285"/>
        <v>#VALUE!</v>
      </c>
      <c r="AC1883">
        <v>17.71</v>
      </c>
      <c r="AD1883" s="154" t="e">
        <f t="shared" si="286"/>
        <v>#VALUE!</v>
      </c>
      <c r="AE1883">
        <v>17.71</v>
      </c>
    </row>
    <row r="1884" spans="12:31" ht="15" x14ac:dyDescent="0.2">
      <c r="L1884" s="154" t="e">
        <f t="shared" si="277"/>
        <v>#VALUE!</v>
      </c>
      <c r="M1884">
        <v>17.72</v>
      </c>
      <c r="N1884" s="154" t="e">
        <f t="shared" si="278"/>
        <v>#VALUE!</v>
      </c>
      <c r="O1884">
        <v>17.72</v>
      </c>
      <c r="P1884" s="154" t="e">
        <f t="shared" si="279"/>
        <v>#VALUE!</v>
      </c>
      <c r="Q1884">
        <v>17.72</v>
      </c>
      <c r="R1884" s="154" t="e">
        <f t="shared" si="280"/>
        <v>#VALUE!</v>
      </c>
      <c r="S1884">
        <v>17.72</v>
      </c>
      <c r="T1884" s="154" t="e">
        <f t="shared" si="281"/>
        <v>#VALUE!</v>
      </c>
      <c r="U1884">
        <v>17.72</v>
      </c>
      <c r="V1884" s="154" t="e">
        <f t="shared" si="282"/>
        <v>#VALUE!</v>
      </c>
      <c r="W1884">
        <v>17.72</v>
      </c>
      <c r="X1884" s="157" t="e">
        <f t="shared" si="283"/>
        <v>#VALUE!</v>
      </c>
      <c r="Y1884">
        <v>17.72</v>
      </c>
      <c r="Z1884" s="154" t="e">
        <f t="shared" si="284"/>
        <v>#VALUE!</v>
      </c>
      <c r="AA1884">
        <v>17.72</v>
      </c>
      <c r="AB1884" s="154" t="e">
        <f t="shared" si="285"/>
        <v>#VALUE!</v>
      </c>
      <c r="AC1884">
        <v>17.72</v>
      </c>
      <c r="AD1884" s="154" t="e">
        <f t="shared" si="286"/>
        <v>#VALUE!</v>
      </c>
      <c r="AE1884">
        <v>17.72</v>
      </c>
    </row>
    <row r="1885" spans="12:31" ht="15" x14ac:dyDescent="0.2">
      <c r="L1885" s="154" t="e">
        <f t="shared" si="277"/>
        <v>#VALUE!</v>
      </c>
      <c r="M1885">
        <v>17.73</v>
      </c>
      <c r="N1885" s="154" t="e">
        <f t="shared" si="278"/>
        <v>#VALUE!</v>
      </c>
      <c r="O1885">
        <v>17.73</v>
      </c>
      <c r="P1885" s="154" t="e">
        <f t="shared" si="279"/>
        <v>#VALUE!</v>
      </c>
      <c r="Q1885">
        <v>17.73</v>
      </c>
      <c r="R1885" s="154" t="e">
        <f t="shared" si="280"/>
        <v>#VALUE!</v>
      </c>
      <c r="S1885">
        <v>17.73</v>
      </c>
      <c r="T1885" s="154" t="e">
        <f t="shared" si="281"/>
        <v>#VALUE!</v>
      </c>
      <c r="U1885">
        <v>17.73</v>
      </c>
      <c r="V1885" s="154" t="e">
        <f t="shared" si="282"/>
        <v>#VALUE!</v>
      </c>
      <c r="W1885">
        <v>17.73</v>
      </c>
      <c r="X1885" s="157" t="e">
        <f t="shared" si="283"/>
        <v>#VALUE!</v>
      </c>
      <c r="Y1885">
        <v>17.73</v>
      </c>
      <c r="Z1885" s="154" t="e">
        <f t="shared" si="284"/>
        <v>#VALUE!</v>
      </c>
      <c r="AA1885">
        <v>17.73</v>
      </c>
      <c r="AB1885" s="154" t="e">
        <f t="shared" si="285"/>
        <v>#VALUE!</v>
      </c>
      <c r="AC1885">
        <v>17.73</v>
      </c>
      <c r="AD1885" s="154" t="e">
        <f t="shared" si="286"/>
        <v>#VALUE!</v>
      </c>
      <c r="AE1885">
        <v>17.73</v>
      </c>
    </row>
    <row r="1886" spans="12:31" ht="15" x14ac:dyDescent="0.2">
      <c r="L1886" s="154" t="e">
        <f t="shared" si="277"/>
        <v>#VALUE!</v>
      </c>
      <c r="M1886">
        <v>17.739999999999998</v>
      </c>
      <c r="N1886" s="154" t="e">
        <f t="shared" si="278"/>
        <v>#VALUE!</v>
      </c>
      <c r="O1886">
        <v>17.739999999999998</v>
      </c>
      <c r="P1886" s="154" t="e">
        <f t="shared" si="279"/>
        <v>#VALUE!</v>
      </c>
      <c r="Q1886">
        <v>17.739999999999998</v>
      </c>
      <c r="R1886" s="154" t="e">
        <f t="shared" si="280"/>
        <v>#VALUE!</v>
      </c>
      <c r="S1886">
        <v>17.739999999999998</v>
      </c>
      <c r="T1886" s="154" t="e">
        <f t="shared" si="281"/>
        <v>#VALUE!</v>
      </c>
      <c r="U1886">
        <v>17.739999999999998</v>
      </c>
      <c r="V1886" s="154" t="e">
        <f t="shared" si="282"/>
        <v>#VALUE!</v>
      </c>
      <c r="W1886">
        <v>17.739999999999998</v>
      </c>
      <c r="X1886" s="157" t="e">
        <f t="shared" si="283"/>
        <v>#VALUE!</v>
      </c>
      <c r="Y1886">
        <v>17.739999999999998</v>
      </c>
      <c r="Z1886" s="154" t="e">
        <f t="shared" si="284"/>
        <v>#VALUE!</v>
      </c>
      <c r="AA1886">
        <v>17.739999999999998</v>
      </c>
      <c r="AB1886" s="154" t="e">
        <f t="shared" si="285"/>
        <v>#VALUE!</v>
      </c>
      <c r="AC1886">
        <v>17.739999999999998</v>
      </c>
      <c r="AD1886" s="154" t="e">
        <f t="shared" si="286"/>
        <v>#VALUE!</v>
      </c>
      <c r="AE1886">
        <v>17.739999999999998</v>
      </c>
    </row>
    <row r="1887" spans="12:31" ht="15" x14ac:dyDescent="0.2">
      <c r="L1887" s="154" t="e">
        <f t="shared" si="277"/>
        <v>#VALUE!</v>
      </c>
      <c r="M1887">
        <v>17.75</v>
      </c>
      <c r="N1887" s="154" t="e">
        <f t="shared" si="278"/>
        <v>#VALUE!</v>
      </c>
      <c r="O1887">
        <v>17.75</v>
      </c>
      <c r="P1887" s="154" t="e">
        <f t="shared" si="279"/>
        <v>#VALUE!</v>
      </c>
      <c r="Q1887">
        <v>17.75</v>
      </c>
      <c r="R1887" s="154" t="e">
        <f t="shared" si="280"/>
        <v>#VALUE!</v>
      </c>
      <c r="S1887">
        <v>17.75</v>
      </c>
      <c r="T1887" s="154" t="e">
        <f t="shared" si="281"/>
        <v>#VALUE!</v>
      </c>
      <c r="U1887">
        <v>17.75</v>
      </c>
      <c r="V1887" s="154" t="e">
        <f t="shared" si="282"/>
        <v>#VALUE!</v>
      </c>
      <c r="W1887">
        <v>17.75</v>
      </c>
      <c r="X1887" s="157" t="e">
        <f t="shared" si="283"/>
        <v>#VALUE!</v>
      </c>
      <c r="Y1887">
        <v>17.75</v>
      </c>
      <c r="Z1887" s="154" t="e">
        <f t="shared" si="284"/>
        <v>#VALUE!</v>
      </c>
      <c r="AA1887">
        <v>17.75</v>
      </c>
      <c r="AB1887" s="154" t="e">
        <f t="shared" si="285"/>
        <v>#VALUE!</v>
      </c>
      <c r="AC1887">
        <v>17.75</v>
      </c>
      <c r="AD1887" s="154" t="e">
        <f t="shared" si="286"/>
        <v>#VALUE!</v>
      </c>
      <c r="AE1887">
        <v>17.75</v>
      </c>
    </row>
    <row r="1888" spans="12:31" ht="15" x14ac:dyDescent="0.2">
      <c r="L1888" s="154" t="e">
        <f t="shared" si="277"/>
        <v>#VALUE!</v>
      </c>
      <c r="M1888">
        <v>17.760000000000002</v>
      </c>
      <c r="N1888" s="154" t="e">
        <f t="shared" si="278"/>
        <v>#VALUE!</v>
      </c>
      <c r="O1888">
        <v>17.760000000000002</v>
      </c>
      <c r="P1888" s="154" t="e">
        <f t="shared" si="279"/>
        <v>#VALUE!</v>
      </c>
      <c r="Q1888">
        <v>17.760000000000002</v>
      </c>
      <c r="R1888" s="154" t="e">
        <f t="shared" si="280"/>
        <v>#VALUE!</v>
      </c>
      <c r="S1888">
        <v>17.760000000000002</v>
      </c>
      <c r="T1888" s="154" t="e">
        <f t="shared" si="281"/>
        <v>#VALUE!</v>
      </c>
      <c r="U1888">
        <v>17.760000000000002</v>
      </c>
      <c r="V1888" s="154" t="e">
        <f t="shared" si="282"/>
        <v>#VALUE!</v>
      </c>
      <c r="W1888">
        <v>17.760000000000002</v>
      </c>
      <c r="X1888" s="157" t="e">
        <f t="shared" si="283"/>
        <v>#VALUE!</v>
      </c>
      <c r="Y1888">
        <v>17.760000000000002</v>
      </c>
      <c r="Z1888" s="154" t="e">
        <f t="shared" si="284"/>
        <v>#VALUE!</v>
      </c>
      <c r="AA1888">
        <v>17.760000000000002</v>
      </c>
      <c r="AB1888" s="154" t="e">
        <f t="shared" si="285"/>
        <v>#VALUE!</v>
      </c>
      <c r="AC1888">
        <v>17.760000000000002</v>
      </c>
      <c r="AD1888" s="154" t="e">
        <f t="shared" si="286"/>
        <v>#VALUE!</v>
      </c>
      <c r="AE1888">
        <v>17.760000000000002</v>
      </c>
    </row>
    <row r="1889" spans="12:31" ht="15" x14ac:dyDescent="0.2">
      <c r="L1889" s="154" t="e">
        <f t="shared" si="277"/>
        <v>#VALUE!</v>
      </c>
      <c r="M1889">
        <v>17.77</v>
      </c>
      <c r="N1889" s="154" t="e">
        <f t="shared" si="278"/>
        <v>#VALUE!</v>
      </c>
      <c r="O1889">
        <v>17.77</v>
      </c>
      <c r="P1889" s="154" t="e">
        <f t="shared" si="279"/>
        <v>#VALUE!</v>
      </c>
      <c r="Q1889">
        <v>17.77</v>
      </c>
      <c r="R1889" s="154" t="e">
        <f t="shared" si="280"/>
        <v>#VALUE!</v>
      </c>
      <c r="S1889">
        <v>17.77</v>
      </c>
      <c r="T1889" s="154" t="e">
        <f t="shared" si="281"/>
        <v>#VALUE!</v>
      </c>
      <c r="U1889">
        <v>17.77</v>
      </c>
      <c r="V1889" s="154" t="e">
        <f t="shared" si="282"/>
        <v>#VALUE!</v>
      </c>
      <c r="W1889">
        <v>17.77</v>
      </c>
      <c r="X1889" s="157" t="e">
        <f t="shared" si="283"/>
        <v>#VALUE!</v>
      </c>
      <c r="Y1889">
        <v>17.77</v>
      </c>
      <c r="Z1889" s="154" t="e">
        <f t="shared" si="284"/>
        <v>#VALUE!</v>
      </c>
      <c r="AA1889">
        <v>17.77</v>
      </c>
      <c r="AB1889" s="154" t="e">
        <f t="shared" si="285"/>
        <v>#VALUE!</v>
      </c>
      <c r="AC1889">
        <v>17.77</v>
      </c>
      <c r="AD1889" s="154" t="e">
        <f t="shared" si="286"/>
        <v>#VALUE!</v>
      </c>
      <c r="AE1889">
        <v>17.77</v>
      </c>
    </row>
    <row r="1890" spans="12:31" ht="15" x14ac:dyDescent="0.2">
      <c r="L1890" s="154" t="e">
        <f t="shared" si="277"/>
        <v>#VALUE!</v>
      </c>
      <c r="M1890">
        <v>17.78</v>
      </c>
      <c r="N1890" s="154" t="e">
        <f t="shared" si="278"/>
        <v>#VALUE!</v>
      </c>
      <c r="O1890">
        <v>17.78</v>
      </c>
      <c r="P1890" s="154" t="e">
        <f t="shared" si="279"/>
        <v>#VALUE!</v>
      </c>
      <c r="Q1890">
        <v>17.78</v>
      </c>
      <c r="R1890" s="154" t="e">
        <f t="shared" si="280"/>
        <v>#VALUE!</v>
      </c>
      <c r="S1890">
        <v>17.78</v>
      </c>
      <c r="T1890" s="154" t="e">
        <f t="shared" si="281"/>
        <v>#VALUE!</v>
      </c>
      <c r="U1890">
        <v>17.78</v>
      </c>
      <c r="V1890" s="154" t="e">
        <f t="shared" si="282"/>
        <v>#VALUE!</v>
      </c>
      <c r="W1890">
        <v>17.78</v>
      </c>
      <c r="X1890" s="157" t="e">
        <f t="shared" si="283"/>
        <v>#VALUE!</v>
      </c>
      <c r="Y1890">
        <v>17.78</v>
      </c>
      <c r="Z1890" s="154" t="e">
        <f t="shared" si="284"/>
        <v>#VALUE!</v>
      </c>
      <c r="AA1890">
        <v>17.78</v>
      </c>
      <c r="AB1890" s="154" t="e">
        <f t="shared" si="285"/>
        <v>#VALUE!</v>
      </c>
      <c r="AC1890">
        <v>17.78</v>
      </c>
      <c r="AD1890" s="154" t="e">
        <f t="shared" si="286"/>
        <v>#VALUE!</v>
      </c>
      <c r="AE1890">
        <v>17.78</v>
      </c>
    </row>
    <row r="1891" spans="12:31" ht="15" x14ac:dyDescent="0.2">
      <c r="L1891" s="154" t="e">
        <f t="shared" si="277"/>
        <v>#VALUE!</v>
      </c>
      <c r="M1891">
        <v>17.79</v>
      </c>
      <c r="N1891" s="154" t="e">
        <f t="shared" si="278"/>
        <v>#VALUE!</v>
      </c>
      <c r="O1891">
        <v>17.79</v>
      </c>
      <c r="P1891" s="154" t="e">
        <f t="shared" si="279"/>
        <v>#VALUE!</v>
      </c>
      <c r="Q1891">
        <v>17.79</v>
      </c>
      <c r="R1891" s="154" t="e">
        <f t="shared" si="280"/>
        <v>#VALUE!</v>
      </c>
      <c r="S1891">
        <v>17.79</v>
      </c>
      <c r="T1891" s="154" t="e">
        <f t="shared" si="281"/>
        <v>#VALUE!</v>
      </c>
      <c r="U1891">
        <v>17.79</v>
      </c>
      <c r="V1891" s="154" t="e">
        <f t="shared" si="282"/>
        <v>#VALUE!</v>
      </c>
      <c r="W1891">
        <v>17.79</v>
      </c>
      <c r="X1891" s="157" t="e">
        <f t="shared" si="283"/>
        <v>#VALUE!</v>
      </c>
      <c r="Y1891">
        <v>17.79</v>
      </c>
      <c r="Z1891" s="154" t="e">
        <f t="shared" si="284"/>
        <v>#VALUE!</v>
      </c>
      <c r="AA1891">
        <v>17.79</v>
      </c>
      <c r="AB1891" s="154" t="e">
        <f t="shared" si="285"/>
        <v>#VALUE!</v>
      </c>
      <c r="AC1891">
        <v>17.79</v>
      </c>
      <c r="AD1891" s="154" t="e">
        <f t="shared" si="286"/>
        <v>#VALUE!</v>
      </c>
      <c r="AE1891">
        <v>17.79</v>
      </c>
    </row>
    <row r="1892" spans="12:31" ht="15" x14ac:dyDescent="0.2">
      <c r="L1892" s="154" t="e">
        <f t="shared" si="277"/>
        <v>#VALUE!</v>
      </c>
      <c r="M1892">
        <v>17.8</v>
      </c>
      <c r="N1892" s="154" t="e">
        <f t="shared" si="278"/>
        <v>#VALUE!</v>
      </c>
      <c r="O1892">
        <v>17.8</v>
      </c>
      <c r="P1892" s="154" t="e">
        <f t="shared" si="279"/>
        <v>#VALUE!</v>
      </c>
      <c r="Q1892">
        <v>17.8</v>
      </c>
      <c r="R1892" s="154" t="e">
        <f t="shared" si="280"/>
        <v>#VALUE!</v>
      </c>
      <c r="S1892">
        <v>17.8</v>
      </c>
      <c r="T1892" s="154" t="e">
        <f t="shared" si="281"/>
        <v>#VALUE!</v>
      </c>
      <c r="U1892">
        <v>17.8</v>
      </c>
      <c r="V1892" s="154" t="e">
        <f t="shared" si="282"/>
        <v>#VALUE!</v>
      </c>
      <c r="W1892">
        <v>17.8</v>
      </c>
      <c r="X1892" s="157" t="e">
        <f t="shared" si="283"/>
        <v>#VALUE!</v>
      </c>
      <c r="Y1892">
        <v>17.8</v>
      </c>
      <c r="Z1892" s="154" t="e">
        <f t="shared" si="284"/>
        <v>#VALUE!</v>
      </c>
      <c r="AA1892">
        <v>17.8</v>
      </c>
      <c r="AB1892" s="154" t="e">
        <f t="shared" si="285"/>
        <v>#VALUE!</v>
      </c>
      <c r="AC1892">
        <v>17.8</v>
      </c>
      <c r="AD1892" s="154" t="e">
        <f t="shared" si="286"/>
        <v>#VALUE!</v>
      </c>
      <c r="AE1892">
        <v>17.8</v>
      </c>
    </row>
    <row r="1893" spans="12:31" ht="15" x14ac:dyDescent="0.2">
      <c r="L1893" s="154" t="e">
        <f t="shared" si="277"/>
        <v>#VALUE!</v>
      </c>
      <c r="M1893">
        <v>17.809999999999999</v>
      </c>
      <c r="N1893" s="154" t="e">
        <f t="shared" si="278"/>
        <v>#VALUE!</v>
      </c>
      <c r="O1893">
        <v>17.809999999999999</v>
      </c>
      <c r="P1893" s="154" t="e">
        <f t="shared" si="279"/>
        <v>#VALUE!</v>
      </c>
      <c r="Q1893">
        <v>17.809999999999999</v>
      </c>
      <c r="R1893" s="154" t="e">
        <f t="shared" si="280"/>
        <v>#VALUE!</v>
      </c>
      <c r="S1893">
        <v>17.809999999999999</v>
      </c>
      <c r="T1893" s="154" t="e">
        <f t="shared" si="281"/>
        <v>#VALUE!</v>
      </c>
      <c r="U1893">
        <v>17.809999999999999</v>
      </c>
      <c r="V1893" s="154" t="e">
        <f t="shared" si="282"/>
        <v>#VALUE!</v>
      </c>
      <c r="W1893">
        <v>17.809999999999999</v>
      </c>
      <c r="X1893" s="157" t="e">
        <f t="shared" si="283"/>
        <v>#VALUE!</v>
      </c>
      <c r="Y1893">
        <v>17.809999999999999</v>
      </c>
      <c r="Z1893" s="154" t="e">
        <f t="shared" si="284"/>
        <v>#VALUE!</v>
      </c>
      <c r="AA1893">
        <v>17.809999999999999</v>
      </c>
      <c r="AB1893" s="154" t="e">
        <f t="shared" si="285"/>
        <v>#VALUE!</v>
      </c>
      <c r="AC1893">
        <v>17.809999999999999</v>
      </c>
      <c r="AD1893" s="154" t="e">
        <f t="shared" si="286"/>
        <v>#VALUE!</v>
      </c>
      <c r="AE1893">
        <v>17.809999999999999</v>
      </c>
    </row>
    <row r="1894" spans="12:31" ht="15" x14ac:dyDescent="0.2">
      <c r="L1894" s="154" t="e">
        <f t="shared" si="277"/>
        <v>#VALUE!</v>
      </c>
      <c r="M1894">
        <v>17.82</v>
      </c>
      <c r="N1894" s="154" t="e">
        <f t="shared" si="278"/>
        <v>#VALUE!</v>
      </c>
      <c r="O1894">
        <v>17.82</v>
      </c>
      <c r="P1894" s="154" t="e">
        <f t="shared" si="279"/>
        <v>#VALUE!</v>
      </c>
      <c r="Q1894">
        <v>17.82</v>
      </c>
      <c r="R1894" s="154" t="e">
        <f t="shared" si="280"/>
        <v>#VALUE!</v>
      </c>
      <c r="S1894">
        <v>17.82</v>
      </c>
      <c r="T1894" s="154" t="e">
        <f t="shared" si="281"/>
        <v>#VALUE!</v>
      </c>
      <c r="U1894">
        <v>17.82</v>
      </c>
      <c r="V1894" s="154" t="e">
        <f t="shared" si="282"/>
        <v>#VALUE!</v>
      </c>
      <c r="W1894">
        <v>17.82</v>
      </c>
      <c r="X1894" s="157" t="e">
        <f t="shared" si="283"/>
        <v>#VALUE!</v>
      </c>
      <c r="Y1894">
        <v>17.82</v>
      </c>
      <c r="Z1894" s="154" t="e">
        <f t="shared" si="284"/>
        <v>#VALUE!</v>
      </c>
      <c r="AA1894">
        <v>17.82</v>
      </c>
      <c r="AB1894" s="154" t="e">
        <f t="shared" si="285"/>
        <v>#VALUE!</v>
      </c>
      <c r="AC1894">
        <v>17.82</v>
      </c>
      <c r="AD1894" s="154" t="e">
        <f t="shared" si="286"/>
        <v>#VALUE!</v>
      </c>
      <c r="AE1894">
        <v>17.82</v>
      </c>
    </row>
    <row r="1895" spans="12:31" ht="15" x14ac:dyDescent="0.2">
      <c r="L1895" s="154" t="e">
        <f t="shared" si="277"/>
        <v>#VALUE!</v>
      </c>
      <c r="M1895">
        <v>17.829999999999998</v>
      </c>
      <c r="N1895" s="154" t="e">
        <f t="shared" si="278"/>
        <v>#VALUE!</v>
      </c>
      <c r="O1895">
        <v>17.829999999999998</v>
      </c>
      <c r="P1895" s="154" t="e">
        <f t="shared" si="279"/>
        <v>#VALUE!</v>
      </c>
      <c r="Q1895">
        <v>17.829999999999998</v>
      </c>
      <c r="R1895" s="154" t="e">
        <f t="shared" si="280"/>
        <v>#VALUE!</v>
      </c>
      <c r="S1895">
        <v>17.829999999999998</v>
      </c>
      <c r="T1895" s="154" t="e">
        <f t="shared" si="281"/>
        <v>#VALUE!</v>
      </c>
      <c r="U1895">
        <v>17.829999999999998</v>
      </c>
      <c r="V1895" s="154" t="e">
        <f t="shared" si="282"/>
        <v>#VALUE!</v>
      </c>
      <c r="W1895">
        <v>17.829999999999998</v>
      </c>
      <c r="X1895" s="157" t="e">
        <f t="shared" si="283"/>
        <v>#VALUE!</v>
      </c>
      <c r="Y1895">
        <v>17.829999999999998</v>
      </c>
      <c r="Z1895" s="154" t="e">
        <f t="shared" si="284"/>
        <v>#VALUE!</v>
      </c>
      <c r="AA1895">
        <v>17.829999999999998</v>
      </c>
      <c r="AB1895" s="154" t="e">
        <f t="shared" si="285"/>
        <v>#VALUE!</v>
      </c>
      <c r="AC1895">
        <v>17.829999999999998</v>
      </c>
      <c r="AD1895" s="154" t="e">
        <f t="shared" si="286"/>
        <v>#VALUE!</v>
      </c>
      <c r="AE1895">
        <v>17.829999999999998</v>
      </c>
    </row>
    <row r="1896" spans="12:31" ht="15" x14ac:dyDescent="0.2">
      <c r="L1896" s="154" t="e">
        <f t="shared" si="277"/>
        <v>#VALUE!</v>
      </c>
      <c r="M1896">
        <v>17.84</v>
      </c>
      <c r="N1896" s="154" t="e">
        <f t="shared" si="278"/>
        <v>#VALUE!</v>
      </c>
      <c r="O1896">
        <v>17.84</v>
      </c>
      <c r="P1896" s="154" t="e">
        <f t="shared" si="279"/>
        <v>#VALUE!</v>
      </c>
      <c r="Q1896">
        <v>17.84</v>
      </c>
      <c r="R1896" s="154" t="e">
        <f t="shared" si="280"/>
        <v>#VALUE!</v>
      </c>
      <c r="S1896">
        <v>17.84</v>
      </c>
      <c r="T1896" s="154" t="e">
        <f t="shared" si="281"/>
        <v>#VALUE!</v>
      </c>
      <c r="U1896">
        <v>17.84</v>
      </c>
      <c r="V1896" s="154" t="e">
        <f t="shared" si="282"/>
        <v>#VALUE!</v>
      </c>
      <c r="W1896">
        <v>17.84</v>
      </c>
      <c r="X1896" s="157" t="e">
        <f t="shared" si="283"/>
        <v>#VALUE!</v>
      </c>
      <c r="Y1896">
        <v>17.84</v>
      </c>
      <c r="Z1896" s="154" t="e">
        <f t="shared" si="284"/>
        <v>#VALUE!</v>
      </c>
      <c r="AA1896">
        <v>17.84</v>
      </c>
      <c r="AB1896" s="154" t="e">
        <f t="shared" si="285"/>
        <v>#VALUE!</v>
      </c>
      <c r="AC1896">
        <v>17.84</v>
      </c>
      <c r="AD1896" s="154" t="e">
        <f t="shared" si="286"/>
        <v>#VALUE!</v>
      </c>
      <c r="AE1896">
        <v>17.84</v>
      </c>
    </row>
    <row r="1897" spans="12:31" ht="15" x14ac:dyDescent="0.2">
      <c r="L1897" s="154" t="e">
        <f t="shared" si="277"/>
        <v>#VALUE!</v>
      </c>
      <c r="M1897">
        <v>17.850000000000001</v>
      </c>
      <c r="N1897" s="154" t="e">
        <f t="shared" si="278"/>
        <v>#VALUE!</v>
      </c>
      <c r="O1897">
        <v>17.850000000000001</v>
      </c>
      <c r="P1897" s="154" t="e">
        <f t="shared" si="279"/>
        <v>#VALUE!</v>
      </c>
      <c r="Q1897">
        <v>17.850000000000001</v>
      </c>
      <c r="R1897" s="154" t="e">
        <f t="shared" si="280"/>
        <v>#VALUE!</v>
      </c>
      <c r="S1897">
        <v>17.850000000000001</v>
      </c>
      <c r="T1897" s="154" t="e">
        <f t="shared" si="281"/>
        <v>#VALUE!</v>
      </c>
      <c r="U1897">
        <v>17.850000000000001</v>
      </c>
      <c r="V1897" s="154" t="e">
        <f t="shared" si="282"/>
        <v>#VALUE!</v>
      </c>
      <c r="W1897">
        <v>17.850000000000001</v>
      </c>
      <c r="X1897" s="157" t="e">
        <f t="shared" si="283"/>
        <v>#VALUE!</v>
      </c>
      <c r="Y1897">
        <v>17.850000000000001</v>
      </c>
      <c r="Z1897" s="154" t="e">
        <f t="shared" si="284"/>
        <v>#VALUE!</v>
      </c>
      <c r="AA1897">
        <v>17.850000000000001</v>
      </c>
      <c r="AB1897" s="154" t="e">
        <f t="shared" si="285"/>
        <v>#VALUE!</v>
      </c>
      <c r="AC1897">
        <v>17.850000000000001</v>
      </c>
      <c r="AD1897" s="154" t="e">
        <f t="shared" si="286"/>
        <v>#VALUE!</v>
      </c>
      <c r="AE1897">
        <v>17.850000000000001</v>
      </c>
    </row>
    <row r="1898" spans="12:31" ht="15" x14ac:dyDescent="0.2">
      <c r="L1898" s="154" t="e">
        <f t="shared" si="277"/>
        <v>#VALUE!</v>
      </c>
      <c r="M1898">
        <v>17.86</v>
      </c>
      <c r="N1898" s="154" t="e">
        <f t="shared" si="278"/>
        <v>#VALUE!</v>
      </c>
      <c r="O1898">
        <v>17.86</v>
      </c>
      <c r="P1898" s="154" t="e">
        <f t="shared" si="279"/>
        <v>#VALUE!</v>
      </c>
      <c r="Q1898">
        <v>17.86</v>
      </c>
      <c r="R1898" s="154" t="e">
        <f t="shared" si="280"/>
        <v>#VALUE!</v>
      </c>
      <c r="S1898">
        <v>17.86</v>
      </c>
      <c r="T1898" s="154" t="e">
        <f t="shared" si="281"/>
        <v>#VALUE!</v>
      </c>
      <c r="U1898">
        <v>17.86</v>
      </c>
      <c r="V1898" s="154" t="e">
        <f t="shared" si="282"/>
        <v>#VALUE!</v>
      </c>
      <c r="W1898">
        <v>17.86</v>
      </c>
      <c r="X1898" s="157" t="e">
        <f t="shared" si="283"/>
        <v>#VALUE!</v>
      </c>
      <c r="Y1898">
        <v>17.86</v>
      </c>
      <c r="Z1898" s="154" t="e">
        <f t="shared" si="284"/>
        <v>#VALUE!</v>
      </c>
      <c r="AA1898">
        <v>17.86</v>
      </c>
      <c r="AB1898" s="154" t="e">
        <f t="shared" si="285"/>
        <v>#VALUE!</v>
      </c>
      <c r="AC1898">
        <v>17.86</v>
      </c>
      <c r="AD1898" s="154" t="e">
        <f t="shared" si="286"/>
        <v>#VALUE!</v>
      </c>
      <c r="AE1898">
        <v>17.86</v>
      </c>
    </row>
    <row r="1899" spans="12:31" ht="15" x14ac:dyDescent="0.2">
      <c r="L1899" s="154" t="e">
        <f t="shared" si="277"/>
        <v>#VALUE!</v>
      </c>
      <c r="M1899">
        <v>17.87</v>
      </c>
      <c r="N1899" s="154" t="e">
        <f t="shared" si="278"/>
        <v>#VALUE!</v>
      </c>
      <c r="O1899">
        <v>17.87</v>
      </c>
      <c r="P1899" s="154" t="e">
        <f t="shared" si="279"/>
        <v>#VALUE!</v>
      </c>
      <c r="Q1899">
        <v>17.87</v>
      </c>
      <c r="R1899" s="154" t="e">
        <f t="shared" si="280"/>
        <v>#VALUE!</v>
      </c>
      <c r="S1899">
        <v>17.87</v>
      </c>
      <c r="T1899" s="154" t="e">
        <f t="shared" si="281"/>
        <v>#VALUE!</v>
      </c>
      <c r="U1899">
        <v>17.87</v>
      </c>
      <c r="V1899" s="154" t="e">
        <f t="shared" si="282"/>
        <v>#VALUE!</v>
      </c>
      <c r="W1899">
        <v>17.87</v>
      </c>
      <c r="X1899" s="157" t="e">
        <f t="shared" si="283"/>
        <v>#VALUE!</v>
      </c>
      <c r="Y1899">
        <v>17.87</v>
      </c>
      <c r="Z1899" s="154" t="e">
        <f t="shared" si="284"/>
        <v>#VALUE!</v>
      </c>
      <c r="AA1899">
        <v>17.87</v>
      </c>
      <c r="AB1899" s="154" t="e">
        <f t="shared" si="285"/>
        <v>#VALUE!</v>
      </c>
      <c r="AC1899">
        <v>17.87</v>
      </c>
      <c r="AD1899" s="154" t="e">
        <f t="shared" si="286"/>
        <v>#VALUE!</v>
      </c>
      <c r="AE1899">
        <v>17.87</v>
      </c>
    </row>
    <row r="1900" spans="12:31" ht="15" x14ac:dyDescent="0.2">
      <c r="L1900" s="154" t="e">
        <f t="shared" si="277"/>
        <v>#VALUE!</v>
      </c>
      <c r="M1900">
        <v>17.88</v>
      </c>
      <c r="N1900" s="154" t="e">
        <f t="shared" si="278"/>
        <v>#VALUE!</v>
      </c>
      <c r="O1900">
        <v>17.88</v>
      </c>
      <c r="P1900" s="154" t="e">
        <f t="shared" si="279"/>
        <v>#VALUE!</v>
      </c>
      <c r="Q1900">
        <v>17.88</v>
      </c>
      <c r="R1900" s="154" t="e">
        <f t="shared" si="280"/>
        <v>#VALUE!</v>
      </c>
      <c r="S1900">
        <v>17.88</v>
      </c>
      <c r="T1900" s="154" t="e">
        <f t="shared" si="281"/>
        <v>#VALUE!</v>
      </c>
      <c r="U1900">
        <v>17.88</v>
      </c>
      <c r="V1900" s="154" t="e">
        <f t="shared" si="282"/>
        <v>#VALUE!</v>
      </c>
      <c r="W1900">
        <v>17.88</v>
      </c>
      <c r="X1900" s="157" t="e">
        <f t="shared" si="283"/>
        <v>#VALUE!</v>
      </c>
      <c r="Y1900">
        <v>17.88</v>
      </c>
      <c r="Z1900" s="154" t="e">
        <f t="shared" si="284"/>
        <v>#VALUE!</v>
      </c>
      <c r="AA1900">
        <v>17.88</v>
      </c>
      <c r="AB1900" s="154" t="e">
        <f t="shared" si="285"/>
        <v>#VALUE!</v>
      </c>
      <c r="AC1900">
        <v>17.88</v>
      </c>
      <c r="AD1900" s="154" t="e">
        <f t="shared" si="286"/>
        <v>#VALUE!</v>
      </c>
      <c r="AE1900">
        <v>17.88</v>
      </c>
    </row>
    <row r="1901" spans="12:31" ht="15" x14ac:dyDescent="0.2">
      <c r="L1901" s="154" t="e">
        <f t="shared" si="277"/>
        <v>#VALUE!</v>
      </c>
      <c r="M1901">
        <v>17.89</v>
      </c>
      <c r="N1901" s="154" t="e">
        <f t="shared" si="278"/>
        <v>#VALUE!</v>
      </c>
      <c r="O1901">
        <v>17.89</v>
      </c>
      <c r="P1901" s="154" t="e">
        <f t="shared" si="279"/>
        <v>#VALUE!</v>
      </c>
      <c r="Q1901">
        <v>17.89</v>
      </c>
      <c r="R1901" s="154" t="e">
        <f t="shared" si="280"/>
        <v>#VALUE!</v>
      </c>
      <c r="S1901">
        <v>17.89</v>
      </c>
      <c r="T1901" s="154" t="e">
        <f t="shared" si="281"/>
        <v>#VALUE!</v>
      </c>
      <c r="U1901">
        <v>17.89</v>
      </c>
      <c r="V1901" s="154" t="e">
        <f t="shared" si="282"/>
        <v>#VALUE!</v>
      </c>
      <c r="W1901">
        <v>17.89</v>
      </c>
      <c r="X1901" s="157" t="e">
        <f t="shared" si="283"/>
        <v>#VALUE!</v>
      </c>
      <c r="Y1901">
        <v>17.89</v>
      </c>
      <c r="Z1901" s="154" t="e">
        <f t="shared" si="284"/>
        <v>#VALUE!</v>
      </c>
      <c r="AA1901">
        <v>17.89</v>
      </c>
      <c r="AB1901" s="154" t="e">
        <f t="shared" si="285"/>
        <v>#VALUE!</v>
      </c>
      <c r="AC1901">
        <v>17.89</v>
      </c>
      <c r="AD1901" s="154" t="e">
        <f t="shared" si="286"/>
        <v>#VALUE!</v>
      </c>
      <c r="AE1901">
        <v>17.89</v>
      </c>
    </row>
    <row r="1902" spans="12:31" ht="15" x14ac:dyDescent="0.2">
      <c r="L1902" s="154" t="e">
        <f t="shared" si="277"/>
        <v>#VALUE!</v>
      </c>
      <c r="M1902">
        <v>17.899999999999999</v>
      </c>
      <c r="N1902" s="154" t="e">
        <f t="shared" si="278"/>
        <v>#VALUE!</v>
      </c>
      <c r="O1902">
        <v>17.899999999999999</v>
      </c>
      <c r="P1902" s="154" t="e">
        <f t="shared" si="279"/>
        <v>#VALUE!</v>
      </c>
      <c r="Q1902">
        <v>17.899999999999999</v>
      </c>
      <c r="R1902" s="154" t="e">
        <f t="shared" si="280"/>
        <v>#VALUE!</v>
      </c>
      <c r="S1902">
        <v>17.899999999999999</v>
      </c>
      <c r="T1902" s="154" t="e">
        <f t="shared" si="281"/>
        <v>#VALUE!</v>
      </c>
      <c r="U1902">
        <v>17.899999999999999</v>
      </c>
      <c r="V1902" s="154" t="e">
        <f t="shared" si="282"/>
        <v>#VALUE!</v>
      </c>
      <c r="W1902">
        <v>17.899999999999999</v>
      </c>
      <c r="X1902" s="157" t="e">
        <f t="shared" si="283"/>
        <v>#VALUE!</v>
      </c>
      <c r="Y1902">
        <v>17.899999999999999</v>
      </c>
      <c r="Z1902" s="154" t="e">
        <f t="shared" si="284"/>
        <v>#VALUE!</v>
      </c>
      <c r="AA1902">
        <v>17.899999999999999</v>
      </c>
      <c r="AB1902" s="154" t="e">
        <f t="shared" si="285"/>
        <v>#VALUE!</v>
      </c>
      <c r="AC1902">
        <v>17.899999999999999</v>
      </c>
      <c r="AD1902" s="154" t="e">
        <f t="shared" si="286"/>
        <v>#VALUE!</v>
      </c>
      <c r="AE1902">
        <v>17.899999999999999</v>
      </c>
    </row>
    <row r="1903" spans="12:31" ht="15" x14ac:dyDescent="0.2">
      <c r="L1903" s="154" t="e">
        <f t="shared" si="277"/>
        <v>#VALUE!</v>
      </c>
      <c r="M1903">
        <v>17.91</v>
      </c>
      <c r="N1903" s="154" t="e">
        <f t="shared" si="278"/>
        <v>#VALUE!</v>
      </c>
      <c r="O1903">
        <v>17.91</v>
      </c>
      <c r="P1903" s="154" t="e">
        <f t="shared" si="279"/>
        <v>#VALUE!</v>
      </c>
      <c r="Q1903">
        <v>17.91</v>
      </c>
      <c r="R1903" s="154" t="e">
        <f t="shared" si="280"/>
        <v>#VALUE!</v>
      </c>
      <c r="S1903">
        <v>17.91</v>
      </c>
      <c r="T1903" s="154" t="e">
        <f t="shared" si="281"/>
        <v>#VALUE!</v>
      </c>
      <c r="U1903">
        <v>17.91</v>
      </c>
      <c r="V1903" s="154" t="e">
        <f t="shared" si="282"/>
        <v>#VALUE!</v>
      </c>
      <c r="W1903">
        <v>17.91</v>
      </c>
      <c r="X1903" s="157" t="e">
        <f t="shared" si="283"/>
        <v>#VALUE!</v>
      </c>
      <c r="Y1903">
        <v>17.91</v>
      </c>
      <c r="Z1903" s="154" t="e">
        <f t="shared" si="284"/>
        <v>#VALUE!</v>
      </c>
      <c r="AA1903">
        <v>17.91</v>
      </c>
      <c r="AB1903" s="154" t="e">
        <f t="shared" si="285"/>
        <v>#VALUE!</v>
      </c>
      <c r="AC1903">
        <v>17.91</v>
      </c>
      <c r="AD1903" s="154" t="e">
        <f t="shared" si="286"/>
        <v>#VALUE!</v>
      </c>
      <c r="AE1903">
        <v>17.91</v>
      </c>
    </row>
    <row r="1904" spans="12:31" ht="15" x14ac:dyDescent="0.2">
      <c r="L1904" s="154" t="e">
        <f t="shared" si="277"/>
        <v>#VALUE!</v>
      </c>
      <c r="M1904">
        <v>17.920000000000002</v>
      </c>
      <c r="N1904" s="154" t="e">
        <f t="shared" si="278"/>
        <v>#VALUE!</v>
      </c>
      <c r="O1904">
        <v>17.920000000000002</v>
      </c>
      <c r="P1904" s="154" t="e">
        <f t="shared" si="279"/>
        <v>#VALUE!</v>
      </c>
      <c r="Q1904">
        <v>17.920000000000002</v>
      </c>
      <c r="R1904" s="154" t="e">
        <f t="shared" si="280"/>
        <v>#VALUE!</v>
      </c>
      <c r="S1904">
        <v>17.920000000000002</v>
      </c>
      <c r="T1904" s="154" t="e">
        <f t="shared" si="281"/>
        <v>#VALUE!</v>
      </c>
      <c r="U1904">
        <v>17.920000000000002</v>
      </c>
      <c r="V1904" s="154" t="e">
        <f t="shared" si="282"/>
        <v>#VALUE!</v>
      </c>
      <c r="W1904">
        <v>17.920000000000002</v>
      </c>
      <c r="X1904" s="157" t="e">
        <f t="shared" si="283"/>
        <v>#VALUE!</v>
      </c>
      <c r="Y1904">
        <v>17.920000000000002</v>
      </c>
      <c r="Z1904" s="154" t="e">
        <f t="shared" si="284"/>
        <v>#VALUE!</v>
      </c>
      <c r="AA1904">
        <v>17.920000000000002</v>
      </c>
      <c r="AB1904" s="154" t="e">
        <f t="shared" si="285"/>
        <v>#VALUE!</v>
      </c>
      <c r="AC1904">
        <v>17.920000000000002</v>
      </c>
      <c r="AD1904" s="154" t="e">
        <f t="shared" si="286"/>
        <v>#VALUE!</v>
      </c>
      <c r="AE1904">
        <v>17.920000000000002</v>
      </c>
    </row>
    <row r="1905" spans="12:31" ht="15" x14ac:dyDescent="0.2">
      <c r="L1905" s="154" t="e">
        <f t="shared" ref="L1905:L1912" si="287">((1.486/$D$33)*((((PI()*($D$46/12)^2)/4)-((($D$46/12)/2)^2*((2*ACOS(((($D$46/12)/2)-(($D$46/12)-(M1905/12)))/(($D$46/12)/2)))-SIN(2*ACOS(((($D$46/12)/2)-(($D$46/12)-(M1905/12)))/(($D$46/12)/2))))/2))/((PI()*($D$46/12))-((2*ACOS(((($D$46/12)/2)-(($D$46/12)-(M1905/12)))/(($D$46/12)/2)))*(($D$46/12)/2))))^(2/3)*$H$17^0.5)*(((PI()*($D$46/12)^2)/4)-((($D$46/12)/2)^2*((2*ACOS(((($D$46/12)/2)-(($D$46/12)-(M1905/12)))/(($D$46/12)/2)))-SIN(2*ACOS(((($D$46/12)/2)-(($D$46/12)-(M1905/12)))/(($D$46/12)/2))))/2))</f>
        <v>#VALUE!</v>
      </c>
      <c r="M1905">
        <v>17.93</v>
      </c>
      <c r="N1905" s="154" t="e">
        <f t="shared" ref="N1905:N1912" si="288">((1.486/$D$34)*((((PI()*($D$47/12)^2)/4)-((($D$47/12)/2)^2*((2*ACOS(((($D$47/12)/2)-(($D$47/12)-(O1905/12)))/(($D$47/12)/2)))-SIN(2*ACOS(((($D$47/12)/2)-(($D$47/12)-(O1905/12)))/(($D$47/12)/2))))/2))/((PI()*($D$47/12))-((2*ACOS(((($D$47/12)/2)-(($D$47/12)-(O1905/12)))/(($D$47/12)/2)))*(($D$47/12)/2))))^(2/3)*$H$18^0.5)*(((PI()*($D$47/12)^2)/4)-((($D$47/12)/2)^2*((2*ACOS(((($D$47/12)/2)-(($D$47/12)-(O1905/12)))/(($D$47/12)/2)))-SIN(2*ACOS(((($D$47/12)/2)-(($D$47/12)-(O1905/12)))/(($D$47/12)/2))))/2))</f>
        <v>#VALUE!</v>
      </c>
      <c r="O1905">
        <v>17.93</v>
      </c>
      <c r="P1905" s="154" t="e">
        <f t="shared" ref="P1905:P1912" si="289">((1.486/$D$35)*((((PI()*($D$48/12)^2)/4)-((($D$48/12)/2)^2*((2*ACOS(((($D$48/12)/2)-(($D$48/12)-(Q1905/12)))/(($D$48/12)/2)))-SIN(2*ACOS(((($D$48/12)/2)-(($D$48/12)-(Q1905/12)))/(($D$48/12)/2))))/2))/((PI()*($D$48/12))-((2*ACOS(((($D$48/12)/2)-(($D$48/12)-(Q1905/12)))/(($D$48/12)/2)))*(($D$48/12)/2))))^(2/3)*$H$19^0.5)*(((PI()*($D$48/12)^2)/4)-((($D$48/12)/2)^2*((2*ACOS(((($D$48/12)/2)-(($D$48/12)-(Q1905/12)))/(($D$48/12)/2)))-SIN(2*ACOS(((($D$48/12)/2)-(($D$48/12)-(Q1905/12)))/(($D$48/12)/2))))/2))</f>
        <v>#VALUE!</v>
      </c>
      <c r="Q1905">
        <v>17.93</v>
      </c>
      <c r="R1905" s="154" t="e">
        <f t="shared" ref="R1905:R1912" si="290">((1.486/$D$36)*((((PI()*($D$49/12)^2)/4)-((($D$49/12)/2)^2*((2*ACOS(((($D$49/12)/2)-(($D$49/12)-(S1905/12)))/(($D$49/12)/2)))-SIN(2*ACOS(((($D$49/12)/2)-(($D$49/12)-(S1905/12)))/(($D$49/12)/2))))/2))/((PI()*($D$49/12))-((2*ACOS(((($D$49/12)/2)-(($D$49/12)-(S1905/12)))/(($D$49/12)/2)))*(($D$49/12)/2))))^(2/3)*$H$20^0.5)*(((PI()*($D$49/12)^2)/4)-((($D$49/12)/2)^2*((2*ACOS(((($D$49/12)/2)-(($D$49/12)-(S1905/12)))/(($D$49/12)/2)))-SIN(2*ACOS(((($D$49/12)/2)-(($D$49/12)-(S1905/12)))/(($D$49/12)/2))))/2))</f>
        <v>#VALUE!</v>
      </c>
      <c r="S1905">
        <v>17.93</v>
      </c>
      <c r="T1905" s="154" t="e">
        <f t="shared" ref="T1905:T1912" si="291">((1.486/$D$37)*((((PI()*($D$50/12)^2)/4)-((($D$50/12)/2)^2*((2*ACOS(((($D$50/12)/2)-(($D$50/12)-(U1905/12)))/(($D$50/12)/2)))-SIN(2*ACOS(((($D$50/12)/2)-(($D$50/12)-(U1905/12)))/(($D$50/12)/2))))/2))/((PI()*($D$50/12))-((2*ACOS(((($D$50/12)/2)-(($D$50/12)-(U1905/12)))/(($D$50/12)/2)))*(($D$50/12)/2))))^(2/3)*$H$21^0.5)*(((PI()*($D$50/12)^2)/4)-((($D$50/12)/2)^2*((2*ACOS(((($D$50/12)/2)-(($D$50/12)-(U1905/12)))/(($D$50/12)/2)))-SIN(2*ACOS(((($D$50/12)/2)-(($D$50/12)-(U1905/12)))/(($D$50/12)/2))))/2))</f>
        <v>#VALUE!</v>
      </c>
      <c r="U1905">
        <v>17.93</v>
      </c>
      <c r="V1905" s="154" t="e">
        <f t="shared" ref="V1905:V1912" si="292">((1.486/$D$38)*((((PI()*($D$51/12)^2)/4)-((($D$51/12)/2)^2*((2*ACOS(((($D$51/12)/2)-(($D$51/12)-(W1905/12)))/(($D$51/12)/2)))-SIN(2*ACOS(((($D$51/12)/2)-(($D$51/12)-(W1905/12)))/(($D$51/12)/2))))/2))/((PI()*($D$51/12))-((2*ACOS(((($D$51/12)/2)-(($D$51/12)-(W1905/12)))/(($D$51/12)/2)))*(($D$51/12)/2))))^(2/3)*$H$22^0.5)*(((PI()*($D$51/12)^2)/4)-((($D$51/12)/2)^2*((2*ACOS(((($D$51/12)/2)-(($D$51/12)-(W1905/12)))/(($D$51/12)/2)))-SIN(2*ACOS(((($D$51/12)/2)-(($D$51/12)-(W1905/12)))/(($D$51/12)/2))))/2))</f>
        <v>#VALUE!</v>
      </c>
      <c r="W1905">
        <v>17.93</v>
      </c>
      <c r="X1905" s="157" t="e">
        <f t="shared" ref="X1905:X1912" si="293">((1.486/$D$39)*((((PI()*($D$52/12)^2)/4)-((($D$52/12)/2)^2*((2*ACOS(((($D$52/12)/2)-(($D$52/12)-(Y1905/12)))/(($D$52/12)/2)))-SIN(2*ACOS(((($D$52/12)/2)-(($D$52/12)-(Y1905/12)))/(($D$52/12)/2))))/2))/((PI()*($D$52/12))-((2*ACOS(((($D$52/12)/2)-(($D$52/12)-(Y1905/12)))/(($D$52/12)/2)))*(($D$52/12)/2))))^(2/3)*$H$23^0.5)*(((PI()*($D$52/12)^2)/4)-((($D$52/12)/2)^2*((2*ACOS(((($D$52/12)/2)-(($D$52/12)-(Y1905/12)))/(($D$52/12)/2)))-SIN(2*ACOS(((($D$52/12)/2)-(($D$52/12)-(Y1905/12)))/(($D$52/12)/2))))/2))</f>
        <v>#VALUE!</v>
      </c>
      <c r="Y1905">
        <v>17.93</v>
      </c>
      <c r="Z1905" s="154" t="e">
        <f t="shared" ref="Z1905:Z1912" si="294">((1.486/$D$40)*((((PI()*($D$53/12)^2)/4)-((($D$53/12)/2)^2*((2*ACOS(((($D$53/12)/2)-(($D$53/12)-(AA1905/12)))/(($D$53/12)/2)))-SIN(2*ACOS(((($D$53/12)/2)-(($D$53/12)-(AA1905/12)))/(($D$53/12)/2))))/2))/((PI()*($D$53/12))-((2*ACOS(((($D$53/12)/2)-(($D$53/12)-(AA1905/12)))/(($D$53/12)/2)))*(($D$53/12)/2))))^(2/3)*$H$24^0.5)*(((PI()*($D$53/12)^2)/4)-((($D$53/12)/2)^2*((2*ACOS(((($D$53/12)/2)-(($D$53/12)-(AA1905/12)))/(($D$53/12)/2)))-SIN(2*ACOS(((($D$53/12)/2)-(($D$53/12)-(AA1905/12)))/(($D$53/12)/2))))/2))</f>
        <v>#VALUE!</v>
      </c>
      <c r="AA1905">
        <v>17.93</v>
      </c>
      <c r="AB1905" s="154" t="e">
        <f t="shared" ref="AB1905:AB1912" si="295">((1.486/$D$41)*((((PI()*($D$54/12)^2)/4)-((($D$54/12)/2)^2*((2*ACOS(((($D$54/12)/2)-(($D$54/12)-(AC1905/12)))/(($D$54/12)/2)))-SIN(2*ACOS(((($D$54/12)/2)-(($D$54/12)-(AC1905/12)))/(($D$54/12)/2))))/2))/((PI()*($D$54/12))-((2*ACOS(((($D$54/12)/2)-(($D$54/12)-(AC1905/12)))/(($D$54/12)/2)))*(($D$54/12)/2))))^(2/3)*$H$25^0.5)*(((PI()*($D$54/12)^2)/4)-((($D$54/12)/2)^2*((2*ACOS(((($D$54/12)/2)-(($D$54/12)-(AC1905/12)))/(($D$54/12)/2)))-SIN(2*ACOS(((($D$54/12)/2)-(($D$54/12)-(AC1905/12)))/(($D$54/12)/2))))/2))</f>
        <v>#VALUE!</v>
      </c>
      <c r="AC1905">
        <v>17.93</v>
      </c>
      <c r="AD1905" s="154" t="e">
        <f t="shared" ref="AD1905:AD1912" si="296">((1.486/$D$42)*((((PI()*($D$55/12)^2)/4)-((($D$55/12)/2)^2*((2*ACOS(((($D$55/12)/2)-(($D$55/12)-(AE1905/12)))/(($D$55/12)/2)))-SIN(2*ACOS(((($D$55/12)/2)-(($D$55/12)-(AE1905/12)))/(($D$55/12)/2))))/2))/((PI()*($D$55/12))-((2*ACOS(((($D$55/12)/2)-(($D$55/12)-(AE1905/12)))/(($D$55/12)/2)))*(($D$55/12)/2))))^(2/3)*$H$26^0.5)*(((PI()*($D$55/12)^2)/4)-((($D$55/12)/2)^2*((2*ACOS(((($D$55/12)/2)-(($D$55/12)-(AE1905/12)))/(($D$55/12)/2)))-SIN(2*ACOS(((($D$55/12)/2)-(($D$55/12)-(AE1905/12)))/(($D$55/12)/2))))/2))</f>
        <v>#VALUE!</v>
      </c>
      <c r="AE1905">
        <v>17.93</v>
      </c>
    </row>
    <row r="1906" spans="12:31" ht="15" x14ac:dyDescent="0.2">
      <c r="L1906" s="154" t="e">
        <f t="shared" si="287"/>
        <v>#VALUE!</v>
      </c>
      <c r="M1906">
        <v>17.940000000000001</v>
      </c>
      <c r="N1906" s="154" t="e">
        <f t="shared" si="288"/>
        <v>#VALUE!</v>
      </c>
      <c r="O1906">
        <v>17.940000000000001</v>
      </c>
      <c r="P1906" s="154" t="e">
        <f t="shared" si="289"/>
        <v>#VALUE!</v>
      </c>
      <c r="Q1906">
        <v>17.940000000000001</v>
      </c>
      <c r="R1906" s="154" t="e">
        <f t="shared" si="290"/>
        <v>#VALUE!</v>
      </c>
      <c r="S1906">
        <v>17.940000000000001</v>
      </c>
      <c r="T1906" s="154" t="e">
        <f t="shared" si="291"/>
        <v>#VALUE!</v>
      </c>
      <c r="U1906">
        <v>17.940000000000001</v>
      </c>
      <c r="V1906" s="154" t="e">
        <f t="shared" si="292"/>
        <v>#VALUE!</v>
      </c>
      <c r="W1906">
        <v>17.940000000000001</v>
      </c>
      <c r="X1906" s="157" t="e">
        <f t="shared" si="293"/>
        <v>#VALUE!</v>
      </c>
      <c r="Y1906">
        <v>17.940000000000001</v>
      </c>
      <c r="Z1906" s="154" t="e">
        <f t="shared" si="294"/>
        <v>#VALUE!</v>
      </c>
      <c r="AA1906">
        <v>17.940000000000001</v>
      </c>
      <c r="AB1906" s="154" t="e">
        <f t="shared" si="295"/>
        <v>#VALUE!</v>
      </c>
      <c r="AC1906">
        <v>17.940000000000001</v>
      </c>
      <c r="AD1906" s="154" t="e">
        <f t="shared" si="296"/>
        <v>#VALUE!</v>
      </c>
      <c r="AE1906">
        <v>17.940000000000001</v>
      </c>
    </row>
    <row r="1907" spans="12:31" ht="15" x14ac:dyDescent="0.2">
      <c r="L1907" s="154" t="e">
        <f t="shared" si="287"/>
        <v>#VALUE!</v>
      </c>
      <c r="M1907">
        <v>17.95</v>
      </c>
      <c r="N1907" s="154" t="e">
        <f t="shared" si="288"/>
        <v>#VALUE!</v>
      </c>
      <c r="O1907">
        <v>17.95</v>
      </c>
      <c r="P1907" s="154" t="e">
        <f t="shared" si="289"/>
        <v>#VALUE!</v>
      </c>
      <c r="Q1907">
        <v>17.95</v>
      </c>
      <c r="R1907" s="154" t="e">
        <f t="shared" si="290"/>
        <v>#VALUE!</v>
      </c>
      <c r="S1907">
        <v>17.95</v>
      </c>
      <c r="T1907" s="154" t="e">
        <f t="shared" si="291"/>
        <v>#VALUE!</v>
      </c>
      <c r="U1907">
        <v>17.95</v>
      </c>
      <c r="V1907" s="154" t="e">
        <f t="shared" si="292"/>
        <v>#VALUE!</v>
      </c>
      <c r="W1907">
        <v>17.95</v>
      </c>
      <c r="X1907" s="157" t="e">
        <f t="shared" si="293"/>
        <v>#VALUE!</v>
      </c>
      <c r="Y1907">
        <v>17.95</v>
      </c>
      <c r="Z1907" s="154" t="e">
        <f t="shared" si="294"/>
        <v>#VALUE!</v>
      </c>
      <c r="AA1907">
        <v>17.95</v>
      </c>
      <c r="AB1907" s="154" t="e">
        <f t="shared" si="295"/>
        <v>#VALUE!</v>
      </c>
      <c r="AC1907">
        <v>17.95</v>
      </c>
      <c r="AD1907" s="154" t="e">
        <f t="shared" si="296"/>
        <v>#VALUE!</v>
      </c>
      <c r="AE1907">
        <v>17.95</v>
      </c>
    </row>
    <row r="1908" spans="12:31" ht="15" x14ac:dyDescent="0.2">
      <c r="L1908" s="154" t="e">
        <f t="shared" si="287"/>
        <v>#VALUE!</v>
      </c>
      <c r="M1908">
        <v>17.96</v>
      </c>
      <c r="N1908" s="154" t="e">
        <f t="shared" si="288"/>
        <v>#VALUE!</v>
      </c>
      <c r="O1908">
        <v>17.96</v>
      </c>
      <c r="P1908" s="154" t="e">
        <f t="shared" si="289"/>
        <v>#VALUE!</v>
      </c>
      <c r="Q1908">
        <v>17.96</v>
      </c>
      <c r="R1908" s="154" t="e">
        <f t="shared" si="290"/>
        <v>#VALUE!</v>
      </c>
      <c r="S1908">
        <v>17.96</v>
      </c>
      <c r="T1908" s="154" t="e">
        <f t="shared" si="291"/>
        <v>#VALUE!</v>
      </c>
      <c r="U1908">
        <v>17.96</v>
      </c>
      <c r="V1908" s="154" t="e">
        <f t="shared" si="292"/>
        <v>#VALUE!</v>
      </c>
      <c r="W1908">
        <v>17.96</v>
      </c>
      <c r="X1908" s="157" t="e">
        <f t="shared" si="293"/>
        <v>#VALUE!</v>
      </c>
      <c r="Y1908">
        <v>17.96</v>
      </c>
      <c r="Z1908" s="154" t="e">
        <f t="shared" si="294"/>
        <v>#VALUE!</v>
      </c>
      <c r="AA1908">
        <v>17.96</v>
      </c>
      <c r="AB1908" s="154" t="e">
        <f t="shared" si="295"/>
        <v>#VALUE!</v>
      </c>
      <c r="AC1908">
        <v>17.96</v>
      </c>
      <c r="AD1908" s="154" t="e">
        <f t="shared" si="296"/>
        <v>#VALUE!</v>
      </c>
      <c r="AE1908">
        <v>17.96</v>
      </c>
    </row>
    <row r="1909" spans="12:31" ht="15" x14ac:dyDescent="0.2">
      <c r="L1909" s="154" t="e">
        <f t="shared" si="287"/>
        <v>#VALUE!</v>
      </c>
      <c r="M1909">
        <v>17.97</v>
      </c>
      <c r="N1909" s="154" t="e">
        <f t="shared" si="288"/>
        <v>#VALUE!</v>
      </c>
      <c r="O1909">
        <v>17.97</v>
      </c>
      <c r="P1909" s="154" t="e">
        <f t="shared" si="289"/>
        <v>#VALUE!</v>
      </c>
      <c r="Q1909">
        <v>17.97</v>
      </c>
      <c r="R1909" s="154" t="e">
        <f t="shared" si="290"/>
        <v>#VALUE!</v>
      </c>
      <c r="S1909">
        <v>17.97</v>
      </c>
      <c r="T1909" s="154" t="e">
        <f t="shared" si="291"/>
        <v>#VALUE!</v>
      </c>
      <c r="U1909">
        <v>17.97</v>
      </c>
      <c r="V1909" s="154" t="e">
        <f t="shared" si="292"/>
        <v>#VALUE!</v>
      </c>
      <c r="W1909">
        <v>17.97</v>
      </c>
      <c r="X1909" s="157" t="e">
        <f t="shared" si="293"/>
        <v>#VALUE!</v>
      </c>
      <c r="Y1909">
        <v>17.97</v>
      </c>
      <c r="Z1909" s="154" t="e">
        <f t="shared" si="294"/>
        <v>#VALUE!</v>
      </c>
      <c r="AA1909">
        <v>17.97</v>
      </c>
      <c r="AB1909" s="154" t="e">
        <f t="shared" si="295"/>
        <v>#VALUE!</v>
      </c>
      <c r="AC1909">
        <v>17.97</v>
      </c>
      <c r="AD1909" s="154" t="e">
        <f t="shared" si="296"/>
        <v>#VALUE!</v>
      </c>
      <c r="AE1909">
        <v>17.97</v>
      </c>
    </row>
    <row r="1910" spans="12:31" ht="15" x14ac:dyDescent="0.2">
      <c r="L1910" s="154" t="e">
        <f t="shared" si="287"/>
        <v>#VALUE!</v>
      </c>
      <c r="M1910">
        <v>17.98</v>
      </c>
      <c r="N1910" s="154" t="e">
        <f t="shared" si="288"/>
        <v>#VALUE!</v>
      </c>
      <c r="O1910">
        <v>17.98</v>
      </c>
      <c r="P1910" s="154" t="e">
        <f t="shared" si="289"/>
        <v>#VALUE!</v>
      </c>
      <c r="Q1910">
        <v>17.98</v>
      </c>
      <c r="R1910" s="154" t="e">
        <f t="shared" si="290"/>
        <v>#VALUE!</v>
      </c>
      <c r="S1910">
        <v>17.98</v>
      </c>
      <c r="T1910" s="154" t="e">
        <f t="shared" si="291"/>
        <v>#VALUE!</v>
      </c>
      <c r="U1910">
        <v>17.98</v>
      </c>
      <c r="V1910" s="154" t="e">
        <f t="shared" si="292"/>
        <v>#VALUE!</v>
      </c>
      <c r="W1910">
        <v>17.98</v>
      </c>
      <c r="X1910" s="157" t="e">
        <f t="shared" si="293"/>
        <v>#VALUE!</v>
      </c>
      <c r="Y1910">
        <v>17.98</v>
      </c>
      <c r="Z1910" s="154" t="e">
        <f t="shared" si="294"/>
        <v>#VALUE!</v>
      </c>
      <c r="AA1910">
        <v>17.98</v>
      </c>
      <c r="AB1910" s="154" t="e">
        <f t="shared" si="295"/>
        <v>#VALUE!</v>
      </c>
      <c r="AC1910">
        <v>17.98</v>
      </c>
      <c r="AD1910" s="154" t="e">
        <f t="shared" si="296"/>
        <v>#VALUE!</v>
      </c>
      <c r="AE1910">
        <v>17.98</v>
      </c>
    </row>
    <row r="1911" spans="12:31" ht="15" x14ac:dyDescent="0.2">
      <c r="L1911" s="154" t="e">
        <f t="shared" si="287"/>
        <v>#VALUE!</v>
      </c>
      <c r="M1911">
        <v>17.989999999999998</v>
      </c>
      <c r="N1911" s="154" t="e">
        <f t="shared" si="288"/>
        <v>#VALUE!</v>
      </c>
      <c r="O1911">
        <v>17.989999999999998</v>
      </c>
      <c r="P1911" s="154" t="e">
        <f t="shared" si="289"/>
        <v>#VALUE!</v>
      </c>
      <c r="Q1911">
        <v>17.989999999999998</v>
      </c>
      <c r="R1911" s="154" t="e">
        <f t="shared" si="290"/>
        <v>#VALUE!</v>
      </c>
      <c r="S1911">
        <v>17.989999999999998</v>
      </c>
      <c r="T1911" s="154" t="e">
        <f t="shared" si="291"/>
        <v>#VALUE!</v>
      </c>
      <c r="U1911">
        <v>17.989999999999998</v>
      </c>
      <c r="V1911" s="154" t="e">
        <f t="shared" si="292"/>
        <v>#VALUE!</v>
      </c>
      <c r="W1911">
        <v>17.989999999999998</v>
      </c>
      <c r="X1911" s="157" t="e">
        <f t="shared" si="293"/>
        <v>#VALUE!</v>
      </c>
      <c r="Y1911">
        <v>17.989999999999998</v>
      </c>
      <c r="Z1911" s="154" t="e">
        <f t="shared" si="294"/>
        <v>#VALUE!</v>
      </c>
      <c r="AA1911">
        <v>17.989999999999998</v>
      </c>
      <c r="AB1911" s="154" t="e">
        <f t="shared" si="295"/>
        <v>#VALUE!</v>
      </c>
      <c r="AC1911">
        <v>17.989999999999998</v>
      </c>
      <c r="AD1911" s="154" t="e">
        <f t="shared" si="296"/>
        <v>#VALUE!</v>
      </c>
      <c r="AE1911">
        <v>17.989999999999998</v>
      </c>
    </row>
    <row r="1912" spans="12:31" ht="15" x14ac:dyDescent="0.2">
      <c r="L1912" s="154" t="e">
        <f t="shared" si="287"/>
        <v>#VALUE!</v>
      </c>
      <c r="M1912">
        <v>18</v>
      </c>
      <c r="N1912" s="154" t="e">
        <f t="shared" si="288"/>
        <v>#VALUE!</v>
      </c>
      <c r="O1912">
        <v>18</v>
      </c>
      <c r="P1912" s="154" t="e">
        <f t="shared" si="289"/>
        <v>#VALUE!</v>
      </c>
      <c r="Q1912">
        <v>18</v>
      </c>
      <c r="R1912" s="154" t="e">
        <f t="shared" si="290"/>
        <v>#VALUE!</v>
      </c>
      <c r="S1912">
        <v>18</v>
      </c>
      <c r="T1912" s="154" t="e">
        <f t="shared" si="291"/>
        <v>#VALUE!</v>
      </c>
      <c r="U1912">
        <v>18</v>
      </c>
      <c r="V1912" s="154" t="e">
        <f t="shared" si="292"/>
        <v>#VALUE!</v>
      </c>
      <c r="W1912">
        <v>18</v>
      </c>
      <c r="X1912" s="157" t="e">
        <f t="shared" si="293"/>
        <v>#VALUE!</v>
      </c>
      <c r="Y1912">
        <v>18</v>
      </c>
      <c r="Z1912" s="154" t="e">
        <f t="shared" si="294"/>
        <v>#VALUE!</v>
      </c>
      <c r="AA1912">
        <v>18</v>
      </c>
      <c r="AB1912" s="154" t="e">
        <f t="shared" si="295"/>
        <v>#VALUE!</v>
      </c>
      <c r="AC1912">
        <v>18</v>
      </c>
      <c r="AD1912" s="154" t="e">
        <f t="shared" si="296"/>
        <v>#VALUE!</v>
      </c>
      <c r="AE1912">
        <v>18</v>
      </c>
    </row>
  </sheetData>
  <sheetProtection selectLockedCells="1"/>
  <mergeCells count="34">
    <mergeCell ref="I21:J21"/>
    <mergeCell ref="I19:J19"/>
    <mergeCell ref="I20:J20"/>
    <mergeCell ref="A31:A32"/>
    <mergeCell ref="B31:C31"/>
    <mergeCell ref="D31:D32"/>
    <mergeCell ref="I31:J32"/>
    <mergeCell ref="C3:G3"/>
    <mergeCell ref="C7:E7"/>
    <mergeCell ref="B16:C16"/>
    <mergeCell ref="A3:B3"/>
    <mergeCell ref="A7:B7"/>
    <mergeCell ref="A5:B5"/>
    <mergeCell ref="A9:B9"/>
    <mergeCell ref="A12:E12"/>
    <mergeCell ref="A13:E13"/>
    <mergeCell ref="A14:E14"/>
    <mergeCell ref="I33:J33"/>
    <mergeCell ref="I34:J34"/>
    <mergeCell ref="I35:J35"/>
    <mergeCell ref="I36:J36"/>
    <mergeCell ref="I41:J41"/>
    <mergeCell ref="I42:J42"/>
    <mergeCell ref="I37:J37"/>
    <mergeCell ref="I38:J38"/>
    <mergeCell ref="I39:J39"/>
    <mergeCell ref="I40:J40"/>
    <mergeCell ref="I1:J1"/>
    <mergeCell ref="I16:J16"/>
    <mergeCell ref="I17:J17"/>
    <mergeCell ref="I18:J18"/>
    <mergeCell ref="I6:J6"/>
    <mergeCell ref="I7:J7"/>
    <mergeCell ref="I5:J5"/>
  </mergeCells>
  <phoneticPr fontId="2" type="noConversion"/>
  <conditionalFormatting sqref="F12">
    <cfRule type="expression" dxfId="22" priority="1" stopIfTrue="1">
      <formula>$M$12=TRUE</formula>
    </cfRule>
  </conditionalFormatting>
  <conditionalFormatting sqref="F13">
    <cfRule type="expression" dxfId="21" priority="2" stopIfTrue="1">
      <formula>$M$13=TRUE</formula>
    </cfRule>
  </conditionalFormatting>
  <conditionalFormatting sqref="F14">
    <cfRule type="expression" dxfId="20" priority="3" stopIfTrue="1">
      <formula>$M$14=TRUE</formula>
    </cfRule>
  </conditionalFormatting>
  <pageMargins left="0.45" right="0.4" top="1" bottom="0.75" header="0.5" footer="0.5"/>
  <pageSetup orientation="portrait" r:id="rId1"/>
  <headerFooter alignWithMargins="0"/>
  <drawing r:id="rId2"/>
  <legacyDrawing r:id="rId3"/>
  <controls>
    <mc:AlternateContent xmlns:mc="http://schemas.openxmlformats.org/markup-compatibility/2006">
      <mc:Choice Requires="x14">
        <control shapeId="3107" r:id="rId4" name="ComboBox21">
          <controlPr locked="0" defaultSize="0" autoFill="0" autoLine="0" linkedCell="M5" listFillRange="Defaults!B2:B93" r:id="rId5">
            <anchor moveWithCells="1">
              <from>
                <xdr:col>2</xdr:col>
                <xdr:colOff>0</xdr:colOff>
                <xdr:row>3</xdr:row>
                <xdr:rowOff>123825</xdr:rowOff>
              </from>
              <to>
                <xdr:col>4</xdr:col>
                <xdr:colOff>209550</xdr:colOff>
                <xdr:row>5</xdr:row>
                <xdr:rowOff>19050</xdr:rowOff>
              </to>
            </anchor>
          </controlPr>
        </control>
      </mc:Choice>
      <mc:Fallback>
        <control shapeId="3107" r:id="rId4" name="ComboBox21"/>
      </mc:Fallback>
    </mc:AlternateContent>
    <mc:AlternateContent xmlns:mc="http://schemas.openxmlformats.org/markup-compatibility/2006">
      <mc:Choice Requires="x14">
        <control shapeId="3106" r:id="rId6" name="CommandButton2">
          <controlPr locked="0" defaultSize="0" print="0" autoLine="0" r:id="rId7">
            <anchor moveWithCells="1">
              <from>
                <xdr:col>4</xdr:col>
                <xdr:colOff>638175</xdr:colOff>
                <xdr:row>3</xdr:row>
                <xdr:rowOff>114300</xdr:rowOff>
              </from>
              <to>
                <xdr:col>6</xdr:col>
                <xdr:colOff>85725</xdr:colOff>
                <xdr:row>5</xdr:row>
                <xdr:rowOff>28575</xdr:rowOff>
              </to>
            </anchor>
          </controlPr>
        </control>
      </mc:Choice>
      <mc:Fallback>
        <control shapeId="3106" r:id="rId6" name="CommandButton2"/>
      </mc:Fallback>
    </mc:AlternateContent>
    <mc:AlternateContent xmlns:mc="http://schemas.openxmlformats.org/markup-compatibility/2006">
      <mc:Choice Requires="x14">
        <control shapeId="3104" r:id="rId8" name="CommandButton1">
          <controlPr defaultSize="0" print="0" autoLine="0" r:id="rId9">
            <anchor moveWithCells="1">
              <from>
                <xdr:col>8</xdr:col>
                <xdr:colOff>428625</xdr:colOff>
                <xdr:row>7</xdr:row>
                <xdr:rowOff>104775</xdr:rowOff>
              </from>
              <to>
                <xdr:col>9</xdr:col>
                <xdr:colOff>600075</xdr:colOff>
                <xdr:row>9</xdr:row>
                <xdr:rowOff>57150</xdr:rowOff>
              </to>
            </anchor>
          </controlPr>
        </control>
      </mc:Choice>
      <mc:Fallback>
        <control shapeId="3104" r:id="rId8" name="CommandButton1"/>
      </mc:Fallback>
    </mc:AlternateContent>
    <mc:AlternateContent xmlns:mc="http://schemas.openxmlformats.org/markup-compatibility/2006">
      <mc:Choice Requires="x14">
        <control shapeId="3102" r:id="rId10" name="OptionButton2">
          <controlPr defaultSize="0" autoLine="0" linkedCell="Defaults!M38" r:id="rId11">
            <anchor moveWithCells="1">
              <from>
                <xdr:col>6</xdr:col>
                <xdr:colOff>438150</xdr:colOff>
                <xdr:row>12</xdr:row>
                <xdr:rowOff>114300</xdr:rowOff>
              </from>
              <to>
                <xdr:col>9</xdr:col>
                <xdr:colOff>247650</xdr:colOff>
                <xdr:row>14</xdr:row>
                <xdr:rowOff>9525</xdr:rowOff>
              </to>
            </anchor>
          </controlPr>
        </control>
      </mc:Choice>
      <mc:Fallback>
        <control shapeId="3102" r:id="rId10" name="OptionButton2"/>
      </mc:Fallback>
    </mc:AlternateContent>
    <mc:AlternateContent xmlns:mc="http://schemas.openxmlformats.org/markup-compatibility/2006">
      <mc:Choice Requires="x14">
        <control shapeId="3101" r:id="rId12" name="OptionButton1">
          <controlPr defaultSize="0" autoLine="0" linkedCell="Defaults!M37" r:id="rId13">
            <anchor moveWithCells="1">
              <from>
                <xdr:col>6</xdr:col>
                <xdr:colOff>438150</xdr:colOff>
                <xdr:row>10</xdr:row>
                <xdr:rowOff>142875</xdr:rowOff>
              </from>
              <to>
                <xdr:col>9</xdr:col>
                <xdr:colOff>238125</xdr:colOff>
                <xdr:row>12</xdr:row>
                <xdr:rowOff>57150</xdr:rowOff>
              </to>
            </anchor>
          </controlPr>
        </control>
      </mc:Choice>
      <mc:Fallback>
        <control shapeId="3101" r:id="rId12" name="OptionButton1"/>
      </mc:Fallback>
    </mc:AlternateContent>
    <mc:AlternateContent xmlns:mc="http://schemas.openxmlformats.org/markup-compatibility/2006">
      <mc:Choice Requires="x14">
        <control shapeId="3099" r:id="rId14" name="ComboBox20">
          <controlPr defaultSize="0" autoLine="0" linkedCell="M26" listFillRange="Defaults!L41:L64" r:id="rId15">
            <anchor moveWithCells="1">
              <from>
                <xdr:col>8</xdr:col>
                <xdr:colOff>0</xdr:colOff>
                <xdr:row>24</xdr:row>
                <xdr:rowOff>171450</xdr:rowOff>
              </from>
              <to>
                <xdr:col>10</xdr:col>
                <xdr:colOff>76200</xdr:colOff>
                <xdr:row>26</xdr:row>
                <xdr:rowOff>0</xdr:rowOff>
              </to>
            </anchor>
          </controlPr>
        </control>
      </mc:Choice>
      <mc:Fallback>
        <control shapeId="3099" r:id="rId14" name="ComboBox20"/>
      </mc:Fallback>
    </mc:AlternateContent>
    <mc:AlternateContent xmlns:mc="http://schemas.openxmlformats.org/markup-compatibility/2006">
      <mc:Choice Requires="x14">
        <control shapeId="3098" r:id="rId16" name="ComboBox19">
          <controlPr defaultSize="0" autoLine="0" linkedCell="M25" listFillRange="Defaults!L41:L64" r:id="rId15">
            <anchor moveWithCells="1">
              <from>
                <xdr:col>8</xdr:col>
                <xdr:colOff>0</xdr:colOff>
                <xdr:row>23</xdr:row>
                <xdr:rowOff>171450</xdr:rowOff>
              </from>
              <to>
                <xdr:col>10</xdr:col>
                <xdr:colOff>76200</xdr:colOff>
                <xdr:row>25</xdr:row>
                <xdr:rowOff>19050</xdr:rowOff>
              </to>
            </anchor>
          </controlPr>
        </control>
      </mc:Choice>
      <mc:Fallback>
        <control shapeId="3098" r:id="rId16" name="ComboBox19"/>
      </mc:Fallback>
    </mc:AlternateContent>
    <mc:AlternateContent xmlns:mc="http://schemas.openxmlformats.org/markup-compatibility/2006">
      <mc:Choice Requires="x14">
        <control shapeId="3097" r:id="rId17" name="ComboBox18">
          <controlPr defaultSize="0" autoLine="0" linkedCell="M24" listFillRange="Defaults!L41:L64" r:id="rId15">
            <anchor moveWithCells="1">
              <from>
                <xdr:col>8</xdr:col>
                <xdr:colOff>0</xdr:colOff>
                <xdr:row>22</xdr:row>
                <xdr:rowOff>171450</xdr:rowOff>
              </from>
              <to>
                <xdr:col>10</xdr:col>
                <xdr:colOff>76200</xdr:colOff>
                <xdr:row>24</xdr:row>
                <xdr:rowOff>19050</xdr:rowOff>
              </to>
            </anchor>
          </controlPr>
        </control>
      </mc:Choice>
      <mc:Fallback>
        <control shapeId="3097" r:id="rId17" name="ComboBox18"/>
      </mc:Fallback>
    </mc:AlternateContent>
    <mc:AlternateContent xmlns:mc="http://schemas.openxmlformats.org/markup-compatibility/2006">
      <mc:Choice Requires="x14">
        <control shapeId="3096" r:id="rId18" name="ComboBox17">
          <controlPr defaultSize="0" autoLine="0" linkedCell="M23" listFillRange="Defaults!L41:L64" r:id="rId19">
            <anchor moveWithCells="1">
              <from>
                <xdr:col>8</xdr:col>
                <xdr:colOff>0</xdr:colOff>
                <xdr:row>22</xdr:row>
                <xdr:rowOff>0</xdr:rowOff>
              </from>
              <to>
                <xdr:col>10</xdr:col>
                <xdr:colOff>76200</xdr:colOff>
                <xdr:row>23</xdr:row>
                <xdr:rowOff>19050</xdr:rowOff>
              </to>
            </anchor>
          </controlPr>
        </control>
      </mc:Choice>
      <mc:Fallback>
        <control shapeId="3096" r:id="rId18" name="ComboBox17"/>
      </mc:Fallback>
    </mc:AlternateContent>
    <mc:AlternateContent xmlns:mc="http://schemas.openxmlformats.org/markup-compatibility/2006">
      <mc:Choice Requires="x14">
        <control shapeId="3095" r:id="rId20" name="ComboBox16">
          <controlPr defaultSize="0" autoLine="0" linkedCell="M22" listFillRange="Defaults!L41:L64" r:id="rId21">
            <anchor moveWithCells="1">
              <from>
                <xdr:col>8</xdr:col>
                <xdr:colOff>0</xdr:colOff>
                <xdr:row>20</xdr:row>
                <xdr:rowOff>171450</xdr:rowOff>
              </from>
              <to>
                <xdr:col>10</xdr:col>
                <xdr:colOff>76200</xdr:colOff>
                <xdr:row>22</xdr:row>
                <xdr:rowOff>47625</xdr:rowOff>
              </to>
            </anchor>
          </controlPr>
        </control>
      </mc:Choice>
      <mc:Fallback>
        <control shapeId="3095" r:id="rId20" name="ComboBox16"/>
      </mc:Fallback>
    </mc:AlternateContent>
    <mc:AlternateContent xmlns:mc="http://schemas.openxmlformats.org/markup-compatibility/2006">
      <mc:Choice Requires="x14">
        <control shapeId="3094" r:id="rId22" name="ComboBox15">
          <controlPr defaultSize="0" autoLine="0" linkedCell="L26" listFillRange="Defaults!L2:L7" r:id="rId23">
            <anchor moveWithCells="1">
              <from>
                <xdr:col>1</xdr:col>
                <xdr:colOff>0</xdr:colOff>
                <xdr:row>24</xdr:row>
                <xdr:rowOff>171450</xdr:rowOff>
              </from>
              <to>
                <xdr:col>3</xdr:col>
                <xdr:colOff>47625</xdr:colOff>
                <xdr:row>26</xdr:row>
                <xdr:rowOff>0</xdr:rowOff>
              </to>
            </anchor>
          </controlPr>
        </control>
      </mc:Choice>
      <mc:Fallback>
        <control shapeId="3094" r:id="rId22" name="ComboBox15"/>
      </mc:Fallback>
    </mc:AlternateContent>
    <mc:AlternateContent xmlns:mc="http://schemas.openxmlformats.org/markup-compatibility/2006">
      <mc:Choice Requires="x14">
        <control shapeId="3093" r:id="rId24" name="ComboBox14">
          <controlPr defaultSize="0" autoLine="0" linkedCell="L25" listFillRange="Defaults!L2:L7" r:id="rId23">
            <anchor moveWithCells="1">
              <from>
                <xdr:col>1</xdr:col>
                <xdr:colOff>0</xdr:colOff>
                <xdr:row>23</xdr:row>
                <xdr:rowOff>171450</xdr:rowOff>
              </from>
              <to>
                <xdr:col>3</xdr:col>
                <xdr:colOff>47625</xdr:colOff>
                <xdr:row>25</xdr:row>
                <xdr:rowOff>19050</xdr:rowOff>
              </to>
            </anchor>
          </controlPr>
        </control>
      </mc:Choice>
      <mc:Fallback>
        <control shapeId="3093" r:id="rId24" name="ComboBox14"/>
      </mc:Fallback>
    </mc:AlternateContent>
    <mc:AlternateContent xmlns:mc="http://schemas.openxmlformats.org/markup-compatibility/2006">
      <mc:Choice Requires="x14">
        <control shapeId="3092" r:id="rId25" name="ComboBox13">
          <controlPr defaultSize="0" autoLine="0" linkedCell="L24" listFillRange="Defaults!L2:L7" r:id="rId23">
            <anchor moveWithCells="1">
              <from>
                <xdr:col>1</xdr:col>
                <xdr:colOff>0</xdr:colOff>
                <xdr:row>22</xdr:row>
                <xdr:rowOff>171450</xdr:rowOff>
              </from>
              <to>
                <xdr:col>3</xdr:col>
                <xdr:colOff>47625</xdr:colOff>
                <xdr:row>24</xdr:row>
                <xdr:rowOff>19050</xdr:rowOff>
              </to>
            </anchor>
          </controlPr>
        </control>
      </mc:Choice>
      <mc:Fallback>
        <control shapeId="3092" r:id="rId25" name="ComboBox13"/>
      </mc:Fallback>
    </mc:AlternateContent>
    <mc:AlternateContent xmlns:mc="http://schemas.openxmlformats.org/markup-compatibility/2006">
      <mc:Choice Requires="x14">
        <control shapeId="3091" r:id="rId26" name="ComboBox12">
          <controlPr defaultSize="0" autoLine="0" linkedCell="L23" listFillRange="Defaults!L2:L7" r:id="rId27">
            <anchor moveWithCells="1">
              <from>
                <xdr:col>1</xdr:col>
                <xdr:colOff>0</xdr:colOff>
                <xdr:row>21</xdr:row>
                <xdr:rowOff>171450</xdr:rowOff>
              </from>
              <to>
                <xdr:col>3</xdr:col>
                <xdr:colOff>47625</xdr:colOff>
                <xdr:row>23</xdr:row>
                <xdr:rowOff>28575</xdr:rowOff>
              </to>
            </anchor>
          </controlPr>
        </control>
      </mc:Choice>
      <mc:Fallback>
        <control shapeId="3091" r:id="rId26" name="ComboBox12"/>
      </mc:Fallback>
    </mc:AlternateContent>
    <mc:AlternateContent xmlns:mc="http://schemas.openxmlformats.org/markup-compatibility/2006">
      <mc:Choice Requires="x14">
        <control shapeId="3090" r:id="rId28" name="ComboBox11">
          <controlPr defaultSize="0" autoLine="0" linkedCell="L22" listFillRange="Defaults!L2:L7" r:id="rId27">
            <anchor moveWithCells="1">
              <from>
                <xdr:col>1</xdr:col>
                <xdr:colOff>0</xdr:colOff>
                <xdr:row>20</xdr:row>
                <xdr:rowOff>171450</xdr:rowOff>
              </from>
              <to>
                <xdr:col>3</xdr:col>
                <xdr:colOff>47625</xdr:colOff>
                <xdr:row>22</xdr:row>
                <xdr:rowOff>28575</xdr:rowOff>
              </to>
            </anchor>
          </controlPr>
        </control>
      </mc:Choice>
      <mc:Fallback>
        <control shapeId="3090" r:id="rId28" name="ComboBox11"/>
      </mc:Fallback>
    </mc:AlternateContent>
    <mc:AlternateContent xmlns:mc="http://schemas.openxmlformats.org/markup-compatibility/2006">
      <mc:Choice Requires="x14">
        <control shapeId="3089" r:id="rId29" name="ComboBox10">
          <controlPr defaultSize="0" autoLine="0" linkedCell="M21" listFillRange="Defaults!L41:L64" r:id="rId30">
            <anchor moveWithCells="1">
              <from>
                <xdr:col>8</xdr:col>
                <xdr:colOff>0</xdr:colOff>
                <xdr:row>19</xdr:row>
                <xdr:rowOff>180975</xdr:rowOff>
              </from>
              <to>
                <xdr:col>10</xdr:col>
                <xdr:colOff>76200</xdr:colOff>
                <xdr:row>21</xdr:row>
                <xdr:rowOff>28575</xdr:rowOff>
              </to>
            </anchor>
          </controlPr>
        </control>
      </mc:Choice>
      <mc:Fallback>
        <control shapeId="3089" r:id="rId29" name="ComboBox10"/>
      </mc:Fallback>
    </mc:AlternateContent>
    <mc:AlternateContent xmlns:mc="http://schemas.openxmlformats.org/markup-compatibility/2006">
      <mc:Choice Requires="x14">
        <control shapeId="3088" r:id="rId31" name="ComboBox9">
          <controlPr defaultSize="0" autoLine="0" linkedCell="M20" listFillRange="Defaults!L41:L64" r:id="rId30">
            <anchor moveWithCells="1">
              <from>
                <xdr:col>8</xdr:col>
                <xdr:colOff>0</xdr:colOff>
                <xdr:row>18</xdr:row>
                <xdr:rowOff>180975</xdr:rowOff>
              </from>
              <to>
                <xdr:col>10</xdr:col>
                <xdr:colOff>76200</xdr:colOff>
                <xdr:row>20</xdr:row>
                <xdr:rowOff>19050</xdr:rowOff>
              </to>
            </anchor>
          </controlPr>
        </control>
      </mc:Choice>
      <mc:Fallback>
        <control shapeId="3088" r:id="rId31" name="ComboBox9"/>
      </mc:Fallback>
    </mc:AlternateContent>
    <mc:AlternateContent xmlns:mc="http://schemas.openxmlformats.org/markup-compatibility/2006">
      <mc:Choice Requires="x14">
        <control shapeId="3087" r:id="rId32" name="ComboBox8">
          <controlPr defaultSize="0" autoLine="0" linkedCell="M19" listFillRange="Defaults!L41:L64" r:id="rId30">
            <anchor moveWithCells="1">
              <from>
                <xdr:col>8</xdr:col>
                <xdr:colOff>0</xdr:colOff>
                <xdr:row>17</xdr:row>
                <xdr:rowOff>180975</xdr:rowOff>
              </from>
              <to>
                <xdr:col>10</xdr:col>
                <xdr:colOff>76200</xdr:colOff>
                <xdr:row>19</xdr:row>
                <xdr:rowOff>19050</xdr:rowOff>
              </to>
            </anchor>
          </controlPr>
        </control>
      </mc:Choice>
      <mc:Fallback>
        <control shapeId="3087" r:id="rId32" name="ComboBox8"/>
      </mc:Fallback>
    </mc:AlternateContent>
    <mc:AlternateContent xmlns:mc="http://schemas.openxmlformats.org/markup-compatibility/2006">
      <mc:Choice Requires="x14">
        <control shapeId="3086" r:id="rId33" name="ComboBox7">
          <controlPr defaultSize="0" autoLine="0" linkedCell="M18" listFillRange="Defaults!L41:L64" r:id="rId30">
            <anchor moveWithCells="1">
              <from>
                <xdr:col>8</xdr:col>
                <xdr:colOff>0</xdr:colOff>
                <xdr:row>17</xdr:row>
                <xdr:rowOff>0</xdr:rowOff>
              </from>
              <to>
                <xdr:col>10</xdr:col>
                <xdr:colOff>76200</xdr:colOff>
                <xdr:row>18</xdr:row>
                <xdr:rowOff>28575</xdr:rowOff>
              </to>
            </anchor>
          </controlPr>
        </control>
      </mc:Choice>
      <mc:Fallback>
        <control shapeId="3086" r:id="rId33" name="ComboBox7"/>
      </mc:Fallback>
    </mc:AlternateContent>
    <mc:AlternateContent xmlns:mc="http://schemas.openxmlformats.org/markup-compatibility/2006">
      <mc:Choice Requires="x14">
        <control shapeId="3081" r:id="rId34" name="ComboBox6">
          <controlPr defaultSize="0" autoLine="0" linkedCell="M17" listFillRange="Defaults!L41:L64" r:id="rId30">
            <anchor moveWithCells="1">
              <from>
                <xdr:col>8</xdr:col>
                <xdr:colOff>0</xdr:colOff>
                <xdr:row>16</xdr:row>
                <xdr:rowOff>0</xdr:rowOff>
              </from>
              <to>
                <xdr:col>10</xdr:col>
                <xdr:colOff>76200</xdr:colOff>
                <xdr:row>17</xdr:row>
                <xdr:rowOff>28575</xdr:rowOff>
              </to>
            </anchor>
          </controlPr>
        </control>
      </mc:Choice>
      <mc:Fallback>
        <control shapeId="3081" r:id="rId34" name="ComboBox6"/>
      </mc:Fallback>
    </mc:AlternateContent>
    <mc:AlternateContent xmlns:mc="http://schemas.openxmlformats.org/markup-compatibility/2006">
      <mc:Choice Requires="x14">
        <control shapeId="3077" r:id="rId35" name="ComboBox5">
          <controlPr defaultSize="0" autoLine="0" linkedCell="L21" listFillRange="Defaults!L2:L7" r:id="rId27">
            <anchor moveWithCells="1">
              <from>
                <xdr:col>1</xdr:col>
                <xdr:colOff>0</xdr:colOff>
                <xdr:row>19</xdr:row>
                <xdr:rowOff>180975</xdr:rowOff>
              </from>
              <to>
                <xdr:col>3</xdr:col>
                <xdr:colOff>47625</xdr:colOff>
                <xdr:row>21</xdr:row>
                <xdr:rowOff>28575</xdr:rowOff>
              </to>
            </anchor>
          </controlPr>
        </control>
      </mc:Choice>
      <mc:Fallback>
        <control shapeId="3077" r:id="rId35" name="ComboBox5"/>
      </mc:Fallback>
    </mc:AlternateContent>
    <mc:AlternateContent xmlns:mc="http://schemas.openxmlformats.org/markup-compatibility/2006">
      <mc:Choice Requires="x14">
        <control shapeId="3076" r:id="rId36" name="ComboBox4">
          <controlPr defaultSize="0" autoLine="0" linkedCell="L20" listFillRange="Defaults!L2:L7" r:id="rId27">
            <anchor moveWithCells="1">
              <from>
                <xdr:col>1</xdr:col>
                <xdr:colOff>0</xdr:colOff>
                <xdr:row>18</xdr:row>
                <xdr:rowOff>180975</xdr:rowOff>
              </from>
              <to>
                <xdr:col>3</xdr:col>
                <xdr:colOff>47625</xdr:colOff>
                <xdr:row>20</xdr:row>
                <xdr:rowOff>19050</xdr:rowOff>
              </to>
            </anchor>
          </controlPr>
        </control>
      </mc:Choice>
      <mc:Fallback>
        <control shapeId="3076" r:id="rId36" name="ComboBox4"/>
      </mc:Fallback>
    </mc:AlternateContent>
    <mc:AlternateContent xmlns:mc="http://schemas.openxmlformats.org/markup-compatibility/2006">
      <mc:Choice Requires="x14">
        <control shapeId="3075" r:id="rId37" name="ComboBox3">
          <controlPr defaultSize="0" autoLine="0" linkedCell="L19" listFillRange="Defaults!L2:L7" r:id="rId27">
            <anchor moveWithCells="1">
              <from>
                <xdr:col>1</xdr:col>
                <xdr:colOff>0</xdr:colOff>
                <xdr:row>17</xdr:row>
                <xdr:rowOff>180975</xdr:rowOff>
              </from>
              <to>
                <xdr:col>3</xdr:col>
                <xdr:colOff>47625</xdr:colOff>
                <xdr:row>19</xdr:row>
                <xdr:rowOff>19050</xdr:rowOff>
              </to>
            </anchor>
          </controlPr>
        </control>
      </mc:Choice>
      <mc:Fallback>
        <control shapeId="3075" r:id="rId37" name="ComboBox3"/>
      </mc:Fallback>
    </mc:AlternateContent>
    <mc:AlternateContent xmlns:mc="http://schemas.openxmlformats.org/markup-compatibility/2006">
      <mc:Choice Requires="x14">
        <control shapeId="3074" r:id="rId38" name="ComboBox2">
          <controlPr defaultSize="0" autoLine="0" linkedCell="L18" listFillRange="Defaults!L2:L7" r:id="rId27">
            <anchor moveWithCells="1">
              <from>
                <xdr:col>1</xdr:col>
                <xdr:colOff>0</xdr:colOff>
                <xdr:row>17</xdr:row>
                <xdr:rowOff>0</xdr:rowOff>
              </from>
              <to>
                <xdr:col>3</xdr:col>
                <xdr:colOff>47625</xdr:colOff>
                <xdr:row>18</xdr:row>
                <xdr:rowOff>28575</xdr:rowOff>
              </to>
            </anchor>
          </controlPr>
        </control>
      </mc:Choice>
      <mc:Fallback>
        <control shapeId="3074" r:id="rId38" name="ComboBox2"/>
      </mc:Fallback>
    </mc:AlternateContent>
    <mc:AlternateContent xmlns:mc="http://schemas.openxmlformats.org/markup-compatibility/2006">
      <mc:Choice Requires="x14">
        <control shapeId="3073" r:id="rId39" name="ComboBox1">
          <controlPr defaultSize="0" autoLine="0" linkedCell="L17" listFillRange="Defaults!L2:L7" r:id="rId27">
            <anchor moveWithCells="1">
              <from>
                <xdr:col>1</xdr:col>
                <xdr:colOff>0</xdr:colOff>
                <xdr:row>16</xdr:row>
                <xdr:rowOff>0</xdr:rowOff>
              </from>
              <to>
                <xdr:col>3</xdr:col>
                <xdr:colOff>47625</xdr:colOff>
                <xdr:row>17</xdr:row>
                <xdr:rowOff>28575</xdr:rowOff>
              </to>
            </anchor>
          </controlPr>
        </control>
      </mc:Choice>
      <mc:Fallback>
        <control shapeId="3073" r:id="rId39" name="Combo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tabColor indexed="42"/>
  </sheetPr>
  <dimension ref="A1:P30"/>
  <sheetViews>
    <sheetView showGridLines="0" zoomScaleNormal="100" workbookViewId="0">
      <selection activeCell="A3" sqref="A3"/>
    </sheetView>
  </sheetViews>
  <sheetFormatPr defaultRowHeight="12.75" x14ac:dyDescent="0.2"/>
  <cols>
    <col min="1" max="1" width="9.5703125" bestFit="1" customWidth="1"/>
    <col min="2" max="3" width="8.28515625" customWidth="1"/>
    <col min="4" max="5" width="8.5703125" bestFit="1" customWidth="1"/>
    <col min="6" max="6" width="10.140625" bestFit="1" customWidth="1"/>
    <col min="7" max="7" width="10.85546875" bestFit="1" customWidth="1"/>
    <col min="8" max="8" width="8.28515625" customWidth="1"/>
    <col min="9" max="10" width="10.28515625" customWidth="1"/>
    <col min="12" max="16" width="8.7109375" hidden="1" customWidth="1"/>
  </cols>
  <sheetData>
    <row r="1" spans="1:15" ht="24.75" customHeight="1" thickTop="1" thickBot="1" x14ac:dyDescent="0.4">
      <c r="A1" s="232" t="s">
        <v>214</v>
      </c>
      <c r="B1" s="233"/>
      <c r="C1" s="233"/>
      <c r="D1" s="233"/>
      <c r="E1" s="231"/>
      <c r="F1" s="231"/>
      <c r="G1" s="231"/>
      <c r="H1" s="234"/>
      <c r="I1" s="374"/>
      <c r="J1" s="375"/>
    </row>
    <row r="2" spans="1:15" ht="13.5" thickTop="1" x14ac:dyDescent="0.2"/>
    <row r="7" spans="1:15" ht="12.75" customHeight="1" x14ac:dyDescent="0.2">
      <c r="A7" s="391" t="s">
        <v>6</v>
      </c>
      <c r="B7" s="376" t="s">
        <v>203</v>
      </c>
      <c r="C7" s="377"/>
      <c r="D7" s="185" t="s">
        <v>207</v>
      </c>
      <c r="E7" s="185" t="s">
        <v>205</v>
      </c>
      <c r="F7" s="185" t="s">
        <v>205</v>
      </c>
      <c r="G7" s="185" t="s">
        <v>210</v>
      </c>
      <c r="H7" s="399" t="s">
        <v>149</v>
      </c>
      <c r="I7" s="384" t="s">
        <v>206</v>
      </c>
      <c r="J7" s="401"/>
    </row>
    <row r="8" spans="1:15" x14ac:dyDescent="0.2">
      <c r="A8" s="392"/>
      <c r="B8" s="403"/>
      <c r="C8" s="404"/>
      <c r="D8" s="186" t="s">
        <v>208</v>
      </c>
      <c r="E8" s="186" t="s">
        <v>208</v>
      </c>
      <c r="F8" s="186" t="s">
        <v>209</v>
      </c>
      <c r="G8" s="186" t="s">
        <v>211</v>
      </c>
      <c r="H8" s="400"/>
      <c r="I8" s="94" t="s">
        <v>212</v>
      </c>
      <c r="J8" s="199" t="s">
        <v>213</v>
      </c>
    </row>
    <row r="9" spans="1:15" ht="15" customHeight="1" x14ac:dyDescent="0.2">
      <c r="A9" s="97">
        <f>IF(ISBLANK('WASCOB Design 1'!F12),"",'WASCOB Design 1'!F12)</f>
        <v>1</v>
      </c>
      <c r="B9" s="378"/>
      <c r="C9" s="379"/>
      <c r="D9" s="215" t="str">
        <f>IF(N9="Direct","",'WASCOB Design 1'!$G$45)</f>
        <v/>
      </c>
      <c r="E9" s="14"/>
      <c r="F9" s="204"/>
      <c r="G9" s="20"/>
      <c r="H9" s="202"/>
      <c r="I9" s="195" t="str">
        <f>IF(N9="Direct","",IF(Defaults!$M$37=TRUE,'WASCOB Design 1'!$G$40,IF(Defaults!$M$38=TRUE,'WASCOB Design 1'!$G$41,"")))</f>
        <v/>
      </c>
      <c r="J9" s="195" t="str">
        <f>IF(AND(ISNUMBER(H9),ISNUMBER(G9),ISNUMBER(F9),ISNUMBER(E9)),((1.486/H9)*((((PI()*(E9/12)^2)/4)-(((E9/12)/2)^2*((2*ACOS((((E9/12)/2)-((E9/12)-((E9*0.938333)/12)))/((E9/12)/2)))-SIN(2*ACOS((((E9/12)/2)-((E9/12)-((E9*0.938333)/12)))/((E9/12)/2))))/2))/((PI()*(E9/12))-((2*ACOS((((E9/12)/2)-((E9/12)-((E9*0.938333)/12)))/((E9/12)/2)))*((E9/12)/2))))^(2/3)*(G9/F9)^0.5)*(((PI()*(E9/12)^2)/4)-(((E9/12)/2)^2*((2*ACOS((((E9/12)/2)-((E9/12)-((E9*0.938333)/12)))/((E9/12)/2)))-SIN(2*ACOS((((E9/12)/2)-((E9/12)-((E9*0.938333)/12)))/((E9/12)/2))))/2)),"")</f>
        <v/>
      </c>
      <c r="M9" s="167" t="s">
        <v>204</v>
      </c>
      <c r="N9" s="210" t="s">
        <v>244</v>
      </c>
      <c r="O9" s="167" t="b">
        <f>IF(ISNUMBER(I9),IF(I9&gt;J9,TRUE,FALSE),FALSE)</f>
        <v>0</v>
      </c>
    </row>
    <row r="10" spans="1:15" ht="15" customHeight="1" x14ac:dyDescent="0.2">
      <c r="A10" s="97">
        <f>IF(ISBLANK('WASCOB Design 2'!F12),"",'WASCOB Design 2'!F12)</f>
        <v>2</v>
      </c>
      <c r="B10" s="380"/>
      <c r="C10" s="381"/>
      <c r="D10" s="215" t="str">
        <f>IF(N10="Direct","",'WASCOB Design 2'!$G$45)</f>
        <v/>
      </c>
      <c r="E10" s="14"/>
      <c r="F10" s="204"/>
      <c r="G10" s="20"/>
      <c r="H10" s="202"/>
      <c r="I10" s="195" t="str">
        <f>IF(N10="Direct","",IF(Defaults!$M$37=TRUE,'WASCOB Design 2'!$G$40,IF(Defaults!$M$38=TRUE,'WASCOB Design 2'!$G$41,"")))</f>
        <v/>
      </c>
      <c r="J10" s="195" t="str">
        <f>IF(AND(ISNUMBER(H10),ISNUMBER(G10),ISNUMBER(F10),ISNUMBER(E10)),((1.486/H10)*((((PI()*(E10/12)^2)/4)-(((E10/12)/2)^2*((2*ACOS((((E10/12)/2)-((E10/12)-((E10*0.938333)/12)))/((E10/12)/2)))-SIN(2*ACOS((((E10/12)/2)-((E10/12)-((E10*0.938333)/12)))/((E10/12)/2))))/2))/((PI()*(E10/12))-((2*ACOS((((E10/12)/2)-((E10/12)-((E10*0.938333)/12)))/((E10/12)/2)))*((E10/12)/2))))^(2/3)*(G10/F10)^0.5)*(((PI()*(E10/12)^2)/4)-(((E10/12)/2)^2*((2*ACOS((((E10/12)/2)-((E10/12)-((E10*0.938333)/12)))/((E10/12)/2)))-SIN(2*ACOS((((E10/12)/2)-((E10/12)-((E10*0.938333)/12)))/((E10/12)/2))))/2)),"")</f>
        <v/>
      </c>
      <c r="M10" s="167" t="s">
        <v>205</v>
      </c>
      <c r="N10" s="211"/>
      <c r="O10" s="167" t="b">
        <f>IF(ISNUMBER(I10),IF(I10&gt;J10,TRUE,FALSE),FALSE)</f>
        <v>0</v>
      </c>
    </row>
    <row r="11" spans="1:15" ht="15" customHeight="1" x14ac:dyDescent="0.2">
      <c r="A11" s="145">
        <f>IF(ISBLANK('WASCOB Design 3'!F12),"",'WASCOB Design 3'!F12)</f>
        <v>3</v>
      </c>
      <c r="B11" s="402"/>
      <c r="C11" s="401"/>
      <c r="D11" s="215" t="str">
        <f>IF(N11="Direct","",'WASCOB Design 3'!$G$45)</f>
        <v/>
      </c>
      <c r="E11" s="14"/>
      <c r="F11" s="204"/>
      <c r="G11" s="20"/>
      <c r="H11" s="203"/>
      <c r="I11" s="195" t="str">
        <f>IF(N11="Direct","",IF(Defaults!$M$37=TRUE,'WASCOB Design 3'!$G$40,IF(Defaults!$M$38=TRUE,'WASCOB Design 3'!$G$41,"")))</f>
        <v/>
      </c>
      <c r="J11" s="195" t="str">
        <f>IF(AND(ISNUMBER(H11),ISNUMBER(G11),ISNUMBER(F11),ISNUMBER(E11)),((1.486/H11)*((((PI()*(E11/12)^2)/4)-(((E11/12)/2)^2*((2*ACOS((((E11/12)/2)-((E11/12)-((E11*0.938333)/12)))/((E11/12)/2)))-SIN(2*ACOS((((E11/12)/2)-((E11/12)-((E11*0.938333)/12)))/((E11/12)/2))))/2))/((PI()*(E11/12))-((2*ACOS((((E11/12)/2)-((E11/12)-((E11*0.938333)/12)))/((E11/12)/2)))*((E11/12)/2))))^(2/3)*(G11/F11)^0.5)*(((PI()*(E11/12)^2)/4)-(((E11/12)/2)^2*((2*ACOS((((E11/12)/2)-((E11/12)-((E11*0.938333)/12)))/((E11/12)/2)))-SIN(2*ACOS((((E11/12)/2)-((E11/12)-((E11*0.938333)/12)))/((E11/12)/2))))/2)),"")</f>
        <v/>
      </c>
      <c r="M11" s="167"/>
      <c r="N11" s="212"/>
      <c r="O11" s="167" t="b">
        <f>IF(ISNUMBER(I11),IF(I11&gt;J11,TRUE,FALSE),FALSE)</f>
        <v>0</v>
      </c>
    </row>
    <row r="12" spans="1:15" x14ac:dyDescent="0.2">
      <c r="A12" s="75"/>
      <c r="B12" s="23"/>
      <c r="C12" s="23"/>
      <c r="D12" s="196"/>
      <c r="E12" s="205"/>
      <c r="F12" s="115"/>
      <c r="G12" s="110"/>
      <c r="H12" s="206"/>
      <c r="I12" s="200"/>
      <c r="J12" s="200"/>
      <c r="M12" s="167"/>
    </row>
    <row r="13" spans="1:15" x14ac:dyDescent="0.2">
      <c r="A13" s="75"/>
      <c r="B13" s="197"/>
      <c r="C13" s="197"/>
      <c r="D13" s="196"/>
      <c r="E13" s="207"/>
      <c r="F13" s="115"/>
      <c r="G13" s="208"/>
      <c r="H13" s="209"/>
      <c r="I13" s="201"/>
      <c r="J13" s="201"/>
    </row>
    <row r="14" spans="1:15" x14ac:dyDescent="0.2">
      <c r="A14" s="75"/>
      <c r="B14" s="23"/>
      <c r="C14" s="23"/>
      <c r="D14" s="196"/>
      <c r="E14" s="205"/>
      <c r="F14" s="115"/>
      <c r="G14" s="110"/>
      <c r="H14" s="206"/>
      <c r="I14" s="5"/>
      <c r="J14" s="5"/>
    </row>
    <row r="15" spans="1:15" x14ac:dyDescent="0.2">
      <c r="A15" s="75"/>
      <c r="B15" s="23"/>
      <c r="C15" s="23"/>
      <c r="D15" s="196"/>
      <c r="E15" s="205"/>
      <c r="F15" s="115"/>
      <c r="G15" s="110"/>
      <c r="H15" s="206"/>
      <c r="I15" s="5"/>
      <c r="J15" s="5"/>
    </row>
    <row r="16" spans="1:15" x14ac:dyDescent="0.2">
      <c r="A16" s="75"/>
      <c r="B16" s="23"/>
      <c r="C16" s="23"/>
      <c r="D16" s="196"/>
      <c r="E16" s="205"/>
      <c r="F16" s="115"/>
      <c r="G16" s="110"/>
      <c r="H16" s="206"/>
      <c r="I16" s="5"/>
      <c r="J16" s="5"/>
    </row>
    <row r="17" spans="1:10" x14ac:dyDescent="0.2">
      <c r="A17" s="75"/>
      <c r="B17" s="23"/>
      <c r="D17" s="196"/>
      <c r="E17" s="205"/>
      <c r="F17" s="115"/>
      <c r="G17" s="110"/>
      <c r="H17" s="206"/>
      <c r="I17" s="5"/>
      <c r="J17" s="5"/>
    </row>
    <row r="18" spans="1:10" x14ac:dyDescent="0.2">
      <c r="A18" s="75"/>
      <c r="B18" s="23"/>
      <c r="C18" s="23"/>
      <c r="D18" s="196"/>
      <c r="E18" s="205"/>
      <c r="F18" s="115"/>
      <c r="G18" s="110"/>
      <c r="H18" s="206"/>
      <c r="I18" s="198"/>
      <c r="J18" s="5"/>
    </row>
    <row r="19" spans="1:10" x14ac:dyDescent="0.2">
      <c r="E19" s="122"/>
      <c r="F19" s="122"/>
      <c r="G19" s="122"/>
      <c r="H19" s="122"/>
    </row>
    <row r="20" spans="1:10" x14ac:dyDescent="0.2">
      <c r="E20" s="122"/>
      <c r="F20" s="122"/>
      <c r="G20" s="122"/>
      <c r="H20" s="122"/>
    </row>
    <row r="21" spans="1:10" x14ac:dyDescent="0.2">
      <c r="E21" s="122"/>
      <c r="F21" s="122"/>
      <c r="G21" s="122"/>
      <c r="H21" s="122"/>
    </row>
    <row r="22" spans="1:10" x14ac:dyDescent="0.2">
      <c r="E22" s="122"/>
      <c r="F22" s="122"/>
      <c r="G22" s="122"/>
      <c r="H22" s="122"/>
    </row>
    <row r="23" spans="1:10" x14ac:dyDescent="0.2">
      <c r="E23" s="122"/>
      <c r="F23" s="122"/>
      <c r="G23" s="122"/>
      <c r="H23" s="122"/>
    </row>
    <row r="24" spans="1:10" x14ac:dyDescent="0.2">
      <c r="E24" s="122"/>
      <c r="F24" s="122"/>
      <c r="G24" s="122"/>
      <c r="H24" s="122"/>
    </row>
    <row r="25" spans="1:10" x14ac:dyDescent="0.2">
      <c r="E25" s="122"/>
      <c r="F25" s="122"/>
      <c r="G25" s="122"/>
      <c r="H25" s="122"/>
    </row>
    <row r="26" spans="1:10" x14ac:dyDescent="0.2">
      <c r="E26" s="122"/>
      <c r="F26" s="122"/>
      <c r="G26" s="122"/>
      <c r="H26" s="122"/>
    </row>
    <row r="27" spans="1:10" x14ac:dyDescent="0.2">
      <c r="E27" s="122"/>
      <c r="F27" s="122"/>
      <c r="G27" s="122"/>
      <c r="H27" s="122"/>
    </row>
    <row r="28" spans="1:10" x14ac:dyDescent="0.2">
      <c r="E28" s="122"/>
      <c r="F28" s="122"/>
      <c r="G28" s="122"/>
      <c r="H28" s="122"/>
    </row>
    <row r="29" spans="1:10" x14ac:dyDescent="0.2">
      <c r="E29" s="122"/>
      <c r="F29" s="122"/>
      <c r="G29" s="122"/>
      <c r="H29" s="122"/>
    </row>
    <row r="30" spans="1:10" x14ac:dyDescent="0.2">
      <c r="E30" s="122"/>
      <c r="F30" s="122"/>
      <c r="G30" s="122"/>
      <c r="H30" s="122"/>
    </row>
  </sheetData>
  <sheetProtection selectLockedCells="1"/>
  <mergeCells count="8">
    <mergeCell ref="A7:A8"/>
    <mergeCell ref="B7:C8"/>
    <mergeCell ref="H7:H8"/>
    <mergeCell ref="I1:J1"/>
    <mergeCell ref="I7:J7"/>
    <mergeCell ref="B11:C11"/>
    <mergeCell ref="B10:C10"/>
    <mergeCell ref="B9:C9"/>
  </mergeCells>
  <phoneticPr fontId="2" type="noConversion"/>
  <conditionalFormatting sqref="J9:J11">
    <cfRule type="expression" dxfId="19" priority="1" stopIfTrue="1">
      <formula>$O9=TRUE</formula>
    </cfRule>
  </conditionalFormatting>
  <pageMargins left="0.5" right="0.5" top="1" bottom="1" header="0.5" footer="0.5"/>
  <pageSetup orientation="portrait" r:id="rId1"/>
  <headerFooter alignWithMargins="0"/>
  <drawing r:id="rId2"/>
  <legacyDrawing r:id="rId3"/>
  <controls>
    <mc:AlternateContent xmlns:mc="http://schemas.openxmlformats.org/markup-compatibility/2006">
      <mc:Choice Requires="x14">
        <control shapeId="6152" r:id="rId4" name="CommandButton1">
          <controlPr defaultSize="0" print="0" autoLine="0" r:id="rId5">
            <anchor moveWithCells="1">
              <from>
                <xdr:col>8</xdr:col>
                <xdr:colOff>57150</xdr:colOff>
                <xdr:row>2</xdr:row>
                <xdr:rowOff>104775</xdr:rowOff>
              </from>
              <to>
                <xdr:col>9</xdr:col>
                <xdr:colOff>104775</xdr:colOff>
                <xdr:row>4</xdr:row>
                <xdr:rowOff>57150</xdr:rowOff>
              </to>
            </anchor>
          </controlPr>
        </control>
      </mc:Choice>
      <mc:Fallback>
        <control shapeId="6152" r:id="rId4" name="CommandButton1"/>
      </mc:Fallback>
    </mc:AlternateContent>
    <mc:AlternateContent xmlns:mc="http://schemas.openxmlformats.org/markup-compatibility/2006">
      <mc:Choice Requires="x14">
        <control shapeId="6149" r:id="rId6" name="ComboBox1">
          <controlPr defaultSize="0" autoLine="0" linkedCell="N11" listFillRange="M9:M10" r:id="rId7">
            <anchor moveWithCells="1">
              <from>
                <xdr:col>1</xdr:col>
                <xdr:colOff>0</xdr:colOff>
                <xdr:row>9</xdr:row>
                <xdr:rowOff>171450</xdr:rowOff>
              </from>
              <to>
                <xdr:col>3</xdr:col>
                <xdr:colOff>38100</xdr:colOff>
                <xdr:row>11</xdr:row>
                <xdr:rowOff>0</xdr:rowOff>
              </to>
            </anchor>
          </controlPr>
        </control>
      </mc:Choice>
      <mc:Fallback>
        <control shapeId="6149" r:id="rId6" name="ComboBox1"/>
      </mc:Fallback>
    </mc:AlternateContent>
    <mc:AlternateContent xmlns:mc="http://schemas.openxmlformats.org/markup-compatibility/2006">
      <mc:Choice Requires="x14">
        <control shapeId="6148" r:id="rId8" name="ComboBox3">
          <controlPr defaultSize="0" autoLine="0" linkedCell="N10" listFillRange="M9:M10" r:id="rId7">
            <anchor moveWithCells="1">
              <from>
                <xdr:col>1</xdr:col>
                <xdr:colOff>0</xdr:colOff>
                <xdr:row>8</xdr:row>
                <xdr:rowOff>180975</xdr:rowOff>
              </from>
              <to>
                <xdr:col>3</xdr:col>
                <xdr:colOff>38100</xdr:colOff>
                <xdr:row>10</xdr:row>
                <xdr:rowOff>9525</xdr:rowOff>
              </to>
            </anchor>
          </controlPr>
        </control>
      </mc:Choice>
      <mc:Fallback>
        <control shapeId="6148" r:id="rId8" name="ComboBox3"/>
      </mc:Fallback>
    </mc:AlternateContent>
    <mc:AlternateContent xmlns:mc="http://schemas.openxmlformats.org/markup-compatibility/2006">
      <mc:Choice Requires="x14">
        <control shapeId="6147" r:id="rId9" name="ComboBox2">
          <controlPr defaultSize="0" autoLine="0" linkedCell="N9" listFillRange="M9:M10" r:id="rId7">
            <anchor moveWithCells="1">
              <from>
                <xdr:col>1</xdr:col>
                <xdr:colOff>0</xdr:colOff>
                <xdr:row>8</xdr:row>
                <xdr:rowOff>0</xdr:rowOff>
              </from>
              <to>
                <xdr:col>3</xdr:col>
                <xdr:colOff>38100</xdr:colOff>
                <xdr:row>9</xdr:row>
                <xdr:rowOff>19050</xdr:rowOff>
              </to>
            </anchor>
          </controlPr>
        </control>
      </mc:Choice>
      <mc:Fallback>
        <control shapeId="6147" r:id="rId9" name="ComboBox2"/>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9" tint="0.39997558519241921"/>
  </sheetPr>
  <dimension ref="A1:L53"/>
  <sheetViews>
    <sheetView showGridLines="0" topLeftCell="A16" zoomScaleNormal="100" workbookViewId="0">
      <selection activeCell="E63" sqref="E63"/>
    </sheetView>
  </sheetViews>
  <sheetFormatPr defaultColWidth="20.7109375" defaultRowHeight="12.75" x14ac:dyDescent="0.2"/>
  <cols>
    <col min="1" max="2" width="20.7109375" customWidth="1"/>
    <col min="5" max="5" width="20.7109375" customWidth="1"/>
    <col min="7" max="7" width="20.7109375" customWidth="1"/>
    <col min="8" max="9" width="20.7109375" style="219" customWidth="1"/>
    <col min="10" max="12" width="20.7109375" style="220" customWidth="1"/>
  </cols>
  <sheetData>
    <row r="1" spans="1:7" ht="24.75" thickTop="1" thickBot="1" x14ac:dyDescent="0.4">
      <c r="A1" s="232" t="s">
        <v>257</v>
      </c>
      <c r="B1" s="233"/>
      <c r="C1" s="233"/>
      <c r="D1" s="233"/>
      <c r="E1" s="374"/>
      <c r="F1" s="375"/>
      <c r="G1" s="237"/>
    </row>
    <row r="2" spans="1:7" ht="13.5" thickTop="1" x14ac:dyDescent="0.2">
      <c r="A2" s="34"/>
      <c r="B2" s="34"/>
      <c r="G2" s="219"/>
    </row>
    <row r="3" spans="1:7" x14ac:dyDescent="0.2">
      <c r="A3" s="34"/>
      <c r="B3" s="34"/>
      <c r="G3" s="219"/>
    </row>
    <row r="4" spans="1:7" x14ac:dyDescent="0.2">
      <c r="A4" s="240" t="s">
        <v>264</v>
      </c>
      <c r="B4" s="238" t="s">
        <v>253</v>
      </c>
      <c r="C4" s="238" t="s">
        <v>254</v>
      </c>
      <c r="D4" s="239" t="s">
        <v>255</v>
      </c>
      <c r="E4" s="250" t="s">
        <v>256</v>
      </c>
      <c r="G4" s="219"/>
    </row>
    <row r="5" spans="1:7" x14ac:dyDescent="0.2">
      <c r="A5" s="248"/>
      <c r="B5" s="248"/>
      <c r="C5" s="249"/>
      <c r="D5" s="249"/>
      <c r="E5" s="251"/>
      <c r="G5" s="219"/>
    </row>
    <row r="6" spans="1:7" x14ac:dyDescent="0.2">
      <c r="A6" s="248"/>
      <c r="B6" s="248"/>
      <c r="C6" s="249"/>
      <c r="D6" s="249"/>
      <c r="E6" s="251"/>
      <c r="G6" s="219"/>
    </row>
    <row r="7" spans="1:7" x14ac:dyDescent="0.2">
      <c r="A7" s="248"/>
      <c r="B7" s="248"/>
      <c r="C7" s="249"/>
      <c r="D7" s="249"/>
      <c r="E7" s="251"/>
      <c r="G7" s="219"/>
    </row>
    <row r="8" spans="1:7" x14ac:dyDescent="0.2">
      <c r="A8" s="248"/>
      <c r="B8" s="248"/>
      <c r="C8" s="249"/>
      <c r="D8" s="249"/>
      <c r="E8" s="251"/>
      <c r="G8" s="219"/>
    </row>
    <row r="9" spans="1:7" x14ac:dyDescent="0.2">
      <c r="A9" s="248"/>
      <c r="B9" s="248"/>
      <c r="C9" s="249"/>
      <c r="D9" s="249"/>
      <c r="E9" s="251"/>
      <c r="G9" s="219"/>
    </row>
    <row r="10" spans="1:7" x14ac:dyDescent="0.2">
      <c r="A10" s="248"/>
      <c r="B10" s="248"/>
      <c r="C10" s="249"/>
      <c r="D10" s="249"/>
      <c r="E10" s="251"/>
      <c r="G10" s="219"/>
    </row>
    <row r="11" spans="1:7" x14ac:dyDescent="0.2">
      <c r="A11" s="248"/>
      <c r="B11" s="248"/>
      <c r="C11" s="249"/>
      <c r="D11" s="249"/>
      <c r="E11" s="251"/>
      <c r="G11" s="219"/>
    </row>
    <row r="12" spans="1:7" x14ac:dyDescent="0.2">
      <c r="A12" s="248"/>
      <c r="B12" s="248"/>
      <c r="C12" s="249"/>
      <c r="D12" s="249"/>
      <c r="E12" s="251"/>
      <c r="G12" s="219"/>
    </row>
    <row r="13" spans="1:7" x14ac:dyDescent="0.2">
      <c r="A13" s="248"/>
      <c r="B13" s="248"/>
      <c r="C13" s="249"/>
      <c r="D13" s="249"/>
      <c r="E13" s="251"/>
      <c r="G13" s="219"/>
    </row>
    <row r="14" spans="1:7" x14ac:dyDescent="0.2">
      <c r="A14" s="248"/>
      <c r="B14" s="248"/>
      <c r="C14" s="249"/>
      <c r="D14" s="249"/>
      <c r="E14" s="251"/>
      <c r="G14" s="219"/>
    </row>
    <row r="15" spans="1:7" x14ac:dyDescent="0.2">
      <c r="A15" s="248"/>
      <c r="B15" s="248"/>
      <c r="C15" s="249"/>
      <c r="D15" s="249"/>
      <c r="E15" s="251"/>
      <c r="G15" s="219"/>
    </row>
    <row r="16" spans="1:7" x14ac:dyDescent="0.2">
      <c r="A16" s="248"/>
      <c r="B16" s="248"/>
      <c r="C16" s="249"/>
      <c r="D16" s="249"/>
      <c r="E16" s="251"/>
      <c r="G16" s="219"/>
    </row>
    <row r="17" spans="1:7" x14ac:dyDescent="0.2">
      <c r="A17" s="248"/>
      <c r="B17" s="248"/>
      <c r="C17" s="249"/>
      <c r="D17" s="249"/>
      <c r="E17" s="251"/>
      <c r="G17" s="219"/>
    </row>
    <row r="18" spans="1:7" x14ac:dyDescent="0.2">
      <c r="A18" s="248"/>
      <c r="B18" s="248"/>
      <c r="C18" s="249"/>
      <c r="D18" s="249"/>
      <c r="E18" s="251"/>
      <c r="G18" s="219"/>
    </row>
    <row r="19" spans="1:7" x14ac:dyDescent="0.2">
      <c r="A19" s="248"/>
      <c r="B19" s="248"/>
      <c r="C19" s="249"/>
      <c r="D19" s="249"/>
      <c r="E19" s="251"/>
      <c r="G19" s="219"/>
    </row>
    <row r="20" spans="1:7" x14ac:dyDescent="0.2">
      <c r="A20" s="248"/>
      <c r="B20" s="248"/>
      <c r="C20" s="249"/>
      <c r="D20" s="249"/>
      <c r="E20" s="251"/>
      <c r="G20" s="219"/>
    </row>
    <row r="21" spans="1:7" x14ac:dyDescent="0.2">
      <c r="A21" s="248"/>
      <c r="B21" s="248"/>
      <c r="C21" s="249"/>
      <c r="D21" s="249"/>
      <c r="E21" s="251"/>
      <c r="G21" s="219"/>
    </row>
    <row r="22" spans="1:7" x14ac:dyDescent="0.2">
      <c r="A22" s="248"/>
      <c r="B22" s="248"/>
      <c r="C22" s="249"/>
      <c r="D22" s="249"/>
      <c r="E22" s="251"/>
      <c r="G22" s="219"/>
    </row>
    <row r="23" spans="1:7" x14ac:dyDescent="0.2">
      <c r="A23" s="248"/>
      <c r="B23" s="248"/>
      <c r="C23" s="249"/>
      <c r="D23" s="249"/>
      <c r="E23" s="251"/>
      <c r="G23" s="219"/>
    </row>
    <row r="24" spans="1:7" x14ac:dyDescent="0.2">
      <c r="A24" s="248"/>
      <c r="B24" s="248"/>
      <c r="C24" s="249"/>
      <c r="D24" s="249"/>
      <c r="E24" s="251"/>
      <c r="G24" s="219"/>
    </row>
    <row r="25" spans="1:7" x14ac:dyDescent="0.2">
      <c r="A25" s="248"/>
      <c r="B25" s="248"/>
      <c r="C25" s="249"/>
      <c r="D25" s="249"/>
      <c r="E25" s="251"/>
      <c r="G25" s="219"/>
    </row>
    <row r="26" spans="1:7" x14ac:dyDescent="0.2">
      <c r="A26" s="248"/>
      <c r="B26" s="248"/>
      <c r="C26" s="249"/>
      <c r="D26" s="249"/>
      <c r="E26" s="251"/>
      <c r="G26" s="219"/>
    </row>
    <row r="27" spans="1:7" x14ac:dyDescent="0.2">
      <c r="A27" s="248"/>
      <c r="B27" s="248"/>
      <c r="C27" s="249"/>
      <c r="D27" s="249"/>
      <c r="E27" s="251"/>
      <c r="G27" s="219"/>
    </row>
    <row r="28" spans="1:7" x14ac:dyDescent="0.2">
      <c r="A28" s="248"/>
      <c r="B28" s="248"/>
      <c r="C28" s="249"/>
      <c r="D28" s="249"/>
      <c r="E28" s="251"/>
      <c r="G28" s="219"/>
    </row>
    <row r="29" spans="1:7" x14ac:dyDescent="0.2">
      <c r="A29" s="248"/>
      <c r="B29" s="248"/>
      <c r="C29" s="249"/>
      <c r="D29" s="249"/>
      <c r="E29" s="251"/>
      <c r="G29" s="219"/>
    </row>
    <row r="30" spans="1:7" x14ac:dyDescent="0.2">
      <c r="A30" s="248"/>
      <c r="B30" s="248"/>
      <c r="C30" s="249"/>
      <c r="D30" s="249"/>
      <c r="E30" s="251"/>
      <c r="G30" s="219"/>
    </row>
    <row r="31" spans="1:7" x14ac:dyDescent="0.2">
      <c r="A31" s="248"/>
      <c r="B31" s="248"/>
      <c r="C31" s="249"/>
      <c r="D31" s="249"/>
      <c r="E31" s="251"/>
      <c r="G31" s="219"/>
    </row>
    <row r="32" spans="1:7" x14ac:dyDescent="0.2">
      <c r="A32" s="248"/>
      <c r="B32" s="248"/>
      <c r="C32" s="249"/>
      <c r="D32" s="249"/>
      <c r="E32" s="251"/>
      <c r="G32" s="219"/>
    </row>
    <row r="33" spans="1:7" x14ac:dyDescent="0.2">
      <c r="A33" s="248"/>
      <c r="B33" s="248"/>
      <c r="C33" s="249"/>
      <c r="D33" s="249"/>
      <c r="E33" s="251"/>
      <c r="G33" s="219"/>
    </row>
    <row r="34" spans="1:7" x14ac:dyDescent="0.2">
      <c r="A34" s="248"/>
      <c r="B34" s="248"/>
      <c r="C34" s="249"/>
      <c r="D34" s="249"/>
      <c r="E34" s="251"/>
      <c r="G34" s="219"/>
    </row>
    <row r="35" spans="1:7" x14ac:dyDescent="0.2">
      <c r="A35" s="248"/>
      <c r="B35" s="248"/>
      <c r="C35" s="249"/>
      <c r="D35" s="249"/>
      <c r="E35" s="251"/>
      <c r="G35" s="219"/>
    </row>
    <row r="36" spans="1:7" x14ac:dyDescent="0.2">
      <c r="A36" s="248"/>
      <c r="B36" s="248"/>
      <c r="C36" s="249"/>
      <c r="D36" s="249"/>
      <c r="E36" s="251"/>
      <c r="G36" s="219"/>
    </row>
    <row r="37" spans="1:7" x14ac:dyDescent="0.2">
      <c r="A37" s="248"/>
      <c r="B37" s="248"/>
      <c r="C37" s="249"/>
      <c r="D37" s="249"/>
      <c r="E37" s="251"/>
      <c r="G37" s="219"/>
    </row>
    <row r="38" spans="1:7" x14ac:dyDescent="0.2">
      <c r="A38" s="248"/>
      <c r="B38" s="248"/>
      <c r="C38" s="249"/>
      <c r="D38" s="249"/>
      <c r="E38" s="251"/>
      <c r="G38" s="219"/>
    </row>
    <row r="39" spans="1:7" x14ac:dyDescent="0.2">
      <c r="A39" s="248"/>
      <c r="B39" s="248"/>
      <c r="C39" s="249"/>
      <c r="D39" s="249"/>
      <c r="E39" s="251"/>
      <c r="G39" s="219"/>
    </row>
    <row r="40" spans="1:7" x14ac:dyDescent="0.2">
      <c r="A40" s="248"/>
      <c r="B40" s="248"/>
      <c r="C40" s="249"/>
      <c r="D40" s="249"/>
      <c r="E40" s="251"/>
      <c r="G40" s="219"/>
    </row>
    <row r="41" spans="1:7" x14ac:dyDescent="0.2">
      <c r="A41" s="248"/>
      <c r="B41" s="248"/>
      <c r="C41" s="249"/>
      <c r="D41" s="249"/>
      <c r="E41" s="251"/>
      <c r="G41" s="219"/>
    </row>
    <row r="42" spans="1:7" x14ac:dyDescent="0.2">
      <c r="A42" s="248"/>
      <c r="B42" s="248"/>
      <c r="C42" s="249"/>
      <c r="D42" s="249"/>
      <c r="E42" s="251"/>
      <c r="G42" s="219"/>
    </row>
    <row r="43" spans="1:7" x14ac:dyDescent="0.2">
      <c r="A43" s="248"/>
      <c r="B43" s="248"/>
      <c r="C43" s="249"/>
      <c r="D43" s="249"/>
      <c r="E43" s="251"/>
      <c r="G43" s="219"/>
    </row>
    <row r="44" spans="1:7" x14ac:dyDescent="0.2">
      <c r="A44" s="248"/>
      <c r="B44" s="248"/>
      <c r="C44" s="249"/>
      <c r="D44" s="249"/>
      <c r="E44" s="251"/>
      <c r="G44" s="219"/>
    </row>
    <row r="45" spans="1:7" x14ac:dyDescent="0.2">
      <c r="A45" s="248"/>
      <c r="B45" s="248"/>
      <c r="C45" s="249"/>
      <c r="D45" s="249"/>
      <c r="E45" s="251"/>
      <c r="G45" s="219"/>
    </row>
    <row r="46" spans="1:7" x14ac:dyDescent="0.2">
      <c r="A46" s="248"/>
      <c r="B46" s="248"/>
      <c r="C46" s="249"/>
      <c r="D46" s="249"/>
      <c r="E46" s="251"/>
      <c r="G46" s="219"/>
    </row>
    <row r="47" spans="1:7" x14ac:dyDescent="0.2">
      <c r="A47" s="248"/>
      <c r="B47" s="248"/>
      <c r="C47" s="249"/>
      <c r="D47" s="249"/>
      <c r="E47" s="251"/>
      <c r="G47" s="219"/>
    </row>
    <row r="48" spans="1:7" ht="13.15" customHeight="1" x14ac:dyDescent="0.2">
      <c r="A48" s="248"/>
      <c r="B48" s="248"/>
      <c r="C48" s="249"/>
      <c r="D48" s="249"/>
      <c r="E48" s="251"/>
    </row>
    <row r="49" spans="1:5" x14ac:dyDescent="0.2">
      <c r="A49" s="248"/>
      <c r="B49" s="248"/>
      <c r="C49" s="249"/>
      <c r="D49" s="249"/>
      <c r="E49" s="251"/>
    </row>
    <row r="50" spans="1:5" x14ac:dyDescent="0.2">
      <c r="A50" s="303"/>
      <c r="B50" s="303"/>
      <c r="C50" s="340"/>
      <c r="D50" s="340"/>
      <c r="E50" s="309"/>
    </row>
    <row r="51" spans="1:5" x14ac:dyDescent="0.2">
      <c r="A51" s="303"/>
      <c r="B51" s="303"/>
      <c r="C51" s="341"/>
      <c r="D51" s="341"/>
      <c r="E51" s="309"/>
    </row>
    <row r="52" spans="1:5" x14ac:dyDescent="0.2">
      <c r="A52" s="303"/>
      <c r="B52" s="303"/>
      <c r="C52" s="341"/>
      <c r="D52" s="341"/>
      <c r="E52" s="309"/>
    </row>
    <row r="53" spans="1:5" x14ac:dyDescent="0.2">
      <c r="A53" s="303"/>
      <c r="B53" s="303"/>
      <c r="C53" s="341"/>
      <c r="D53" s="341"/>
      <c r="E53" s="309"/>
    </row>
  </sheetData>
  <mergeCells count="1">
    <mergeCell ref="E1:F1"/>
  </mergeCells>
  <pageMargins left="0.7" right="0.7" top="0.75" bottom="0.75" header="0.3" footer="0.3"/>
  <pageSetup scale="89" orientation="portrait" horizontalDpi="1200" verticalDpi="1200" r:id="rId1"/>
  <colBreaks count="1" manualBreakCount="1">
    <brk id="5" max="50" man="1"/>
  </colBreaks>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tile">
                <anchor moveWithCells="1">
                  <from>
                    <xdr:col>5</xdr:col>
                    <xdr:colOff>361950</xdr:colOff>
                    <xdr:row>2</xdr:row>
                    <xdr:rowOff>123825</xdr:rowOff>
                  </from>
                  <to>
                    <xdr:col>6</xdr:col>
                    <xdr:colOff>0</xdr:colOff>
                    <xdr:row>4</xdr:row>
                    <xdr:rowOff>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9" tint="0.39997558519241921"/>
  </sheetPr>
  <dimension ref="A1:V54"/>
  <sheetViews>
    <sheetView showGridLines="0" zoomScaleNormal="100" workbookViewId="0">
      <selection activeCell="A5" sqref="A5:E23"/>
    </sheetView>
  </sheetViews>
  <sheetFormatPr defaultColWidth="20.7109375" defaultRowHeight="12.75" x14ac:dyDescent="0.2"/>
  <cols>
    <col min="8" max="8" width="20.7109375" customWidth="1"/>
    <col min="9" max="10" width="20.7109375" style="219" customWidth="1"/>
    <col min="11" max="11" width="20.7109375" style="220" customWidth="1"/>
    <col min="12" max="12" width="20.7109375" style="219" customWidth="1"/>
    <col min="13" max="14" width="20.7109375" style="220" customWidth="1"/>
    <col min="15" max="15" width="20.7109375" style="237" customWidth="1"/>
    <col min="16" max="17" width="20.7109375" style="219" customWidth="1"/>
    <col min="18" max="18" width="20.7109375" style="220" customWidth="1"/>
    <col min="19" max="19" width="20.7109375" style="219" customWidth="1"/>
    <col min="20" max="22" width="20.7109375" style="220" customWidth="1"/>
  </cols>
  <sheetData>
    <row r="1" spans="1:15" ht="23.25" x14ac:dyDescent="0.35">
      <c r="A1" s="242" t="s">
        <v>259</v>
      </c>
      <c r="B1" s="243"/>
      <c r="C1" s="243"/>
      <c r="D1" s="244"/>
      <c r="E1" s="245"/>
      <c r="F1" s="246"/>
    </row>
    <row r="2" spans="1:15" x14ac:dyDescent="0.2">
      <c r="O2" s="247"/>
    </row>
    <row r="3" spans="1:15" x14ac:dyDescent="0.2">
      <c r="O3" s="247"/>
    </row>
    <row r="4" spans="1:15" x14ac:dyDescent="0.2">
      <c r="A4" s="253" t="s">
        <v>265</v>
      </c>
      <c r="B4" s="253" t="s">
        <v>258</v>
      </c>
      <c r="C4" s="253" t="s">
        <v>254</v>
      </c>
      <c r="D4" s="254" t="s">
        <v>255</v>
      </c>
      <c r="E4" s="253" t="s">
        <v>256</v>
      </c>
      <c r="O4" s="247"/>
    </row>
    <row r="5" spans="1:15" x14ac:dyDescent="0.2">
      <c r="A5" s="248"/>
      <c r="B5" s="248"/>
      <c r="C5" s="249"/>
      <c r="D5" s="249"/>
      <c r="E5" s="251"/>
      <c r="O5" s="247"/>
    </row>
    <row r="6" spans="1:15" x14ac:dyDescent="0.2">
      <c r="A6" s="248"/>
      <c r="B6" s="248"/>
      <c r="C6" s="249"/>
      <c r="D6" s="249"/>
      <c r="E6" s="251"/>
      <c r="O6" s="247"/>
    </row>
    <row r="7" spans="1:15" x14ac:dyDescent="0.2">
      <c r="A7" s="248"/>
      <c r="B7" s="248"/>
      <c r="C7" s="249"/>
      <c r="D7" s="249"/>
      <c r="E7" s="251"/>
      <c r="O7" s="247"/>
    </row>
    <row r="8" spans="1:15" x14ac:dyDescent="0.2">
      <c r="A8" s="248"/>
      <c r="B8" s="248"/>
      <c r="C8" s="249"/>
      <c r="D8" s="249"/>
      <c r="E8" s="251"/>
      <c r="O8" s="247"/>
    </row>
    <row r="9" spans="1:15" x14ac:dyDescent="0.2">
      <c r="A9" s="248"/>
      <c r="B9" s="248"/>
      <c r="C9" s="249"/>
      <c r="D9" s="249"/>
      <c r="E9" s="251"/>
      <c r="O9" s="247"/>
    </row>
    <row r="10" spans="1:15" x14ac:dyDescent="0.2">
      <c r="A10" s="248"/>
      <c r="B10" s="248"/>
      <c r="C10" s="249"/>
      <c r="D10" s="249"/>
      <c r="E10" s="251"/>
      <c r="O10" s="247"/>
    </row>
    <row r="11" spans="1:15" x14ac:dyDescent="0.2">
      <c r="A11" s="248"/>
      <c r="B11" s="248"/>
      <c r="C11" s="249"/>
      <c r="D11" s="249"/>
      <c r="E11" s="251"/>
      <c r="O11" s="247"/>
    </row>
    <row r="12" spans="1:15" x14ac:dyDescent="0.2">
      <c r="A12" s="248"/>
      <c r="B12" s="248"/>
      <c r="C12" s="249"/>
      <c r="D12" s="249"/>
      <c r="E12" s="251"/>
      <c r="O12" s="247"/>
    </row>
    <row r="13" spans="1:15" x14ac:dyDescent="0.2">
      <c r="A13" s="248"/>
      <c r="B13" s="248"/>
      <c r="C13" s="249"/>
      <c r="D13" s="249"/>
      <c r="E13" s="251"/>
      <c r="O13" s="247"/>
    </row>
    <row r="14" spans="1:15" x14ac:dyDescent="0.2">
      <c r="A14" s="248"/>
      <c r="B14" s="248"/>
      <c r="C14" s="249"/>
      <c r="D14" s="249"/>
      <c r="E14" s="251"/>
      <c r="O14" s="247"/>
    </row>
    <row r="15" spans="1:15" x14ac:dyDescent="0.2">
      <c r="A15" s="248"/>
      <c r="B15" s="248"/>
      <c r="C15" s="249"/>
      <c r="D15" s="249"/>
      <c r="E15" s="251"/>
      <c r="O15" s="247"/>
    </row>
    <row r="16" spans="1:15" x14ac:dyDescent="0.2">
      <c r="A16" s="248"/>
      <c r="B16" s="248"/>
      <c r="C16" s="249"/>
      <c r="D16" s="249"/>
      <c r="E16" s="251"/>
      <c r="O16" s="247"/>
    </row>
    <row r="17" spans="1:15" x14ac:dyDescent="0.2">
      <c r="A17" s="248"/>
      <c r="B17" s="248"/>
      <c r="C17" s="249"/>
      <c r="D17" s="249"/>
      <c r="E17" s="251"/>
      <c r="O17" s="247"/>
    </row>
    <row r="18" spans="1:15" x14ac:dyDescent="0.2">
      <c r="A18" s="248"/>
      <c r="B18" s="248"/>
      <c r="C18" s="249"/>
      <c r="D18" s="249"/>
      <c r="E18" s="251"/>
      <c r="O18" s="247"/>
    </row>
    <row r="19" spans="1:15" x14ac:dyDescent="0.2">
      <c r="A19" s="248"/>
      <c r="B19" s="248"/>
      <c r="C19" s="249"/>
      <c r="D19" s="249"/>
      <c r="E19" s="251"/>
      <c r="O19" s="247"/>
    </row>
    <row r="20" spans="1:15" x14ac:dyDescent="0.2">
      <c r="A20" s="248"/>
      <c r="B20" s="248"/>
      <c r="C20" s="249"/>
      <c r="D20" s="249"/>
      <c r="E20" s="251"/>
      <c r="O20" s="247"/>
    </row>
    <row r="21" spans="1:15" x14ac:dyDescent="0.2">
      <c r="A21" s="248"/>
      <c r="B21" s="248"/>
      <c r="C21" s="249"/>
      <c r="D21" s="249"/>
      <c r="E21" s="251"/>
      <c r="O21" s="247"/>
    </row>
    <row r="22" spans="1:15" x14ac:dyDescent="0.2">
      <c r="A22" s="248"/>
      <c r="B22" s="248"/>
      <c r="C22" s="249"/>
      <c r="D22" s="249"/>
      <c r="E22" s="251"/>
      <c r="O22" s="247"/>
    </row>
    <row r="23" spans="1:15" x14ac:dyDescent="0.2">
      <c r="A23" s="248"/>
      <c r="B23" s="248"/>
      <c r="C23" s="249"/>
      <c r="D23" s="249"/>
      <c r="E23" s="251"/>
      <c r="O23" s="247"/>
    </row>
    <row r="24" spans="1:15" x14ac:dyDescent="0.2">
      <c r="A24" s="248"/>
      <c r="B24" s="248"/>
      <c r="C24" s="249"/>
      <c r="D24" s="249"/>
      <c r="E24" s="251"/>
      <c r="O24" s="247"/>
    </row>
    <row r="25" spans="1:15" x14ac:dyDescent="0.2">
      <c r="A25" s="248"/>
      <c r="B25" s="248"/>
      <c r="C25" s="249"/>
      <c r="D25" s="249"/>
      <c r="E25" s="251"/>
      <c r="O25" s="247"/>
    </row>
    <row r="26" spans="1:15" x14ac:dyDescent="0.2">
      <c r="A26" s="248"/>
      <c r="B26" s="248"/>
      <c r="C26" s="249"/>
      <c r="D26" s="249"/>
      <c r="E26" s="251"/>
      <c r="O26" s="247"/>
    </row>
    <row r="27" spans="1:15" x14ac:dyDescent="0.2">
      <c r="A27" s="248"/>
      <c r="B27" s="248"/>
      <c r="C27" s="249"/>
      <c r="D27" s="249"/>
      <c r="E27" s="251"/>
      <c r="O27" s="247"/>
    </row>
    <row r="28" spans="1:15" x14ac:dyDescent="0.2">
      <c r="A28" s="248"/>
      <c r="B28" s="248"/>
      <c r="C28" s="249"/>
      <c r="D28" s="249"/>
      <c r="E28" s="251"/>
      <c r="O28" s="247"/>
    </row>
    <row r="29" spans="1:15" x14ac:dyDescent="0.2">
      <c r="A29" s="248"/>
      <c r="B29" s="248"/>
      <c r="C29" s="249"/>
      <c r="D29" s="249"/>
      <c r="E29" s="251"/>
      <c r="O29" s="247"/>
    </row>
    <row r="30" spans="1:15" x14ac:dyDescent="0.2">
      <c r="A30" s="248"/>
      <c r="B30" s="248"/>
      <c r="C30" s="249"/>
      <c r="D30" s="249"/>
      <c r="E30" s="251"/>
      <c r="O30" s="247"/>
    </row>
    <row r="31" spans="1:15" x14ac:dyDescent="0.2">
      <c r="A31" s="248"/>
      <c r="B31" s="248"/>
      <c r="C31" s="249"/>
      <c r="D31" s="249"/>
      <c r="E31" s="251"/>
      <c r="O31" s="247"/>
    </row>
    <row r="32" spans="1:15" x14ac:dyDescent="0.2">
      <c r="A32" s="248"/>
      <c r="B32" s="248"/>
      <c r="C32" s="249"/>
      <c r="D32" s="249"/>
      <c r="E32" s="251"/>
      <c r="O32" s="247"/>
    </row>
    <row r="33" spans="1:15" x14ac:dyDescent="0.2">
      <c r="A33" s="248"/>
      <c r="B33" s="248"/>
      <c r="C33" s="249"/>
      <c r="D33" s="249"/>
      <c r="E33" s="251"/>
      <c r="O33" s="247"/>
    </row>
    <row r="34" spans="1:15" x14ac:dyDescent="0.2">
      <c r="A34" s="248"/>
      <c r="B34" s="248"/>
      <c r="C34" s="249"/>
      <c r="D34" s="249"/>
      <c r="E34" s="251"/>
      <c r="O34" s="247"/>
    </row>
    <row r="35" spans="1:15" x14ac:dyDescent="0.2">
      <c r="A35" s="248"/>
      <c r="B35" s="248"/>
      <c r="C35" s="249"/>
      <c r="D35" s="249"/>
      <c r="E35" s="251"/>
      <c r="O35" s="247"/>
    </row>
    <row r="36" spans="1:15" x14ac:dyDescent="0.2">
      <c r="A36" s="248"/>
      <c r="B36" s="248"/>
      <c r="C36" s="249"/>
      <c r="D36" s="249"/>
      <c r="E36" s="251"/>
      <c r="O36" s="247"/>
    </row>
    <row r="37" spans="1:15" x14ac:dyDescent="0.2">
      <c r="A37" s="248"/>
      <c r="B37" s="248"/>
      <c r="C37" s="249"/>
      <c r="D37" s="249"/>
      <c r="E37" s="251"/>
      <c r="O37" s="247"/>
    </row>
    <row r="38" spans="1:15" x14ac:dyDescent="0.2">
      <c r="A38" s="248"/>
      <c r="B38" s="248"/>
      <c r="C38" s="249"/>
      <c r="D38" s="249"/>
      <c r="E38" s="251"/>
      <c r="O38" s="247"/>
    </row>
    <row r="39" spans="1:15" x14ac:dyDescent="0.2">
      <c r="A39" s="248"/>
      <c r="B39" s="248"/>
      <c r="C39" s="249"/>
      <c r="D39" s="249"/>
      <c r="E39" s="251"/>
      <c r="O39" s="247"/>
    </row>
    <row r="40" spans="1:15" x14ac:dyDescent="0.2">
      <c r="A40" s="248"/>
      <c r="B40" s="248"/>
      <c r="C40" s="249"/>
      <c r="D40" s="249"/>
      <c r="E40" s="251"/>
      <c r="O40" s="247"/>
    </row>
    <row r="41" spans="1:15" x14ac:dyDescent="0.2">
      <c r="A41" s="248"/>
      <c r="B41" s="248"/>
      <c r="C41" s="249"/>
      <c r="D41" s="249"/>
      <c r="E41" s="251"/>
      <c r="O41" s="247"/>
    </row>
    <row r="42" spans="1:15" x14ac:dyDescent="0.2">
      <c r="A42" s="248"/>
      <c r="B42" s="248"/>
      <c r="C42" s="249"/>
      <c r="D42" s="249"/>
      <c r="E42" s="251"/>
      <c r="O42" s="247"/>
    </row>
    <row r="43" spans="1:15" x14ac:dyDescent="0.2">
      <c r="A43" s="248"/>
      <c r="B43" s="248"/>
      <c r="C43" s="249"/>
      <c r="D43" s="249"/>
      <c r="E43" s="251"/>
      <c r="O43" s="247"/>
    </row>
    <row r="44" spans="1:15" x14ac:dyDescent="0.2">
      <c r="A44" s="248"/>
      <c r="B44" s="248"/>
      <c r="C44" s="249"/>
      <c r="D44" s="249"/>
      <c r="E44" s="251"/>
      <c r="O44" s="247"/>
    </row>
    <row r="45" spans="1:15" x14ac:dyDescent="0.2">
      <c r="A45" s="248"/>
      <c r="B45" s="248"/>
      <c r="C45" s="249"/>
      <c r="D45" s="249"/>
      <c r="E45" s="251"/>
      <c r="O45" s="247"/>
    </row>
    <row r="46" spans="1:15" x14ac:dyDescent="0.2">
      <c r="A46" s="248"/>
      <c r="B46" s="248"/>
      <c r="C46" s="249"/>
      <c r="D46" s="249"/>
      <c r="E46" s="251"/>
      <c r="O46" s="247"/>
    </row>
    <row r="47" spans="1:15" x14ac:dyDescent="0.2">
      <c r="A47" s="248"/>
      <c r="B47" s="248"/>
      <c r="C47" s="249"/>
      <c r="D47" s="249"/>
      <c r="E47" s="251"/>
    </row>
    <row r="48" spans="1:15" x14ac:dyDescent="0.2">
      <c r="A48" s="248"/>
      <c r="B48" s="248"/>
      <c r="C48" s="249"/>
      <c r="D48" s="249"/>
      <c r="E48" s="251"/>
    </row>
    <row r="49" spans="1:5" x14ac:dyDescent="0.2">
      <c r="A49" s="248"/>
      <c r="B49" s="248"/>
      <c r="C49" s="249"/>
      <c r="D49" s="249"/>
      <c r="E49" s="251"/>
    </row>
    <row r="50" spans="1:5" x14ac:dyDescent="0.2">
      <c r="A50" s="255"/>
      <c r="B50" s="255"/>
      <c r="C50" s="255"/>
      <c r="D50" s="255"/>
      <c r="E50" s="252"/>
    </row>
    <row r="51" spans="1:5" x14ac:dyDescent="0.2">
      <c r="A51" s="255"/>
      <c r="B51" s="255"/>
      <c r="C51" s="255"/>
      <c r="D51" s="255"/>
      <c r="E51" s="252"/>
    </row>
    <row r="52" spans="1:5" x14ac:dyDescent="0.2">
      <c r="A52" s="317"/>
      <c r="B52" s="255"/>
      <c r="C52" s="255"/>
      <c r="D52" s="255"/>
      <c r="E52" s="252"/>
    </row>
    <row r="53" spans="1:5" x14ac:dyDescent="0.2">
      <c r="A53" s="317"/>
      <c r="B53" s="255"/>
      <c r="C53" s="255"/>
      <c r="D53" s="255"/>
      <c r="E53" s="252"/>
    </row>
    <row r="54" spans="1:5" x14ac:dyDescent="0.2">
      <c r="A54" s="317"/>
      <c r="B54" s="255"/>
      <c r="C54" s="255"/>
      <c r="D54" s="255"/>
      <c r="E54" s="252"/>
    </row>
  </sheetData>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reefer">
                <anchor moveWithCells="1">
                  <from>
                    <xdr:col>5</xdr:col>
                    <xdr:colOff>247650</xdr:colOff>
                    <xdr:row>3</xdr:row>
                    <xdr:rowOff>0</xdr:rowOff>
                  </from>
                  <to>
                    <xdr:col>6</xdr:col>
                    <xdr:colOff>0</xdr:colOff>
                    <xdr:row>4</xdr:row>
                    <xdr:rowOff>38100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39997558519241921"/>
  </sheetPr>
  <dimension ref="A1:J100"/>
  <sheetViews>
    <sheetView showGridLines="0" zoomScaleNormal="100" workbookViewId="0">
      <selection activeCell="K50" sqref="K50"/>
    </sheetView>
  </sheetViews>
  <sheetFormatPr defaultRowHeight="12.75" x14ac:dyDescent="0.2"/>
  <cols>
    <col min="1" max="1" width="11.28515625" customWidth="1"/>
    <col min="2" max="2" width="16.28515625" customWidth="1"/>
    <col min="3" max="3" width="13.42578125" customWidth="1"/>
    <col min="4" max="4" width="12.42578125" customWidth="1"/>
    <col min="5" max="5" width="10.7109375" customWidth="1"/>
    <col min="6" max="6" width="12" style="213" customWidth="1"/>
    <col min="7" max="7" width="11.7109375" customWidth="1"/>
    <col min="8" max="8" width="10.85546875" bestFit="1" customWidth="1"/>
    <col min="9" max="9" width="11.85546875" customWidth="1"/>
  </cols>
  <sheetData>
    <row r="1" spans="1:9" ht="32.25" customHeight="1" thickTop="1" thickBot="1" x14ac:dyDescent="0.4">
      <c r="A1" s="232" t="s">
        <v>252</v>
      </c>
      <c r="B1" s="233"/>
      <c r="C1" s="233"/>
      <c r="D1" s="233"/>
      <c r="E1" s="233"/>
      <c r="F1" s="234"/>
      <c r="G1" s="374"/>
      <c r="H1" s="374"/>
      <c r="I1" s="375"/>
    </row>
    <row r="2" spans="1:9" ht="13.5" thickTop="1" x14ac:dyDescent="0.2"/>
    <row r="3" spans="1:9" x14ac:dyDescent="0.2">
      <c r="A3" s="30" t="s">
        <v>1</v>
      </c>
      <c r="B3" s="408">
        <f>'WASCOB Design 1'!B3:E3</f>
        <v>0</v>
      </c>
      <c r="C3" s="408"/>
      <c r="G3" s="8" t="s">
        <v>0</v>
      </c>
      <c r="H3" s="307">
        <f ca="1">TODAY()</f>
        <v>41305</v>
      </c>
      <c r="I3" s="302"/>
    </row>
    <row r="5" spans="1:9" x14ac:dyDescent="0.2">
      <c r="A5" s="19" t="s">
        <v>3</v>
      </c>
      <c r="B5" s="226">
        <f>'WASCOB Design 1'!B5</f>
        <v>0</v>
      </c>
      <c r="G5" s="8" t="s">
        <v>2</v>
      </c>
      <c r="H5" s="302">
        <f>'WASCOB Design 1'!H5:I5</f>
        <v>0</v>
      </c>
      <c r="I5" s="302"/>
    </row>
    <row r="7" spans="1:9" x14ac:dyDescent="0.2">
      <c r="A7" s="19" t="s">
        <v>115</v>
      </c>
      <c r="B7" s="409">
        <f>'WASCOB Design 1'!B7:C7</f>
        <v>0</v>
      </c>
      <c r="C7" s="410"/>
      <c r="D7" s="1"/>
      <c r="E7" s="1"/>
      <c r="F7" s="316"/>
      <c r="G7" s="1"/>
      <c r="H7" s="1"/>
    </row>
    <row r="8" spans="1:9" x14ac:dyDescent="0.2">
      <c r="D8" s="23"/>
      <c r="E8" s="23"/>
    </row>
    <row r="9" spans="1:9" x14ac:dyDescent="0.2">
      <c r="A9" s="19" t="s">
        <v>4</v>
      </c>
      <c r="B9" s="226">
        <f>'WASCOB Design 1'!B9</f>
        <v>0</v>
      </c>
      <c r="C9" s="70" t="s">
        <v>5</v>
      </c>
      <c r="D9" s="227">
        <f>'WASCOB Design 1'!D9</f>
        <v>0</v>
      </c>
      <c r="E9" s="70" t="s">
        <v>289</v>
      </c>
      <c r="F9" s="315">
        <f>'WASCOB Design 1'!F9</f>
        <v>0</v>
      </c>
      <c r="G9" s="30" t="s">
        <v>114</v>
      </c>
    </row>
    <row r="10" spans="1:9" x14ac:dyDescent="0.2">
      <c r="E10" s="1"/>
    </row>
    <row r="11" spans="1:9" x14ac:dyDescent="0.2">
      <c r="E11" s="1"/>
    </row>
    <row r="12" spans="1:9" x14ac:dyDescent="0.2">
      <c r="A12" s="30" t="s">
        <v>290</v>
      </c>
      <c r="E12" s="1"/>
    </row>
    <row r="13" spans="1:9" ht="6.75" customHeight="1" x14ac:dyDescent="0.2">
      <c r="A13" s="30"/>
      <c r="E13" s="1"/>
    </row>
    <row r="14" spans="1:9" x14ac:dyDescent="0.2">
      <c r="A14" s="311" t="s">
        <v>245</v>
      </c>
      <c r="B14" s="311" t="s">
        <v>250</v>
      </c>
      <c r="C14" s="311" t="s">
        <v>251</v>
      </c>
      <c r="D14" s="312" t="s">
        <v>246</v>
      </c>
      <c r="E14" s="71"/>
    </row>
    <row r="15" spans="1:9" x14ac:dyDescent="0.2">
      <c r="A15" s="318">
        <f>'WASCOB Design 1'!F$12</f>
        <v>1</v>
      </c>
      <c r="B15" s="319">
        <f>'WASCOB Design 1'!C14</f>
        <v>0</v>
      </c>
      <c r="C15" s="320">
        <f>'WASCOB Design 1'!N12</f>
        <v>0</v>
      </c>
      <c r="D15" s="318">
        <f>'WASCOB Design 1'!M12</f>
        <v>0</v>
      </c>
      <c r="E15" s="303"/>
    </row>
    <row r="16" spans="1:9" x14ac:dyDescent="0.2">
      <c r="A16" s="322">
        <f>'WASCOB Design 2'!F$12</f>
        <v>2</v>
      </c>
      <c r="B16" s="323">
        <f>'WASCOB Design 2'!C14</f>
        <v>0</v>
      </c>
      <c r="C16" s="324">
        <f>'WASCOB Design 2'!N12</f>
        <v>0</v>
      </c>
      <c r="D16" s="322">
        <f>'WASCOB Design 2'!M12</f>
        <v>0</v>
      </c>
      <c r="E16" s="303"/>
    </row>
    <row r="17" spans="1:10" x14ac:dyDescent="0.2">
      <c r="A17" s="326">
        <f>'WASCOB Design 3'!F$12</f>
        <v>3</v>
      </c>
      <c r="B17" s="327">
        <f>'WASCOB Design 3'!C14</f>
        <v>0</v>
      </c>
      <c r="C17" s="328">
        <f>'WASCOB Design 3'!N12</f>
        <v>0</v>
      </c>
      <c r="D17" s="326">
        <f>'WASCOB Design 3'!M12</f>
        <v>0</v>
      </c>
      <c r="E17" s="303"/>
    </row>
    <row r="18" spans="1:10" x14ac:dyDescent="0.2">
      <c r="A18" s="303"/>
      <c r="B18" s="308"/>
      <c r="C18" s="309"/>
      <c r="D18" s="303"/>
      <c r="E18" s="303"/>
    </row>
    <row r="19" spans="1:10" x14ac:dyDescent="0.2">
      <c r="A19" s="310" t="s">
        <v>291</v>
      </c>
      <c r="B19" s="308"/>
      <c r="C19" s="309"/>
      <c r="D19" s="303"/>
      <c r="E19" s="303"/>
    </row>
    <row r="20" spans="1:10" ht="6" customHeight="1" x14ac:dyDescent="0.2">
      <c r="A20" s="303"/>
      <c r="B20" s="308"/>
      <c r="C20" s="309"/>
      <c r="D20" s="303"/>
      <c r="E20" s="303"/>
    </row>
    <row r="21" spans="1:10" x14ac:dyDescent="0.2">
      <c r="A21" s="313" t="s">
        <v>245</v>
      </c>
      <c r="B21" s="313" t="s">
        <v>209</v>
      </c>
      <c r="C21" s="313" t="s">
        <v>292</v>
      </c>
      <c r="D21" s="314" t="s">
        <v>293</v>
      </c>
      <c r="E21" s="314" t="s">
        <v>294</v>
      </c>
      <c r="F21" s="314" t="s">
        <v>295</v>
      </c>
    </row>
    <row r="22" spans="1:10" x14ac:dyDescent="0.2">
      <c r="A22" s="318">
        <f>'WASCOB Design 1'!F$12</f>
        <v>1</v>
      </c>
      <c r="B22" s="319">
        <f>IF(ISNA(VLOOKUP($A22,Import1!$X:$AB,5,FALSE)),0,VLOOKUP($A22,Import1!$X:$AB,5,FALSE))</f>
        <v>0</v>
      </c>
      <c r="C22" s="319">
        <f>IF(ISNA(VLOOKUP($A22,Import1!$X:$AB,2,FALSE)),0,VLOOKUP($A22,Import1!$X:$AB,2,FALSE))</f>
        <v>0</v>
      </c>
      <c r="D22" s="319">
        <f>IF(ISNA(VLOOKUP($A22,Import1!$X:$AB,3,FALSE)),0,VLOOKUP($A22,Import1!$X:$AB,3,FALSE))</f>
        <v>0</v>
      </c>
      <c r="E22" s="319">
        <f>IF(ISNA(VLOOKUP($A22,Import1!$X:$AB,4,FALSE)),0,VLOOKUP($A22,Import1!$X:$AB,4,FALSE))</f>
        <v>0</v>
      </c>
      <c r="F22" s="321">
        <f>C22-D22</f>
        <v>0</v>
      </c>
    </row>
    <row r="23" spans="1:10" x14ac:dyDescent="0.2">
      <c r="A23" s="322">
        <f>'WASCOB Design 2'!F$12</f>
        <v>2</v>
      </c>
      <c r="B23" s="323">
        <f>IF(ISNA(VLOOKUP($A23,Import1!$X:$AB,5,FALSE)),0,VLOOKUP($A23,Import1!$X:$AB,5,FALSE))</f>
        <v>0</v>
      </c>
      <c r="C23" s="324">
        <f>IF(ISNA(VLOOKUP($A23,Import1!$X:$AB,2,FALSE)),0,VLOOKUP($A23,Import1!$X:$AB,2,FALSE))</f>
        <v>0</v>
      </c>
      <c r="D23" s="324">
        <f>IF(ISNA(VLOOKUP($A23,Import1!$X:$AB,3,FALSE)),0,VLOOKUP($A23,Import1!$X:$AB,3,FALSE))</f>
        <v>0</v>
      </c>
      <c r="E23" s="324">
        <f>IF(ISNA(VLOOKUP($A23,Import1!$X:$AB,4,FALSE)),0,VLOOKUP($A23,Import1!$X:$AB,4,FALSE))</f>
        <v>0</v>
      </c>
      <c r="F23" s="325">
        <f t="shared" ref="F23:F24" si="0">C23-D23</f>
        <v>0</v>
      </c>
    </row>
    <row r="24" spans="1:10" x14ac:dyDescent="0.2">
      <c r="A24" s="318">
        <f>'WASCOB Design 3'!F$12</f>
        <v>3</v>
      </c>
      <c r="B24" s="319">
        <f>IF(ISNA(VLOOKUP($A24,Import1!$X:$AB,5,FALSE)),0,VLOOKUP($A24,Import1!$X:$AB,5,FALSE))</f>
        <v>0</v>
      </c>
      <c r="C24" s="320">
        <f>IF(ISNA(VLOOKUP($A24,Import1!$X:$AB,2,FALSE)),0,VLOOKUP($A24,Import1!$X:$AB,2,FALSE))</f>
        <v>0</v>
      </c>
      <c r="D24" s="320">
        <f>IF(ISNA(VLOOKUP($A24,Import1!$X:$AB,3,FALSE)),0,VLOOKUP($A24,Import1!$X:$AB,3,FALSE))</f>
        <v>0</v>
      </c>
      <c r="E24" s="320">
        <f>IF(ISNA(VLOOKUP($A24,Import1!$X:$AB,4,FALSE)),0,VLOOKUP($A24,Import1!$X:$AB,4,FALSE))</f>
        <v>0</v>
      </c>
      <c r="F24" s="321">
        <f t="shared" si="0"/>
        <v>0</v>
      </c>
    </row>
    <row r="26" spans="1:10" x14ac:dyDescent="0.2">
      <c r="A26" s="225" t="s">
        <v>247</v>
      </c>
    </row>
    <row r="27" spans="1:10" ht="6" customHeight="1" x14ac:dyDescent="0.2"/>
    <row r="28" spans="1:10" ht="13.5" thickBot="1" x14ac:dyDescent="0.25">
      <c r="A28" s="342" t="s">
        <v>245</v>
      </c>
      <c r="B28" s="406" t="s">
        <v>288</v>
      </c>
      <c r="C28" s="407"/>
      <c r="D28" s="407"/>
      <c r="E28" s="343"/>
      <c r="F28" s="344" t="s">
        <v>287</v>
      </c>
      <c r="G28" s="345" t="s">
        <v>249</v>
      </c>
      <c r="H28" s="346" t="s">
        <v>246</v>
      </c>
      <c r="I28" s="346" t="s">
        <v>248</v>
      </c>
    </row>
    <row r="29" spans="1:10" ht="13.5" thickTop="1" x14ac:dyDescent="0.2">
      <c r="A29" s="329" t="str">
        <f>IF(ISNUMBER(Import1!$P2),  Import1!P2, "")</f>
        <v/>
      </c>
      <c r="B29" s="330" t="str">
        <f>IF(ISNUMBER(Import1!$P2),  Import1!Q2, "")</f>
        <v/>
      </c>
      <c r="C29" s="304"/>
      <c r="D29" s="304"/>
      <c r="E29" s="304"/>
      <c r="F29" s="304" t="str">
        <f>IF(ISNUMBER(Import1!$P2),  Import1!R2, "")</f>
        <v/>
      </c>
      <c r="G29" s="304" t="str">
        <f>IF(ISNUMBER(Import1!$P2),  Import1!S2, "")</f>
        <v/>
      </c>
      <c r="H29" s="304" t="str">
        <f>IF(ISNUMBER(Import1!$P2),  Import1!T2, "")</f>
        <v/>
      </c>
      <c r="I29" s="333" t="str">
        <f>IF(ISNUMBER(Import1!$P2),  Import1!U2, "")</f>
        <v/>
      </c>
      <c r="J29" s="213"/>
    </row>
    <row r="30" spans="1:10" x14ac:dyDescent="0.2">
      <c r="A30" s="334" t="str">
        <f>IF(ISNUMBER(Import1!$P3),  Import1!P3, "")</f>
        <v/>
      </c>
      <c r="B30" s="331" t="str">
        <f>IF(ISNUMBER(Import1!$P3),  Import1!Q3, "")</f>
        <v/>
      </c>
      <c r="C30" s="305"/>
      <c r="D30" s="305"/>
      <c r="E30" s="305"/>
      <c r="F30" s="305" t="str">
        <f>IF(ISNUMBER(Import1!$P3),  Import1!R3, "")</f>
        <v/>
      </c>
      <c r="G30" s="305" t="str">
        <f>IF(ISNUMBER(Import1!$P3),  Import1!S3, "")</f>
        <v/>
      </c>
      <c r="H30" s="335" t="str">
        <f>IF(ISNUMBER(Import1!$P3),  Import1!T3, "")</f>
        <v/>
      </c>
      <c r="I30" s="336" t="str">
        <f>IF(ISNUMBER(Import1!$P3),  Import1!U3, "")</f>
        <v/>
      </c>
    </row>
    <row r="31" spans="1:10" x14ac:dyDescent="0.2">
      <c r="A31" s="337" t="str">
        <f>IF(ISNUMBER(Import1!$P4),  Import1!P4, "")</f>
        <v/>
      </c>
      <c r="B31" s="332" t="str">
        <f>IF(ISNUMBER(Import1!$P4),  Import1!Q4, "")</f>
        <v/>
      </c>
      <c r="C31" s="306"/>
      <c r="D31" s="306"/>
      <c r="E31" s="306"/>
      <c r="F31" s="306" t="str">
        <f>IF(ISNUMBER(Import1!$P4),  Import1!R4, "")</f>
        <v/>
      </c>
      <c r="G31" s="306" t="str">
        <f>IF(ISNUMBER(Import1!$P4),  Import1!S4, "")</f>
        <v/>
      </c>
      <c r="H31" s="338" t="str">
        <f>IF(ISNUMBER(Import1!$P4),  Import1!T4, "")</f>
        <v/>
      </c>
      <c r="I31" s="339" t="str">
        <f>IF(ISNUMBER(Import1!$P4),  Import1!U4, "")</f>
        <v/>
      </c>
    </row>
    <row r="32" spans="1:10" x14ac:dyDescent="0.2">
      <c r="A32" s="334" t="str">
        <f>IF(ISNUMBER(Import1!$P5),  Import1!P5, "")</f>
        <v/>
      </c>
      <c r="B32" s="331" t="str">
        <f>IF(ISNUMBER(Import1!$P5),  Import1!Q5, "")</f>
        <v/>
      </c>
      <c r="C32" s="305"/>
      <c r="D32" s="305"/>
      <c r="E32" s="305"/>
      <c r="F32" s="305" t="str">
        <f>IF(ISNUMBER(Import1!$P5),  Import1!R5, "")</f>
        <v/>
      </c>
      <c r="G32" s="305" t="str">
        <f>IF(ISNUMBER(Import1!$P5),  Import1!S5, "")</f>
        <v/>
      </c>
      <c r="H32" s="335" t="str">
        <f>IF(ISNUMBER(Import1!$P5),  Import1!T5, "")</f>
        <v/>
      </c>
      <c r="I32" s="336" t="str">
        <f>IF(ISNUMBER(Import1!$P5),  Import1!U5, "")</f>
        <v/>
      </c>
    </row>
    <row r="33" spans="1:9" x14ac:dyDescent="0.2">
      <c r="A33" s="337" t="str">
        <f>IF(ISNUMBER(Import1!$P6),  Import1!P6, "")</f>
        <v/>
      </c>
      <c r="B33" s="332" t="str">
        <f>IF(ISNUMBER(Import1!$P6),  Import1!Q6, "")</f>
        <v/>
      </c>
      <c r="C33" s="306"/>
      <c r="D33" s="306"/>
      <c r="E33" s="306"/>
      <c r="F33" s="306" t="str">
        <f>IF(ISNUMBER(Import1!$P6),  Import1!R6, "")</f>
        <v/>
      </c>
      <c r="G33" s="306" t="str">
        <f>IF(ISNUMBER(Import1!$P6),  Import1!S6, "")</f>
        <v/>
      </c>
      <c r="H33" s="338" t="str">
        <f>IF(ISNUMBER(Import1!$P6),  Import1!T6, "")</f>
        <v/>
      </c>
      <c r="I33" s="339" t="str">
        <f>IF(ISNUMBER(Import1!$P6),  Import1!U6, "")</f>
        <v/>
      </c>
    </row>
    <row r="34" spans="1:9" x14ac:dyDescent="0.2">
      <c r="A34" s="334" t="str">
        <f>IF(ISNUMBER(Import1!$P7),  Import1!P7, "")</f>
        <v/>
      </c>
      <c r="B34" s="331" t="str">
        <f>IF(ISNUMBER(Import1!$P7),  Import1!Q7, "")</f>
        <v/>
      </c>
      <c r="C34" s="305"/>
      <c r="D34" s="305"/>
      <c r="E34" s="305"/>
      <c r="F34" s="305" t="str">
        <f>IF(ISNUMBER(Import1!$P7),  Import1!R7, "")</f>
        <v/>
      </c>
      <c r="G34" s="305" t="str">
        <f>IF(ISNUMBER(Import1!$P7),  Import1!S7, "")</f>
        <v/>
      </c>
      <c r="H34" s="335" t="str">
        <f>IF(ISNUMBER(Import1!$P7),  Import1!T7, "")</f>
        <v/>
      </c>
      <c r="I34" s="336" t="str">
        <f>IF(ISNUMBER(Import1!$P7),  Import1!U7, "")</f>
        <v/>
      </c>
    </row>
    <row r="35" spans="1:9" x14ac:dyDescent="0.2">
      <c r="A35" s="337" t="str">
        <f>IF(ISNUMBER(Import1!$P8),  Import1!P8, "")</f>
        <v/>
      </c>
      <c r="B35" s="332" t="str">
        <f>IF(ISNUMBER(Import1!$P8),  Import1!Q8, "")</f>
        <v/>
      </c>
      <c r="C35" s="306"/>
      <c r="D35" s="306"/>
      <c r="E35" s="306"/>
      <c r="F35" s="306" t="str">
        <f>IF(ISNUMBER(Import1!$P8),  Import1!R8, "")</f>
        <v/>
      </c>
      <c r="G35" s="306" t="str">
        <f>IF(ISNUMBER(Import1!$P8),  Import1!S8, "")</f>
        <v/>
      </c>
      <c r="H35" s="338" t="str">
        <f>IF(ISNUMBER(Import1!$P8),  Import1!T8, "")</f>
        <v/>
      </c>
      <c r="I35" s="339" t="str">
        <f>IF(ISNUMBER(Import1!$P8),  Import1!U8, "")</f>
        <v/>
      </c>
    </row>
    <row r="36" spans="1:9" x14ac:dyDescent="0.2">
      <c r="A36" s="334" t="str">
        <f>IF(ISNUMBER(Import1!$P9),  Import1!P9, "")</f>
        <v/>
      </c>
      <c r="B36" s="331" t="str">
        <f>IF(ISNUMBER(Import1!$P9),  Import1!Q9, "")</f>
        <v/>
      </c>
      <c r="C36" s="305"/>
      <c r="D36" s="305"/>
      <c r="E36" s="305"/>
      <c r="F36" s="305" t="str">
        <f>IF(ISNUMBER(Import1!$P9),  Import1!R9, "")</f>
        <v/>
      </c>
      <c r="G36" s="305" t="str">
        <f>IF(ISNUMBER(Import1!$P9),  Import1!S9, "")</f>
        <v/>
      </c>
      <c r="H36" s="335" t="str">
        <f>IF(ISNUMBER(Import1!$P9),  Import1!T9, "")</f>
        <v/>
      </c>
      <c r="I36" s="336" t="str">
        <f>IF(ISNUMBER(Import1!$P9),  Import1!U9, "")</f>
        <v/>
      </c>
    </row>
    <row r="37" spans="1:9" x14ac:dyDescent="0.2">
      <c r="A37" s="337" t="str">
        <f>IF(ISNUMBER(Import1!$P10),  Import1!P10, "")</f>
        <v/>
      </c>
      <c r="B37" s="332" t="str">
        <f>IF(ISNUMBER(Import1!$P10),  Import1!Q10, "")</f>
        <v/>
      </c>
      <c r="C37" s="306"/>
      <c r="D37" s="306"/>
      <c r="E37" s="306"/>
      <c r="F37" s="306" t="str">
        <f>IF(ISNUMBER(Import1!$P10),  Import1!R10, "")</f>
        <v/>
      </c>
      <c r="G37" s="306" t="str">
        <f>IF(ISNUMBER(Import1!$P10),  Import1!S10, "")</f>
        <v/>
      </c>
      <c r="H37" s="338" t="str">
        <f>IF(ISNUMBER(Import1!$P10),  Import1!T10, "")</f>
        <v/>
      </c>
      <c r="I37" s="339" t="str">
        <f>IF(ISNUMBER(Import1!$P10),  Import1!U10, "")</f>
        <v/>
      </c>
    </row>
    <row r="38" spans="1:9" x14ac:dyDescent="0.2">
      <c r="A38" s="334" t="str">
        <f>IF(ISNUMBER(Import1!$P11),  Import1!P11, "")</f>
        <v/>
      </c>
      <c r="B38" s="331" t="str">
        <f>IF(ISNUMBER(Import1!$P11),  Import1!Q11, "")</f>
        <v/>
      </c>
      <c r="C38" s="305"/>
      <c r="D38" s="305"/>
      <c r="E38" s="305"/>
      <c r="F38" s="305" t="str">
        <f>IF(ISNUMBER(Import1!$P11),  Import1!R11, "")</f>
        <v/>
      </c>
      <c r="G38" s="305" t="str">
        <f>IF(ISNUMBER(Import1!$P11),  Import1!S11, "")</f>
        <v/>
      </c>
      <c r="H38" s="335" t="str">
        <f>IF(ISNUMBER(Import1!$P11),  Import1!T11, "")</f>
        <v/>
      </c>
      <c r="I38" s="336" t="str">
        <f>IF(ISNUMBER(Import1!$P11),  Import1!U11, "")</f>
        <v/>
      </c>
    </row>
    <row r="39" spans="1:9" x14ac:dyDescent="0.2">
      <c r="A39" s="337" t="str">
        <f>IF(ISNUMBER(Import1!$P12),  Import1!P12, "")</f>
        <v/>
      </c>
      <c r="B39" s="332" t="str">
        <f>IF(ISNUMBER(Import1!$P12),  Import1!Q12, "")</f>
        <v/>
      </c>
      <c r="C39" s="306"/>
      <c r="D39" s="306"/>
      <c r="E39" s="306"/>
      <c r="F39" s="306" t="str">
        <f>IF(ISNUMBER(Import1!$P12),  Import1!R12, "")</f>
        <v/>
      </c>
      <c r="G39" s="306" t="str">
        <f>IF(ISNUMBER(Import1!$P12),  Import1!S12, "")</f>
        <v/>
      </c>
      <c r="H39" s="338" t="str">
        <f>IF(ISNUMBER(Import1!$P12),  Import1!T12, "")</f>
        <v/>
      </c>
      <c r="I39" s="339" t="str">
        <f>IF(ISNUMBER(Import1!$P12),  Import1!U12, "")</f>
        <v/>
      </c>
    </row>
    <row r="40" spans="1:9" x14ac:dyDescent="0.2">
      <c r="A40" s="334" t="str">
        <f>IF(ISNUMBER(Import1!$P13),  Import1!P13, "")</f>
        <v/>
      </c>
      <c r="B40" s="331" t="str">
        <f>IF(ISNUMBER(Import1!$P13),  Import1!Q13, "")</f>
        <v/>
      </c>
      <c r="C40" s="305"/>
      <c r="D40" s="305"/>
      <c r="E40" s="305"/>
      <c r="F40" s="305" t="str">
        <f>IF(ISNUMBER(Import1!$P13),  Import1!R13, "")</f>
        <v/>
      </c>
      <c r="G40" s="305" t="str">
        <f>IF(ISNUMBER(Import1!$P13),  Import1!S13, "")</f>
        <v/>
      </c>
      <c r="H40" s="335" t="str">
        <f>IF(ISNUMBER(Import1!$P13),  Import1!T13, "")</f>
        <v/>
      </c>
      <c r="I40" s="336" t="str">
        <f>IF(ISNUMBER(Import1!$P13),  Import1!U13, "")</f>
        <v/>
      </c>
    </row>
    <row r="41" spans="1:9" x14ac:dyDescent="0.2">
      <c r="A41" s="337" t="str">
        <f>IF(ISNUMBER(Import1!$P14),  Import1!P14, "")</f>
        <v/>
      </c>
      <c r="B41" s="332" t="str">
        <f>IF(ISNUMBER(Import1!$P14),  Import1!Q14, "")</f>
        <v/>
      </c>
      <c r="C41" s="306"/>
      <c r="D41" s="306"/>
      <c r="E41" s="306"/>
      <c r="F41" s="306" t="str">
        <f>IF(ISNUMBER(Import1!$P14),  Import1!R14, "")</f>
        <v/>
      </c>
      <c r="G41" s="306" t="str">
        <f>IF(ISNUMBER(Import1!$P14),  Import1!S14, "")</f>
        <v/>
      </c>
      <c r="H41" s="338" t="str">
        <f>IF(ISNUMBER(Import1!$P14),  Import1!T14, "")</f>
        <v/>
      </c>
      <c r="I41" s="339" t="str">
        <f>IF(ISNUMBER(Import1!$P14),  Import1!U14, "")</f>
        <v/>
      </c>
    </row>
    <row r="42" spans="1:9" x14ac:dyDescent="0.2">
      <c r="A42" s="334" t="str">
        <f>IF(ISNUMBER(Import1!$P15),  Import1!P15, "")</f>
        <v/>
      </c>
      <c r="B42" s="331" t="str">
        <f>IF(ISNUMBER(Import1!$P15),  Import1!Q15, "")</f>
        <v/>
      </c>
      <c r="C42" s="305"/>
      <c r="D42" s="305"/>
      <c r="E42" s="305"/>
      <c r="F42" s="305" t="str">
        <f>IF(ISNUMBER(Import1!$P15),  Import1!R15, "")</f>
        <v/>
      </c>
      <c r="G42" s="305" t="str">
        <f>IF(ISNUMBER(Import1!$P15),  Import1!S15, "")</f>
        <v/>
      </c>
      <c r="H42" s="335" t="str">
        <f>IF(ISNUMBER(Import1!$P15),  Import1!T15, "")</f>
        <v/>
      </c>
      <c r="I42" s="336" t="str">
        <f>IF(ISNUMBER(Import1!$P15),  Import1!U15, "")</f>
        <v/>
      </c>
    </row>
    <row r="43" spans="1:9" x14ac:dyDescent="0.2">
      <c r="A43" s="337" t="str">
        <f>IF(ISNUMBER(Import1!$P16),  Import1!P16, "")</f>
        <v/>
      </c>
      <c r="B43" s="332" t="str">
        <f>IF(ISNUMBER(Import1!$P16),  Import1!Q16, "")</f>
        <v/>
      </c>
      <c r="C43" s="306"/>
      <c r="D43" s="306"/>
      <c r="E43" s="306"/>
      <c r="F43" s="306" t="str">
        <f>IF(ISNUMBER(Import1!$P16),  Import1!R16, "")</f>
        <v/>
      </c>
      <c r="G43" s="306" t="str">
        <f>IF(ISNUMBER(Import1!$P16),  Import1!S16, "")</f>
        <v/>
      </c>
      <c r="H43" s="338" t="str">
        <f>IF(ISNUMBER(Import1!$P16),  Import1!T16, "")</f>
        <v/>
      </c>
      <c r="I43" s="339" t="str">
        <f>IF(ISNUMBER(Import1!$P16),  Import1!U16, "")</f>
        <v/>
      </c>
    </row>
    <row r="44" spans="1:9" x14ac:dyDescent="0.2">
      <c r="A44" s="334" t="str">
        <f>IF(ISNUMBER(Import1!$P17),  Import1!P17, "")</f>
        <v/>
      </c>
      <c r="B44" s="331" t="str">
        <f>IF(ISNUMBER(Import1!$P17),  Import1!Q17, "")</f>
        <v/>
      </c>
      <c r="C44" s="305"/>
      <c r="D44" s="305"/>
      <c r="E44" s="305"/>
      <c r="F44" s="305" t="str">
        <f>IF(ISNUMBER(Import1!$P17),  Import1!R17, "")</f>
        <v/>
      </c>
      <c r="G44" s="305" t="str">
        <f>IF(ISNUMBER(Import1!$P17),  Import1!S17, "")</f>
        <v/>
      </c>
      <c r="H44" s="335" t="str">
        <f>IF(ISNUMBER(Import1!$P17),  Import1!T17, "")</f>
        <v/>
      </c>
      <c r="I44" s="336" t="str">
        <f>IF(ISNUMBER(Import1!$P17),  Import1!U17, "")</f>
        <v/>
      </c>
    </row>
    <row r="45" spans="1:9" x14ac:dyDescent="0.2">
      <c r="A45" s="337" t="str">
        <f>IF(ISNUMBER(Import1!$P18),  Import1!P18, "")</f>
        <v/>
      </c>
      <c r="B45" s="332" t="str">
        <f>IF(ISNUMBER(Import1!$P18),  Import1!Q18, "")</f>
        <v/>
      </c>
      <c r="C45" s="306"/>
      <c r="D45" s="306"/>
      <c r="E45" s="306"/>
      <c r="F45" s="306" t="str">
        <f>IF(ISNUMBER(Import1!$P18),  Import1!R18, "")</f>
        <v/>
      </c>
      <c r="G45" s="306" t="str">
        <f>IF(ISNUMBER(Import1!$P18),  Import1!S18, "")</f>
        <v/>
      </c>
      <c r="H45" s="338" t="str">
        <f>IF(ISNUMBER(Import1!$P18),  Import1!T18, "")</f>
        <v/>
      </c>
      <c r="I45" s="339" t="str">
        <f>IF(ISNUMBER(Import1!$P18),  Import1!U18, "")</f>
        <v/>
      </c>
    </row>
    <row r="46" spans="1:9" x14ac:dyDescent="0.2">
      <c r="A46" s="334" t="str">
        <f>IF(ISNUMBER(Import1!$P19),  Import1!P19, "")</f>
        <v/>
      </c>
      <c r="B46" s="331" t="str">
        <f>IF(ISNUMBER(Import1!$P19),  Import1!Q19, "")</f>
        <v/>
      </c>
      <c r="C46" s="305"/>
      <c r="D46" s="305"/>
      <c r="E46" s="305"/>
      <c r="F46" s="305" t="str">
        <f>IF(ISNUMBER(Import1!$P19),  Import1!R19, "")</f>
        <v/>
      </c>
      <c r="G46" s="305" t="str">
        <f>IF(ISNUMBER(Import1!$P19),  Import1!S19, "")</f>
        <v/>
      </c>
      <c r="H46" s="335" t="str">
        <f>IF(ISNUMBER(Import1!$P19),  Import1!T19, "")</f>
        <v/>
      </c>
      <c r="I46" s="336" t="str">
        <f>IF(ISNUMBER(Import1!$P19),  Import1!U19, "")</f>
        <v/>
      </c>
    </row>
    <row r="47" spans="1:9" x14ac:dyDescent="0.2">
      <c r="A47" s="337" t="str">
        <f>IF(ISNUMBER(Import1!$P20),  Import1!P20, "")</f>
        <v/>
      </c>
      <c r="B47" s="332" t="str">
        <f>IF(ISNUMBER(Import1!$P20),  Import1!Q20, "")</f>
        <v/>
      </c>
      <c r="C47" s="306"/>
      <c r="D47" s="306"/>
      <c r="E47" s="306"/>
      <c r="F47" s="306" t="str">
        <f>IF(ISNUMBER(Import1!$P20),  Import1!R20, "")</f>
        <v/>
      </c>
      <c r="G47" s="306" t="str">
        <f>IF(ISNUMBER(Import1!$P20),  Import1!S20, "")</f>
        <v/>
      </c>
      <c r="H47" s="338" t="str">
        <f>IF(ISNUMBER(Import1!$P20),  Import1!T20, "")</f>
        <v/>
      </c>
      <c r="I47" s="339" t="str">
        <f>IF(ISNUMBER(Import1!$P20),  Import1!U20, "")</f>
        <v/>
      </c>
    </row>
    <row r="48" spans="1:9" x14ac:dyDescent="0.2">
      <c r="A48" s="334" t="str">
        <f>IF(ISNUMBER(Import1!$P21),  Import1!P21, "")</f>
        <v/>
      </c>
      <c r="B48" s="331" t="str">
        <f>IF(ISNUMBER(Import1!$P21),  Import1!Q21, "")</f>
        <v/>
      </c>
      <c r="C48" s="305"/>
      <c r="D48" s="305"/>
      <c r="E48" s="305"/>
      <c r="F48" s="305" t="str">
        <f>IF(ISNUMBER(Import1!$P21),  Import1!R21, "")</f>
        <v/>
      </c>
      <c r="G48" s="305" t="str">
        <f>IF(ISNUMBER(Import1!$P21),  Import1!S21, "")</f>
        <v/>
      </c>
      <c r="H48" s="335" t="str">
        <f>IF(ISNUMBER(Import1!$P21),  Import1!T21, "")</f>
        <v/>
      </c>
      <c r="I48" s="336" t="str">
        <f>IF(ISNUMBER(Import1!$P21),  Import1!U21, "")</f>
        <v/>
      </c>
    </row>
    <row r="49" spans="1:9" x14ac:dyDescent="0.2">
      <c r="A49" s="337" t="str">
        <f>IF(ISNUMBER(Import1!$P22),  Import1!P22, "")</f>
        <v/>
      </c>
      <c r="B49" s="332" t="str">
        <f>IF(ISNUMBER(Import1!$P22),  Import1!Q22, "")</f>
        <v/>
      </c>
      <c r="C49" s="306"/>
      <c r="D49" s="306"/>
      <c r="E49" s="306"/>
      <c r="F49" s="306" t="str">
        <f>IF(ISNUMBER(Import1!$P22),  Import1!R22, "")</f>
        <v/>
      </c>
      <c r="G49" s="306" t="str">
        <f>IF(ISNUMBER(Import1!$P22),  Import1!S22, "")</f>
        <v/>
      </c>
      <c r="H49" s="338" t="str">
        <f>IF(ISNUMBER(Import1!$P22),  Import1!T22, "")</f>
        <v/>
      </c>
      <c r="I49" s="339" t="str">
        <f>IF(ISNUMBER(Import1!$P22),  Import1!U22, "")</f>
        <v/>
      </c>
    </row>
    <row r="50" spans="1:9" x14ac:dyDescent="0.2">
      <c r="A50" s="334" t="str">
        <f>IF(ISNUMBER(Import1!$P23),  Import1!P23, "")</f>
        <v/>
      </c>
      <c r="B50" s="331" t="str">
        <f>IF(ISNUMBER(Import1!$P23),  Import1!Q23, "")</f>
        <v/>
      </c>
      <c r="C50" s="305"/>
      <c r="D50" s="305"/>
      <c r="E50" s="305"/>
      <c r="F50" s="305" t="str">
        <f>IF(ISNUMBER(Import1!$P23),  Import1!R23, "")</f>
        <v/>
      </c>
      <c r="G50" s="305" t="str">
        <f>IF(ISNUMBER(Import1!$P23),  Import1!S23, "")</f>
        <v/>
      </c>
      <c r="H50" s="335" t="str">
        <f>IF(ISNUMBER(Import1!$P23),  Import1!T23, "")</f>
        <v/>
      </c>
      <c r="I50" s="336" t="str">
        <f>IF(ISNUMBER(Import1!$P23),  Import1!U23, "")</f>
        <v/>
      </c>
    </row>
    <row r="51" spans="1:9" x14ac:dyDescent="0.2">
      <c r="A51" s="337" t="str">
        <f>IF(ISNUMBER(Import1!$P24),  Import1!P24, "")</f>
        <v/>
      </c>
      <c r="B51" s="332" t="str">
        <f>IF(ISNUMBER(Import1!$P24),  Import1!Q24, "")</f>
        <v/>
      </c>
      <c r="C51" s="306"/>
      <c r="D51" s="306"/>
      <c r="E51" s="306"/>
      <c r="F51" s="306" t="str">
        <f>IF(ISNUMBER(Import1!$P24),  Import1!R24, "")</f>
        <v/>
      </c>
      <c r="G51" s="306" t="str">
        <f>IF(ISNUMBER(Import1!$P24),  Import1!S24, "")</f>
        <v/>
      </c>
      <c r="H51" s="338" t="str">
        <f>IF(ISNUMBER(Import1!$P24),  Import1!T24, "")</f>
        <v/>
      </c>
      <c r="I51" s="339" t="str">
        <f>IF(ISNUMBER(Import1!$P24),  Import1!U24, "")</f>
        <v/>
      </c>
    </row>
    <row r="52" spans="1:9" x14ac:dyDescent="0.2">
      <c r="A52" s="334" t="str">
        <f>IF(ISNUMBER(Import1!$P25),  Import1!P25, "")</f>
        <v/>
      </c>
      <c r="B52" s="331" t="str">
        <f>IF(ISNUMBER(Import1!$P25),  Import1!Q25, "")</f>
        <v/>
      </c>
      <c r="C52" s="305"/>
      <c r="D52" s="305"/>
      <c r="E52" s="305"/>
      <c r="F52" s="305" t="str">
        <f>IF(ISNUMBER(Import1!$P25),  Import1!R25, "")</f>
        <v/>
      </c>
      <c r="G52" s="305" t="str">
        <f>IF(ISNUMBER(Import1!$P25),  Import1!S25, "")</f>
        <v/>
      </c>
      <c r="H52" s="335" t="str">
        <f>IF(ISNUMBER(Import1!$P25),  Import1!T25, "")</f>
        <v/>
      </c>
      <c r="I52" s="336" t="str">
        <f>IF(ISNUMBER(Import1!$P25),  Import1!U25, "")</f>
        <v/>
      </c>
    </row>
    <row r="53" spans="1:9" x14ac:dyDescent="0.2">
      <c r="A53" s="337" t="str">
        <f>IF(ISNUMBER(Import1!$P26),  Import1!P26, "")</f>
        <v/>
      </c>
      <c r="B53" s="332" t="str">
        <f>IF(ISNUMBER(Import1!$P26),  Import1!Q26, "")</f>
        <v/>
      </c>
      <c r="C53" s="306"/>
      <c r="D53" s="306"/>
      <c r="E53" s="306"/>
      <c r="F53" s="306" t="str">
        <f>IF(ISNUMBER(Import1!$P26),  Import1!R26, "")</f>
        <v/>
      </c>
      <c r="G53" s="306" t="str">
        <f>IF(ISNUMBER(Import1!$P26),  Import1!S26, "")</f>
        <v/>
      </c>
      <c r="H53" s="338" t="str">
        <f>IF(ISNUMBER(Import1!$P26),  Import1!T26, "")</f>
        <v/>
      </c>
      <c r="I53" s="339" t="str">
        <f>IF(ISNUMBER(Import1!$P26),  Import1!U26, "")</f>
        <v/>
      </c>
    </row>
    <row r="54" spans="1:9" x14ac:dyDescent="0.2">
      <c r="A54" s="334" t="str">
        <f>IF(ISNUMBER(Import1!$P27),  Import1!P27, "")</f>
        <v/>
      </c>
      <c r="B54" s="331" t="str">
        <f>IF(ISNUMBER(Import1!$P27),  Import1!Q27, "")</f>
        <v/>
      </c>
      <c r="C54" s="305"/>
      <c r="D54" s="305"/>
      <c r="E54" s="305"/>
      <c r="F54" s="305" t="str">
        <f>IF(ISNUMBER(Import1!$P27),  Import1!R27, "")</f>
        <v/>
      </c>
      <c r="G54" s="305" t="str">
        <f>IF(ISNUMBER(Import1!$P27),  Import1!S27, "")</f>
        <v/>
      </c>
      <c r="H54" s="335" t="str">
        <f>IF(ISNUMBER(Import1!$P27),  Import1!T27, "")</f>
        <v/>
      </c>
      <c r="I54" s="336" t="str">
        <f>IF(ISNUMBER(Import1!$P27),  Import1!U27, "")</f>
        <v/>
      </c>
    </row>
    <row r="55" spans="1:9" x14ac:dyDescent="0.2">
      <c r="A55" s="337" t="str">
        <f>IF(ISNUMBER(Import1!$P28),  Import1!P28, "")</f>
        <v/>
      </c>
      <c r="B55" s="332" t="str">
        <f>IF(ISNUMBER(Import1!$P28),  Import1!Q28, "")</f>
        <v/>
      </c>
      <c r="C55" s="306"/>
      <c r="D55" s="306"/>
      <c r="E55" s="306"/>
      <c r="F55" s="306" t="str">
        <f>IF(ISNUMBER(Import1!$P28),  Import1!R28, "")</f>
        <v/>
      </c>
      <c r="G55" s="306" t="str">
        <f>IF(ISNUMBER(Import1!$P28),  Import1!S28, "")</f>
        <v/>
      </c>
      <c r="H55" s="338" t="str">
        <f>IF(ISNUMBER(Import1!$P28),  Import1!T28, "")</f>
        <v/>
      </c>
      <c r="I55" s="339" t="str">
        <f>IF(ISNUMBER(Import1!$P28),  Import1!U28, "")</f>
        <v/>
      </c>
    </row>
    <row r="56" spans="1:9" x14ac:dyDescent="0.2">
      <c r="A56" s="334" t="str">
        <f>IF(ISNUMBER(Import1!$P29),  Import1!P29, "")</f>
        <v/>
      </c>
      <c r="B56" s="331" t="str">
        <f>IF(ISNUMBER(Import1!$P29),  Import1!Q29, "")</f>
        <v/>
      </c>
      <c r="C56" s="305"/>
      <c r="D56" s="305"/>
      <c r="E56" s="305"/>
      <c r="F56" s="305" t="str">
        <f>IF(ISNUMBER(Import1!$P29),  Import1!R29, "")</f>
        <v/>
      </c>
      <c r="G56" s="305" t="str">
        <f>IF(ISNUMBER(Import1!$P29),  Import1!S29, "")</f>
        <v/>
      </c>
      <c r="H56" s="335" t="str">
        <f>IF(ISNUMBER(Import1!$P29),  Import1!T29, "")</f>
        <v/>
      </c>
      <c r="I56" s="336" t="str">
        <f>IF(ISNUMBER(Import1!$P29),  Import1!U29, "")</f>
        <v/>
      </c>
    </row>
    <row r="57" spans="1:9" x14ac:dyDescent="0.2">
      <c r="A57" s="337" t="str">
        <f>IF(ISNUMBER(Import1!$P30),  Import1!P30, "")</f>
        <v/>
      </c>
      <c r="B57" s="332" t="str">
        <f>IF(ISNUMBER(Import1!$P30),  Import1!Q30, "")</f>
        <v/>
      </c>
      <c r="C57" s="306"/>
      <c r="D57" s="306"/>
      <c r="E57" s="306"/>
      <c r="F57" s="306" t="str">
        <f>IF(ISNUMBER(Import1!$P30),  Import1!R30, "")</f>
        <v/>
      </c>
      <c r="G57" s="306" t="str">
        <f>IF(ISNUMBER(Import1!$P30),  Import1!S30, "")</f>
        <v/>
      </c>
      <c r="H57" s="338" t="str">
        <f>IF(ISNUMBER(Import1!$P30),  Import1!T30, "")</f>
        <v/>
      </c>
      <c r="I57" s="339" t="str">
        <f>IF(ISNUMBER(Import1!$P30),  Import1!U30, "")</f>
        <v/>
      </c>
    </row>
    <row r="58" spans="1:9" x14ac:dyDescent="0.2">
      <c r="A58" s="334" t="str">
        <f>IF(ISNUMBER(Import1!$P31),  Import1!P31, "")</f>
        <v/>
      </c>
      <c r="B58" s="331" t="str">
        <f>IF(ISNUMBER(Import1!$P31),  Import1!Q31, "")</f>
        <v/>
      </c>
      <c r="C58" s="305"/>
      <c r="D58" s="305"/>
      <c r="E58" s="305"/>
      <c r="F58" s="305" t="str">
        <f>IF(ISNUMBER(Import1!$P31),  Import1!R31, "")</f>
        <v/>
      </c>
      <c r="G58" s="305" t="str">
        <f>IF(ISNUMBER(Import1!$P31),  Import1!S31, "")</f>
        <v/>
      </c>
      <c r="H58" s="335" t="str">
        <f>IF(ISNUMBER(Import1!$P31),  Import1!T31, "")</f>
        <v/>
      </c>
      <c r="I58" s="336" t="str">
        <f>IF(ISNUMBER(Import1!$P31),  Import1!U31, "")</f>
        <v/>
      </c>
    </row>
    <row r="59" spans="1:9" x14ac:dyDescent="0.2">
      <c r="A59" s="337" t="str">
        <f>IF(ISNUMBER(Import1!$P32),  Import1!P32, "")</f>
        <v/>
      </c>
      <c r="B59" s="332" t="str">
        <f>IF(ISNUMBER(Import1!$P32),  Import1!Q32, "")</f>
        <v/>
      </c>
      <c r="C59" s="306"/>
      <c r="D59" s="306"/>
      <c r="E59" s="306"/>
      <c r="F59" s="306" t="str">
        <f>IF(ISNUMBER(Import1!$P32),  Import1!R32, "")</f>
        <v/>
      </c>
      <c r="G59" s="306" t="str">
        <f>IF(ISNUMBER(Import1!$P32),  Import1!S32, "")</f>
        <v/>
      </c>
      <c r="H59" s="338" t="str">
        <f>IF(ISNUMBER(Import1!$P32),  Import1!T32, "")</f>
        <v/>
      </c>
      <c r="I59" s="339" t="str">
        <f>IF(ISNUMBER(Import1!$P32),  Import1!U32, "")</f>
        <v/>
      </c>
    </row>
    <row r="60" spans="1:9" x14ac:dyDescent="0.2">
      <c r="A60" t="str">
        <f>IF(ISNUMBER(Import1!P33),  Import1!P33, "")</f>
        <v/>
      </c>
      <c r="B60" s="405" t="str">
        <f>IF(ISNUMBER(Import1!$P33),  Import1!Q33, "")</f>
        <v/>
      </c>
      <c r="C60" s="405"/>
      <c r="D60" s="405"/>
      <c r="E60" s="405"/>
      <c r="F60" s="405"/>
      <c r="G60" s="213" t="str">
        <f>IF(ISNUMBER(Import1!$P33),  Import1!R33, "")</f>
        <v/>
      </c>
      <c r="H60" s="213" t="str">
        <f>IF(ISNUMBER(Import1!$P33),  Import1!S33, "")</f>
        <v/>
      </c>
      <c r="I60" s="213" t="str">
        <f>IF(ISNUMBER(Import1!$P33),  Import1!T33, "")</f>
        <v/>
      </c>
    </row>
    <row r="61" spans="1:9" x14ac:dyDescent="0.2">
      <c r="B61" s="405"/>
      <c r="C61" s="405"/>
      <c r="D61" s="405"/>
      <c r="E61" s="405"/>
      <c r="F61" s="405"/>
    </row>
    <row r="62" spans="1:9" x14ac:dyDescent="0.2">
      <c r="B62" s="405"/>
      <c r="C62" s="405"/>
      <c r="D62" s="405"/>
      <c r="E62" s="405"/>
      <c r="F62" s="405"/>
    </row>
    <row r="63" spans="1:9" x14ac:dyDescent="0.2">
      <c r="B63" s="405"/>
      <c r="C63" s="405"/>
      <c r="D63" s="405"/>
      <c r="E63" s="405"/>
      <c r="F63" s="405"/>
    </row>
    <row r="64" spans="1:9" x14ac:dyDescent="0.2">
      <c r="B64" s="405"/>
      <c r="C64" s="405"/>
      <c r="D64" s="405"/>
      <c r="E64" s="405"/>
      <c r="F64" s="405"/>
    </row>
    <row r="65" spans="2:6" x14ac:dyDescent="0.2">
      <c r="B65" s="405"/>
      <c r="C65" s="405"/>
      <c r="D65" s="405"/>
      <c r="E65" s="405"/>
      <c r="F65" s="405"/>
    </row>
    <row r="66" spans="2:6" x14ac:dyDescent="0.2">
      <c r="B66" s="405"/>
      <c r="C66" s="405"/>
      <c r="D66" s="405"/>
      <c r="E66" s="405"/>
      <c r="F66" s="405"/>
    </row>
    <row r="67" spans="2:6" x14ac:dyDescent="0.2">
      <c r="B67" s="405"/>
      <c r="C67" s="405"/>
      <c r="D67" s="405"/>
      <c r="E67" s="405"/>
      <c r="F67" s="405"/>
    </row>
    <row r="68" spans="2:6" x14ac:dyDescent="0.2">
      <c r="B68" s="405"/>
      <c r="C68" s="405"/>
      <c r="D68" s="405"/>
      <c r="E68" s="405"/>
      <c r="F68" s="405"/>
    </row>
    <row r="69" spans="2:6" x14ac:dyDescent="0.2">
      <c r="B69" s="405"/>
      <c r="C69" s="405"/>
      <c r="D69" s="405"/>
      <c r="E69" s="405"/>
      <c r="F69" s="405"/>
    </row>
    <row r="70" spans="2:6" x14ac:dyDescent="0.2">
      <c r="B70" s="405"/>
      <c r="C70" s="405"/>
      <c r="D70" s="405"/>
      <c r="E70" s="405"/>
      <c r="F70" s="405"/>
    </row>
    <row r="71" spans="2:6" x14ac:dyDescent="0.2">
      <c r="B71" s="405"/>
      <c r="C71" s="405"/>
      <c r="D71" s="405"/>
      <c r="E71" s="405"/>
      <c r="F71" s="405"/>
    </row>
    <row r="72" spans="2:6" x14ac:dyDescent="0.2">
      <c r="B72" s="405"/>
      <c r="C72" s="405"/>
      <c r="D72" s="405"/>
      <c r="E72" s="405"/>
      <c r="F72" s="405"/>
    </row>
    <row r="73" spans="2:6" x14ac:dyDescent="0.2">
      <c r="B73" s="405"/>
      <c r="C73" s="405"/>
      <c r="D73" s="405"/>
      <c r="E73" s="405"/>
      <c r="F73" s="405"/>
    </row>
    <row r="74" spans="2:6" x14ac:dyDescent="0.2">
      <c r="B74" s="405"/>
      <c r="C74" s="405"/>
      <c r="D74" s="405"/>
      <c r="E74" s="405"/>
      <c r="F74" s="405"/>
    </row>
    <row r="75" spans="2:6" x14ac:dyDescent="0.2">
      <c r="B75" s="405"/>
      <c r="C75" s="405"/>
      <c r="D75" s="405"/>
      <c r="E75" s="405"/>
      <c r="F75" s="405"/>
    </row>
    <row r="76" spans="2:6" x14ac:dyDescent="0.2">
      <c r="B76" s="405"/>
      <c r="C76" s="405"/>
      <c r="D76" s="405"/>
      <c r="E76" s="405"/>
      <c r="F76" s="405"/>
    </row>
    <row r="77" spans="2:6" x14ac:dyDescent="0.2">
      <c r="B77" s="405"/>
      <c r="C77" s="405"/>
      <c r="D77" s="405"/>
      <c r="E77" s="405"/>
      <c r="F77" s="405"/>
    </row>
    <row r="78" spans="2:6" x14ac:dyDescent="0.2">
      <c r="B78" s="405"/>
      <c r="C78" s="405"/>
      <c r="D78" s="405"/>
      <c r="E78" s="405"/>
      <c r="F78" s="405"/>
    </row>
    <row r="79" spans="2:6" x14ac:dyDescent="0.2">
      <c r="B79" s="405"/>
      <c r="C79" s="405"/>
      <c r="D79" s="405"/>
      <c r="E79" s="405"/>
      <c r="F79" s="405"/>
    </row>
    <row r="80" spans="2:6" x14ac:dyDescent="0.2">
      <c r="B80" s="405"/>
      <c r="C80" s="405"/>
      <c r="D80" s="405"/>
      <c r="E80" s="405"/>
      <c r="F80" s="405"/>
    </row>
    <row r="81" spans="2:6" x14ac:dyDescent="0.2">
      <c r="B81" s="405"/>
      <c r="C81" s="405"/>
      <c r="D81" s="405"/>
      <c r="E81" s="405"/>
      <c r="F81" s="405"/>
    </row>
    <row r="82" spans="2:6" x14ac:dyDescent="0.2">
      <c r="B82" s="405"/>
      <c r="C82" s="405"/>
      <c r="D82" s="405"/>
      <c r="E82" s="405"/>
      <c r="F82" s="405"/>
    </row>
    <row r="83" spans="2:6" x14ac:dyDescent="0.2">
      <c r="B83" s="405"/>
      <c r="C83" s="405"/>
      <c r="D83" s="405"/>
      <c r="E83" s="405"/>
      <c r="F83" s="405"/>
    </row>
    <row r="84" spans="2:6" x14ac:dyDescent="0.2">
      <c r="B84" s="405"/>
      <c r="C84" s="405"/>
      <c r="D84" s="405"/>
      <c r="E84" s="405"/>
      <c r="F84" s="405"/>
    </row>
    <row r="85" spans="2:6" x14ac:dyDescent="0.2">
      <c r="B85" s="405"/>
      <c r="C85" s="405"/>
      <c r="D85" s="405"/>
      <c r="E85" s="405"/>
      <c r="F85" s="405"/>
    </row>
    <row r="86" spans="2:6" x14ac:dyDescent="0.2">
      <c r="B86" s="405"/>
      <c r="C86" s="405"/>
      <c r="D86" s="405"/>
      <c r="E86" s="405"/>
      <c r="F86" s="405"/>
    </row>
    <row r="87" spans="2:6" x14ac:dyDescent="0.2">
      <c r="B87" s="405"/>
      <c r="C87" s="405"/>
      <c r="D87" s="405"/>
      <c r="E87" s="405"/>
      <c r="F87" s="405"/>
    </row>
    <row r="88" spans="2:6" x14ac:dyDescent="0.2">
      <c r="B88" s="405"/>
      <c r="C88" s="405"/>
      <c r="D88" s="405"/>
      <c r="E88" s="405"/>
      <c r="F88" s="405"/>
    </row>
    <row r="89" spans="2:6" x14ac:dyDescent="0.2">
      <c r="B89" s="405"/>
      <c r="C89" s="405"/>
      <c r="D89" s="405"/>
      <c r="E89" s="405"/>
      <c r="F89" s="405"/>
    </row>
    <row r="90" spans="2:6" x14ac:dyDescent="0.2">
      <c r="B90" s="405"/>
      <c r="C90" s="405"/>
      <c r="D90" s="405"/>
      <c r="E90" s="405"/>
      <c r="F90" s="405"/>
    </row>
    <row r="91" spans="2:6" x14ac:dyDescent="0.2">
      <c r="B91" s="405"/>
      <c r="C91" s="405"/>
      <c r="D91" s="405"/>
      <c r="E91" s="405"/>
      <c r="F91" s="405"/>
    </row>
    <row r="92" spans="2:6" x14ac:dyDescent="0.2">
      <c r="B92" s="405"/>
      <c r="C92" s="405"/>
      <c r="D92" s="405"/>
      <c r="E92" s="405"/>
      <c r="F92" s="405"/>
    </row>
    <row r="93" spans="2:6" x14ac:dyDescent="0.2">
      <c r="B93" s="405"/>
      <c r="C93" s="405"/>
      <c r="D93" s="405"/>
      <c r="E93" s="405"/>
      <c r="F93" s="405"/>
    </row>
    <row r="94" spans="2:6" x14ac:dyDescent="0.2">
      <c r="B94" s="405"/>
      <c r="C94" s="405"/>
      <c r="D94" s="405"/>
      <c r="E94" s="405"/>
      <c r="F94" s="405"/>
    </row>
    <row r="95" spans="2:6" x14ac:dyDescent="0.2">
      <c r="B95" s="405"/>
      <c r="C95" s="405"/>
      <c r="D95" s="405"/>
      <c r="E95" s="405"/>
      <c r="F95" s="405"/>
    </row>
    <row r="96" spans="2:6" x14ac:dyDescent="0.2">
      <c r="B96" s="405"/>
      <c r="C96" s="405"/>
      <c r="D96" s="405"/>
      <c r="E96" s="405"/>
      <c r="F96" s="405"/>
    </row>
    <row r="97" spans="2:6" x14ac:dyDescent="0.2">
      <c r="B97" s="405"/>
      <c r="C97" s="405"/>
      <c r="D97" s="405"/>
      <c r="E97" s="405"/>
      <c r="F97" s="405"/>
    </row>
    <row r="98" spans="2:6" x14ac:dyDescent="0.2">
      <c r="B98" s="405"/>
      <c r="C98" s="405"/>
      <c r="D98" s="405"/>
      <c r="E98" s="405"/>
      <c r="F98" s="405"/>
    </row>
    <row r="99" spans="2:6" x14ac:dyDescent="0.2">
      <c r="B99" s="405"/>
      <c r="C99" s="405"/>
      <c r="D99" s="405"/>
      <c r="E99" s="405"/>
      <c r="F99" s="405"/>
    </row>
    <row r="100" spans="2:6" x14ac:dyDescent="0.2">
      <c r="B100" s="405"/>
      <c r="C100" s="405"/>
      <c r="D100" s="405"/>
      <c r="E100" s="405"/>
      <c r="F100" s="405"/>
    </row>
  </sheetData>
  <mergeCells count="45">
    <mergeCell ref="B28:D28"/>
    <mergeCell ref="G1:I1"/>
    <mergeCell ref="B3:C3"/>
    <mergeCell ref="B7:C7"/>
    <mergeCell ref="B71:F71"/>
    <mergeCell ref="B60:F60"/>
    <mergeCell ref="B61:F61"/>
    <mergeCell ref="B62:F62"/>
    <mergeCell ref="B63:F63"/>
    <mergeCell ref="B64:F64"/>
    <mergeCell ref="B65:F65"/>
    <mergeCell ref="B66:F66"/>
    <mergeCell ref="B67:F67"/>
    <mergeCell ref="B68:F68"/>
    <mergeCell ref="B69:F69"/>
    <mergeCell ref="B70:F70"/>
    <mergeCell ref="B83:F83"/>
    <mergeCell ref="B72:F72"/>
    <mergeCell ref="B73:F73"/>
    <mergeCell ref="B74:F74"/>
    <mergeCell ref="B75:F75"/>
    <mergeCell ref="B76:F76"/>
    <mergeCell ref="B77:F77"/>
    <mergeCell ref="B78:F78"/>
    <mergeCell ref="B79:F79"/>
    <mergeCell ref="B80:F80"/>
    <mergeCell ref="B81:F81"/>
    <mergeCell ref="B82:F82"/>
    <mergeCell ref="B95:F95"/>
    <mergeCell ref="B84:F84"/>
    <mergeCell ref="B85:F85"/>
    <mergeCell ref="B86:F86"/>
    <mergeCell ref="B87:F87"/>
    <mergeCell ref="B88:F88"/>
    <mergeCell ref="B89:F89"/>
    <mergeCell ref="B90:F90"/>
    <mergeCell ref="B91:F91"/>
    <mergeCell ref="B92:F92"/>
    <mergeCell ref="B93:F93"/>
    <mergeCell ref="B94:F94"/>
    <mergeCell ref="B96:F96"/>
    <mergeCell ref="B97:F97"/>
    <mergeCell ref="B98:F98"/>
    <mergeCell ref="B99:F99"/>
    <mergeCell ref="B100:F100"/>
  </mergeCells>
  <pageMargins left="0.7" right="0.7" top="0.75" bottom="0.75" header="0.3" footer="0.3"/>
  <pageSetup scale="82"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C000"/>
  </sheetPr>
  <dimension ref="A1:F86"/>
  <sheetViews>
    <sheetView showGridLines="0" workbookViewId="0">
      <selection activeCell="G9" sqref="G9"/>
    </sheetView>
  </sheetViews>
  <sheetFormatPr defaultRowHeight="12.75" x14ac:dyDescent="0.2"/>
  <cols>
    <col min="1" max="1" width="1.42578125" customWidth="1"/>
    <col min="2" max="2" width="9.28515625" customWidth="1"/>
    <col min="3" max="3" width="11" customWidth="1"/>
    <col min="4" max="4" width="14.7109375" customWidth="1"/>
    <col min="5" max="5" width="9" customWidth="1"/>
    <col min="6" max="6" width="43.7109375" customWidth="1"/>
  </cols>
  <sheetData>
    <row r="1" spans="1:6" ht="23.25" x14ac:dyDescent="0.35">
      <c r="B1" s="242" t="s">
        <v>261</v>
      </c>
      <c r="C1" s="243"/>
      <c r="D1" s="243"/>
      <c r="E1" s="245"/>
      <c r="F1" s="276" t="s">
        <v>260</v>
      </c>
    </row>
    <row r="3" spans="1:6" x14ac:dyDescent="0.2">
      <c r="B3" s="214" t="s">
        <v>217</v>
      </c>
      <c r="C3" s="214"/>
    </row>
    <row r="4" spans="1:6" ht="7.5" customHeight="1" x14ac:dyDescent="0.2">
      <c r="B4" s="235"/>
      <c r="C4" s="235"/>
    </row>
    <row r="5" spans="1:6" ht="29.25" customHeight="1" x14ac:dyDescent="0.2">
      <c r="B5" s="411" t="s">
        <v>286</v>
      </c>
      <c r="C5" s="411"/>
      <c r="D5" s="411"/>
      <c r="E5" s="411"/>
      <c r="F5" s="411"/>
    </row>
    <row r="6" spans="1:6" x14ac:dyDescent="0.2">
      <c r="B6" s="428" t="s">
        <v>262</v>
      </c>
      <c r="C6" s="428"/>
      <c r="D6" s="428"/>
      <c r="E6" s="428"/>
      <c r="F6" s="428"/>
    </row>
    <row r="7" spans="1:6" x14ac:dyDescent="0.2">
      <c r="B7" s="236" t="s">
        <v>263</v>
      </c>
      <c r="C7" s="236"/>
      <c r="D7" s="236"/>
      <c r="E7" s="236"/>
      <c r="F7" s="236"/>
    </row>
    <row r="8" spans="1:6" ht="8.4499999999999993" customHeight="1" x14ac:dyDescent="0.2">
      <c r="B8" s="236"/>
      <c r="C8" s="236"/>
      <c r="D8" s="236"/>
      <c r="E8" s="236"/>
      <c r="F8" s="236"/>
    </row>
    <row r="9" spans="1:6" x14ac:dyDescent="0.2">
      <c r="B9" s="388" t="s">
        <v>218</v>
      </c>
      <c r="C9" s="388"/>
      <c r="D9" s="213"/>
      <c r="E9" s="213"/>
      <c r="F9" s="213"/>
    </row>
    <row r="10" spans="1:6" ht="10.15" customHeight="1" x14ac:dyDescent="0.2">
      <c r="B10" s="235"/>
      <c r="C10" s="235"/>
      <c r="D10" s="213"/>
      <c r="E10" s="213"/>
      <c r="F10" s="213"/>
    </row>
    <row r="11" spans="1:6" x14ac:dyDescent="0.2">
      <c r="A11" s="258"/>
      <c r="B11" s="429" t="s">
        <v>269</v>
      </c>
      <c r="C11" s="430"/>
      <c r="D11" s="430"/>
      <c r="E11" s="430"/>
      <c r="F11" s="277">
        <v>3</v>
      </c>
    </row>
    <row r="12" spans="1:6" x14ac:dyDescent="0.2">
      <c r="A12" s="258"/>
      <c r="B12" s="412" t="s">
        <v>270</v>
      </c>
      <c r="C12" s="413"/>
      <c r="D12" s="413"/>
      <c r="E12" s="413"/>
      <c r="F12" s="278">
        <v>12</v>
      </c>
    </row>
    <row r="13" spans="1:6" x14ac:dyDescent="0.2">
      <c r="A13" s="258"/>
      <c r="B13" s="412" t="s">
        <v>271</v>
      </c>
      <c r="C13" s="413"/>
      <c r="D13" s="413"/>
      <c r="E13" s="413"/>
      <c r="F13" s="278">
        <v>10</v>
      </c>
    </row>
    <row r="14" spans="1:6" x14ac:dyDescent="0.2">
      <c r="A14" s="258"/>
      <c r="B14" s="412" t="s">
        <v>272</v>
      </c>
      <c r="C14" s="413"/>
      <c r="D14" s="413"/>
      <c r="E14" s="413"/>
      <c r="F14" s="278">
        <v>6</v>
      </c>
    </row>
    <row r="15" spans="1:6" x14ac:dyDescent="0.2">
      <c r="A15" s="258"/>
      <c r="B15" s="426" t="s">
        <v>273</v>
      </c>
      <c r="C15" s="427"/>
      <c r="D15" s="427"/>
      <c r="E15" s="427"/>
      <c r="F15" s="279">
        <v>18</v>
      </c>
    </row>
    <row r="16" spans="1:6" ht="24.6" customHeight="1" x14ac:dyDescent="0.2">
      <c r="B16" s="275" t="s">
        <v>215</v>
      </c>
      <c r="C16" s="214"/>
      <c r="D16" s="214"/>
    </row>
    <row r="17" spans="2:6" ht="6" customHeight="1" x14ac:dyDescent="0.2">
      <c r="B17" s="261"/>
      <c r="C17" s="262"/>
      <c r="D17" s="262"/>
      <c r="E17" s="257"/>
      <c r="F17" s="181"/>
    </row>
    <row r="18" spans="2:6" ht="19.899999999999999" customHeight="1" x14ac:dyDescent="0.2">
      <c r="B18" s="263" t="s">
        <v>274</v>
      </c>
      <c r="C18" s="264"/>
      <c r="D18" s="264"/>
      <c r="E18" s="265"/>
      <c r="F18" s="266"/>
    </row>
    <row r="19" spans="2:6" ht="4.1500000000000004" customHeight="1" x14ac:dyDescent="0.2">
      <c r="B19" s="263"/>
      <c r="C19" s="264"/>
      <c r="D19" s="264"/>
      <c r="E19" s="265"/>
      <c r="F19" s="266"/>
    </row>
    <row r="20" spans="2:6" ht="16.899999999999999" customHeight="1" x14ac:dyDescent="0.2">
      <c r="B20" s="267" t="s">
        <v>275</v>
      </c>
      <c r="C20" s="268"/>
      <c r="D20" s="259" t="s">
        <v>266</v>
      </c>
      <c r="E20" s="268" t="s">
        <v>267</v>
      </c>
      <c r="F20" s="269"/>
    </row>
    <row r="21" spans="2:6" ht="4.9000000000000004" customHeight="1" x14ac:dyDescent="0.2">
      <c r="B21" s="267"/>
      <c r="C21" s="268"/>
      <c r="D21" s="260"/>
      <c r="E21" s="268"/>
      <c r="F21" s="269"/>
    </row>
    <row r="22" spans="2:6" ht="16.149999999999999" customHeight="1" x14ac:dyDescent="0.2">
      <c r="B22" s="263" t="s">
        <v>276</v>
      </c>
      <c r="C22" s="270"/>
      <c r="D22" s="270"/>
      <c r="E22" s="270"/>
      <c r="F22" s="271"/>
    </row>
    <row r="23" spans="2:6" ht="5.45" customHeight="1" x14ac:dyDescent="0.2">
      <c r="B23" s="263"/>
      <c r="C23" s="270"/>
      <c r="D23" s="270"/>
      <c r="E23" s="270"/>
      <c r="F23" s="271"/>
    </row>
    <row r="24" spans="2:6" ht="19.149999999999999" customHeight="1" x14ac:dyDescent="0.2">
      <c r="B24" s="267" t="s">
        <v>277</v>
      </c>
      <c r="C24" s="270"/>
      <c r="D24" s="270"/>
      <c r="E24" s="270"/>
      <c r="F24" s="271"/>
    </row>
    <row r="25" spans="2:6" x14ac:dyDescent="0.2">
      <c r="B25" s="263" t="s">
        <v>284</v>
      </c>
      <c r="C25" s="270"/>
      <c r="D25" s="270"/>
      <c r="E25" s="270"/>
      <c r="F25" s="271" t="s">
        <v>285</v>
      </c>
    </row>
    <row r="26" spans="2:6" ht="18" customHeight="1" x14ac:dyDescent="0.2">
      <c r="B26" s="272" t="s">
        <v>278</v>
      </c>
      <c r="C26" s="273"/>
      <c r="D26" s="273"/>
      <c r="E26" s="273"/>
      <c r="F26" s="274"/>
    </row>
    <row r="27" spans="2:6" x14ac:dyDescent="0.2">
      <c r="B27" s="258"/>
      <c r="C27" s="258"/>
      <c r="D27" s="258"/>
      <c r="E27" s="258"/>
      <c r="F27" s="258"/>
    </row>
    <row r="28" spans="2:6" x14ac:dyDescent="0.2">
      <c r="B28" s="30" t="s">
        <v>112</v>
      </c>
    </row>
    <row r="30" spans="2:6" x14ac:dyDescent="0.2">
      <c r="B30" s="280" t="s">
        <v>216</v>
      </c>
      <c r="C30" s="257"/>
      <c r="D30" s="257"/>
      <c r="E30" s="257"/>
      <c r="F30" s="181"/>
    </row>
    <row r="31" spans="2:6" x14ac:dyDescent="0.2">
      <c r="B31" s="295" t="s">
        <v>283</v>
      </c>
      <c r="C31" s="34"/>
      <c r="D31" s="34"/>
      <c r="E31" s="34"/>
      <c r="F31" s="282" t="s">
        <v>268</v>
      </c>
    </row>
    <row r="32" spans="2:6" ht="6.6" customHeight="1" x14ac:dyDescent="0.2">
      <c r="B32" s="281"/>
      <c r="C32" s="34"/>
      <c r="D32" s="34"/>
      <c r="E32" s="34"/>
      <c r="F32" s="282"/>
    </row>
    <row r="33" spans="2:6" x14ac:dyDescent="0.2">
      <c r="B33" s="283" t="s">
        <v>221</v>
      </c>
      <c r="C33" s="34"/>
      <c r="D33" s="34"/>
      <c r="E33" s="34"/>
      <c r="F33" s="282"/>
    </row>
    <row r="34" spans="2:6" x14ac:dyDescent="0.2">
      <c r="B34" s="294" t="s">
        <v>219</v>
      </c>
      <c r="C34" s="34"/>
      <c r="D34" s="284"/>
      <c r="E34" s="284"/>
      <c r="F34" s="285"/>
    </row>
    <row r="35" spans="2:6" x14ac:dyDescent="0.2">
      <c r="B35" s="294" t="s">
        <v>220</v>
      </c>
      <c r="C35" s="284"/>
      <c r="D35" s="284"/>
      <c r="E35" s="284"/>
      <c r="F35" s="285"/>
    </row>
    <row r="36" spans="2:6" x14ac:dyDescent="0.2">
      <c r="B36" s="294" t="s">
        <v>281</v>
      </c>
      <c r="C36" s="284"/>
      <c r="D36" s="284"/>
      <c r="E36" s="284"/>
      <c r="F36" s="285"/>
    </row>
    <row r="37" spans="2:6" x14ac:dyDescent="0.2">
      <c r="B37" s="290" t="s">
        <v>282</v>
      </c>
      <c r="C37" s="284"/>
      <c r="D37" s="284"/>
      <c r="E37" s="284"/>
      <c r="F37" s="285"/>
    </row>
    <row r="38" spans="2:6" ht="7.9" customHeight="1" x14ac:dyDescent="0.2">
      <c r="B38" s="286"/>
      <c r="C38" s="284"/>
      <c r="D38" s="284"/>
      <c r="E38" s="284"/>
      <c r="F38" s="285"/>
    </row>
    <row r="39" spans="2:6" x14ac:dyDescent="0.2">
      <c r="B39" s="287" t="s">
        <v>223</v>
      </c>
      <c r="C39" s="284"/>
      <c r="D39" s="284"/>
      <c r="E39" s="284"/>
      <c r="F39" s="285"/>
    </row>
    <row r="40" spans="2:6" ht="13.15" customHeight="1" x14ac:dyDescent="0.2">
      <c r="B40" s="414" t="s">
        <v>280</v>
      </c>
      <c r="C40" s="415"/>
      <c r="D40" s="415"/>
      <c r="E40" s="415"/>
      <c r="F40" s="418"/>
    </row>
    <row r="41" spans="2:6" ht="7.9" customHeight="1" x14ac:dyDescent="0.2">
      <c r="B41" s="291"/>
      <c r="C41" s="292"/>
      <c r="D41" s="292"/>
      <c r="E41" s="292"/>
      <c r="F41" s="293"/>
    </row>
    <row r="42" spans="2:6" x14ac:dyDescent="0.2">
      <c r="B42" s="287" t="s">
        <v>224</v>
      </c>
      <c r="C42" s="288"/>
      <c r="D42" s="288"/>
      <c r="E42" s="288"/>
      <c r="F42" s="289"/>
    </row>
    <row r="43" spans="2:6" x14ac:dyDescent="0.2">
      <c r="B43" s="290" t="s">
        <v>222</v>
      </c>
      <c r="C43" s="284"/>
      <c r="D43" s="284"/>
      <c r="E43" s="284"/>
      <c r="F43" s="285"/>
    </row>
    <row r="44" spans="2:6" x14ac:dyDescent="0.2">
      <c r="B44" s="256"/>
      <c r="C44" s="34"/>
      <c r="D44" s="34"/>
      <c r="E44" s="34"/>
      <c r="F44" s="182"/>
    </row>
    <row r="45" spans="2:6" x14ac:dyDescent="0.2">
      <c r="B45" s="287" t="s">
        <v>233</v>
      </c>
      <c r="C45" s="34"/>
      <c r="D45" s="34"/>
      <c r="E45" s="34"/>
      <c r="F45" s="182"/>
    </row>
    <row r="46" spans="2:6" ht="13.15" customHeight="1" x14ac:dyDescent="0.2">
      <c r="B46" s="414" t="s">
        <v>279</v>
      </c>
      <c r="C46" s="415"/>
      <c r="D46" s="415"/>
      <c r="E46" s="415"/>
      <c r="F46" s="418"/>
    </row>
    <row r="47" spans="2:6" x14ac:dyDescent="0.2">
      <c r="B47" s="414"/>
      <c r="C47" s="415"/>
      <c r="D47" s="415"/>
      <c r="E47" s="415"/>
      <c r="F47" s="418"/>
    </row>
    <row r="48" spans="2:6" x14ac:dyDescent="0.2">
      <c r="B48" s="416"/>
      <c r="C48" s="417"/>
      <c r="D48" s="417"/>
      <c r="E48" s="417"/>
      <c r="F48" s="419"/>
    </row>
    <row r="50" spans="2:6" x14ac:dyDescent="0.2">
      <c r="B50" s="30" t="s">
        <v>152</v>
      </c>
    </row>
    <row r="52" spans="2:6" x14ac:dyDescent="0.2">
      <c r="B52" s="296" t="s">
        <v>216</v>
      </c>
      <c r="C52" s="257"/>
      <c r="D52" s="257"/>
      <c r="E52" s="257"/>
      <c r="F52" s="181"/>
    </row>
    <row r="53" spans="2:6" x14ac:dyDescent="0.2">
      <c r="B53" s="298" t="s">
        <v>225</v>
      </c>
      <c r="C53" s="34"/>
      <c r="D53" s="34"/>
      <c r="E53" s="34"/>
      <c r="F53" s="182"/>
    </row>
    <row r="54" spans="2:6" x14ac:dyDescent="0.2">
      <c r="B54" s="298" t="s">
        <v>226</v>
      </c>
      <c r="C54" s="34"/>
      <c r="D54" s="34"/>
      <c r="E54" s="34"/>
      <c r="F54" s="182"/>
    </row>
    <row r="55" spans="2:6" x14ac:dyDescent="0.2">
      <c r="B55" s="256"/>
      <c r="C55" s="34"/>
      <c r="D55" s="34"/>
      <c r="E55" s="34"/>
      <c r="F55" s="182"/>
    </row>
    <row r="56" spans="2:6" x14ac:dyDescent="0.2">
      <c r="B56" s="287" t="s">
        <v>221</v>
      </c>
      <c r="C56" s="34"/>
      <c r="D56" s="34"/>
      <c r="E56" s="34"/>
      <c r="F56" s="182"/>
    </row>
    <row r="57" spans="2:6" x14ac:dyDescent="0.2">
      <c r="B57" s="414" t="s">
        <v>227</v>
      </c>
      <c r="C57" s="420"/>
      <c r="D57" s="420"/>
      <c r="E57" s="420"/>
      <c r="F57" s="421"/>
    </row>
    <row r="58" spans="2:6" x14ac:dyDescent="0.2">
      <c r="B58" s="422"/>
      <c r="C58" s="420"/>
      <c r="D58" s="420"/>
      <c r="E58" s="420"/>
      <c r="F58" s="421"/>
    </row>
    <row r="59" spans="2:6" x14ac:dyDescent="0.2">
      <c r="B59" s="256"/>
      <c r="C59" s="34"/>
      <c r="D59" s="34"/>
      <c r="E59" s="34"/>
      <c r="F59" s="182"/>
    </row>
    <row r="60" spans="2:6" x14ac:dyDescent="0.2">
      <c r="B60" s="287" t="s">
        <v>223</v>
      </c>
      <c r="C60" s="34"/>
      <c r="D60" s="34"/>
      <c r="E60" s="34"/>
      <c r="F60" s="182"/>
    </row>
    <row r="61" spans="2:6" x14ac:dyDescent="0.2">
      <c r="B61" s="414" t="s">
        <v>228</v>
      </c>
      <c r="C61" s="415"/>
      <c r="D61" s="415"/>
      <c r="E61" s="415"/>
      <c r="F61" s="418"/>
    </row>
    <row r="62" spans="2:6" x14ac:dyDescent="0.2">
      <c r="B62" s="414"/>
      <c r="C62" s="415"/>
      <c r="D62" s="415"/>
      <c r="E62" s="415"/>
      <c r="F62" s="418"/>
    </row>
    <row r="63" spans="2:6" x14ac:dyDescent="0.2">
      <c r="B63" s="256"/>
      <c r="C63" s="34"/>
      <c r="D63" s="34"/>
      <c r="E63" s="34"/>
      <c r="F63" s="182"/>
    </row>
    <row r="64" spans="2:6" x14ac:dyDescent="0.2">
      <c r="B64" s="287" t="s">
        <v>224</v>
      </c>
      <c r="C64" s="34"/>
      <c r="D64" s="34"/>
      <c r="E64" s="34"/>
      <c r="F64" s="182"/>
    </row>
    <row r="65" spans="2:6" x14ac:dyDescent="0.2">
      <c r="B65" s="298" t="s">
        <v>229</v>
      </c>
      <c r="C65" s="34"/>
      <c r="D65" s="34"/>
      <c r="E65" s="34"/>
      <c r="F65" s="182"/>
    </row>
    <row r="66" spans="2:6" x14ac:dyDescent="0.2">
      <c r="B66" s="298" t="s">
        <v>230</v>
      </c>
      <c r="C66" s="34"/>
      <c r="D66" s="34"/>
      <c r="E66" s="34"/>
      <c r="F66" s="182"/>
    </row>
    <row r="67" spans="2:6" x14ac:dyDescent="0.2">
      <c r="B67" s="298" t="s">
        <v>231</v>
      </c>
      <c r="C67" s="34"/>
      <c r="D67" s="34"/>
      <c r="E67" s="34"/>
      <c r="F67" s="182"/>
    </row>
    <row r="68" spans="2:6" x14ac:dyDescent="0.2">
      <c r="B68" s="298" t="s">
        <v>232</v>
      </c>
      <c r="C68" s="34"/>
      <c r="D68" s="34"/>
      <c r="E68" s="34"/>
      <c r="F68" s="182"/>
    </row>
    <row r="69" spans="2:6" x14ac:dyDescent="0.2">
      <c r="B69" s="256"/>
      <c r="C69" s="34"/>
      <c r="D69" s="34"/>
      <c r="E69" s="34"/>
      <c r="F69" s="182"/>
    </row>
    <row r="70" spans="2:6" x14ac:dyDescent="0.2">
      <c r="B70" s="287" t="s">
        <v>233</v>
      </c>
      <c r="C70" s="34"/>
      <c r="D70" s="34"/>
      <c r="E70" s="34"/>
      <c r="F70" s="182"/>
    </row>
    <row r="71" spans="2:6" x14ac:dyDescent="0.2">
      <c r="B71" s="414" t="s">
        <v>234</v>
      </c>
      <c r="C71" s="420"/>
      <c r="D71" s="420"/>
      <c r="E71" s="420"/>
      <c r="F71" s="421"/>
    </row>
    <row r="72" spans="2:6" x14ac:dyDescent="0.2">
      <c r="B72" s="423"/>
      <c r="C72" s="424"/>
      <c r="D72" s="424"/>
      <c r="E72" s="424"/>
      <c r="F72" s="425"/>
    </row>
    <row r="74" spans="2:6" x14ac:dyDescent="0.2">
      <c r="B74" s="225" t="s">
        <v>235</v>
      </c>
      <c r="C74" s="34"/>
      <c r="D74" s="34"/>
      <c r="E74" s="34"/>
      <c r="F74" s="34"/>
    </row>
    <row r="75" spans="2:6" x14ac:dyDescent="0.2">
      <c r="B75" s="34"/>
      <c r="C75" s="34"/>
      <c r="D75" s="34"/>
      <c r="E75" s="34"/>
      <c r="F75" s="34"/>
    </row>
    <row r="76" spans="2:6" x14ac:dyDescent="0.2">
      <c r="B76" s="299" t="s">
        <v>236</v>
      </c>
      <c r="C76" s="69"/>
      <c r="D76" s="69"/>
      <c r="E76" s="69"/>
      <c r="F76" s="297"/>
    </row>
    <row r="78" spans="2:6" x14ac:dyDescent="0.2">
      <c r="B78" s="30" t="s">
        <v>237</v>
      </c>
    </row>
    <row r="80" spans="2:6" x14ac:dyDescent="0.2">
      <c r="B80" s="300" t="s">
        <v>238</v>
      </c>
      <c r="C80" s="301"/>
      <c r="D80" s="301"/>
      <c r="E80" s="257"/>
      <c r="F80" s="181"/>
    </row>
    <row r="81" spans="2:6" x14ac:dyDescent="0.2">
      <c r="B81" s="414" t="s">
        <v>239</v>
      </c>
      <c r="C81" s="415"/>
      <c r="D81" s="415"/>
      <c r="E81" s="34"/>
      <c r="F81" s="182"/>
    </row>
    <row r="82" spans="2:6" x14ac:dyDescent="0.2">
      <c r="B82" s="414"/>
      <c r="C82" s="415"/>
      <c r="D82" s="415"/>
      <c r="E82" s="34"/>
      <c r="F82" s="182"/>
    </row>
    <row r="83" spans="2:6" x14ac:dyDescent="0.2">
      <c r="B83" s="414"/>
      <c r="C83" s="415"/>
      <c r="D83" s="415"/>
      <c r="E83" s="34"/>
      <c r="F83" s="182"/>
    </row>
    <row r="84" spans="2:6" x14ac:dyDescent="0.2">
      <c r="B84" s="414"/>
      <c r="C84" s="415"/>
      <c r="D84" s="415"/>
      <c r="E84" s="34"/>
      <c r="F84" s="182"/>
    </row>
    <row r="85" spans="2:6" x14ac:dyDescent="0.2">
      <c r="B85" s="416"/>
      <c r="C85" s="417"/>
      <c r="D85" s="417"/>
      <c r="E85" s="68"/>
      <c r="F85" s="184"/>
    </row>
    <row r="86" spans="2:6" x14ac:dyDescent="0.2">
      <c r="B86" s="241"/>
      <c r="C86" s="241"/>
      <c r="D86" s="241"/>
    </row>
  </sheetData>
  <mergeCells count="14">
    <mergeCell ref="B5:F5"/>
    <mergeCell ref="B13:E13"/>
    <mergeCell ref="B81:D85"/>
    <mergeCell ref="B40:F40"/>
    <mergeCell ref="B46:F48"/>
    <mergeCell ref="B57:F58"/>
    <mergeCell ref="B61:F62"/>
    <mergeCell ref="B71:F72"/>
    <mergeCell ref="B14:E14"/>
    <mergeCell ref="B15:E15"/>
    <mergeCell ref="B6:F6"/>
    <mergeCell ref="B9:C9"/>
    <mergeCell ref="B11:E11"/>
    <mergeCell ref="B12:E12"/>
  </mergeCell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42"/>
  </sheetPr>
  <dimension ref="A1:X93"/>
  <sheetViews>
    <sheetView showGridLines="0" showRowColHeaders="0" workbookViewId="0">
      <selection activeCell="J20" sqref="J20"/>
    </sheetView>
  </sheetViews>
  <sheetFormatPr defaultRowHeight="12.75" x14ac:dyDescent="0.2"/>
  <cols>
    <col min="1" max="1" width="6.140625" bestFit="1" customWidth="1"/>
    <col min="2" max="2" width="17.7109375" bestFit="1" customWidth="1"/>
    <col min="3" max="9" width="8" customWidth="1"/>
    <col min="10" max="10" width="21.7109375" customWidth="1"/>
    <col min="11" max="11" width="6.5703125" customWidth="1"/>
    <col min="12" max="12" width="21" customWidth="1"/>
    <col min="13" max="13" width="9.28515625" customWidth="1"/>
    <col min="14" max="14" width="8.7109375" customWidth="1"/>
    <col min="15" max="16" width="8.7109375" hidden="1" customWidth="1"/>
    <col min="17" max="17" width="8.7109375" customWidth="1"/>
  </cols>
  <sheetData>
    <row r="1" spans="1:24" x14ac:dyDescent="0.2">
      <c r="A1" s="28" t="s">
        <v>13</v>
      </c>
      <c r="B1" s="29" t="s">
        <v>111</v>
      </c>
      <c r="C1" s="29">
        <v>1</v>
      </c>
      <c r="D1" s="29">
        <v>2</v>
      </c>
      <c r="E1" s="29">
        <v>5</v>
      </c>
      <c r="F1" s="29">
        <v>10</v>
      </c>
      <c r="G1" s="29">
        <v>25</v>
      </c>
      <c r="H1" s="29">
        <v>50</v>
      </c>
      <c r="I1" s="29">
        <v>100</v>
      </c>
      <c r="J1" s="30" t="s">
        <v>14</v>
      </c>
      <c r="K1" s="31" t="s">
        <v>13</v>
      </c>
      <c r="L1" s="32" t="s">
        <v>11</v>
      </c>
      <c r="M1" s="135" t="s">
        <v>149</v>
      </c>
      <c r="N1" s="30"/>
      <c r="O1" s="30"/>
      <c r="P1" s="19"/>
      <c r="Q1" s="19"/>
      <c r="R1" s="19"/>
      <c r="S1" s="19"/>
      <c r="T1" s="19"/>
      <c r="U1" s="19"/>
      <c r="V1" s="19"/>
      <c r="W1" s="19"/>
      <c r="X1" s="23"/>
    </row>
    <row r="2" spans="1:24" x14ac:dyDescent="0.2">
      <c r="A2" s="33">
        <v>1</v>
      </c>
      <c r="B2" t="s">
        <v>30</v>
      </c>
      <c r="C2" s="146">
        <v>2.15</v>
      </c>
      <c r="D2" s="146">
        <v>2.5299999999999998</v>
      </c>
      <c r="E2" s="146">
        <v>3.26</v>
      </c>
      <c r="F2" s="146">
        <v>3.85</v>
      </c>
      <c r="G2" s="146">
        <v>4.43</v>
      </c>
      <c r="H2" s="146">
        <v>4.95</v>
      </c>
      <c r="I2" s="146">
        <v>5.45</v>
      </c>
      <c r="J2" t="s">
        <v>15</v>
      </c>
      <c r="K2" s="35">
        <v>1</v>
      </c>
      <c r="L2" s="178" t="s">
        <v>151</v>
      </c>
      <c r="M2" s="134"/>
      <c r="P2" s="19"/>
      <c r="Q2" s="19"/>
      <c r="R2" s="19"/>
      <c r="S2" s="19"/>
      <c r="T2" s="19"/>
      <c r="U2" s="19"/>
      <c r="V2" s="19"/>
      <c r="W2" s="19"/>
      <c r="X2" s="23"/>
    </row>
    <row r="3" spans="1:24" x14ac:dyDescent="0.2">
      <c r="A3" s="33">
        <f>A2+1</f>
        <v>2</v>
      </c>
      <c r="B3" t="s">
        <v>31</v>
      </c>
      <c r="C3" s="146">
        <v>2.2999999999999998</v>
      </c>
      <c r="D3" s="146">
        <v>2.7</v>
      </c>
      <c r="E3" s="146">
        <v>3.5</v>
      </c>
      <c r="F3" s="146">
        <v>4.0999999999999996</v>
      </c>
      <c r="G3" s="146">
        <v>4.7</v>
      </c>
      <c r="H3" s="146">
        <v>5.25</v>
      </c>
      <c r="I3" s="146">
        <v>5.85</v>
      </c>
      <c r="J3" t="s">
        <v>16</v>
      </c>
      <c r="K3" s="35">
        <v>2</v>
      </c>
      <c r="L3" s="178" t="s">
        <v>144</v>
      </c>
      <c r="M3" s="153">
        <v>1.2E-2</v>
      </c>
      <c r="P3" s="25"/>
      <c r="Q3" s="25"/>
      <c r="R3" s="25"/>
      <c r="S3" s="25"/>
      <c r="T3" s="25"/>
      <c r="U3" s="25"/>
      <c r="V3" s="25"/>
      <c r="W3" s="25"/>
      <c r="X3" s="25"/>
    </row>
    <row r="4" spans="1:24" x14ac:dyDescent="0.2">
      <c r="A4" s="33">
        <f t="shared" ref="A4:A67" si="0">A3+1</f>
        <v>3</v>
      </c>
      <c r="B4" t="s">
        <v>32</v>
      </c>
      <c r="C4" s="146">
        <v>1.98</v>
      </c>
      <c r="D4" s="146">
        <v>2.38</v>
      </c>
      <c r="E4" s="146">
        <v>3.15</v>
      </c>
      <c r="F4" s="146">
        <v>3.65</v>
      </c>
      <c r="G4" s="146">
        <v>4.24</v>
      </c>
      <c r="H4" s="146">
        <v>4.75</v>
      </c>
      <c r="I4" s="146">
        <v>5.34</v>
      </c>
      <c r="K4" s="90">
        <v>3</v>
      </c>
      <c r="L4" s="179" t="s">
        <v>145</v>
      </c>
      <c r="M4" s="150">
        <v>2.5000000000000001E-2</v>
      </c>
      <c r="P4" s="23"/>
      <c r="Q4" s="23"/>
      <c r="R4" s="23"/>
      <c r="S4" s="23"/>
      <c r="T4" s="23"/>
      <c r="U4" s="23"/>
      <c r="V4" s="23"/>
      <c r="W4" s="23"/>
      <c r="X4" s="23"/>
    </row>
    <row r="5" spans="1:24" x14ac:dyDescent="0.2">
      <c r="A5" s="33">
        <f t="shared" si="0"/>
        <v>4</v>
      </c>
      <c r="B5" t="s">
        <v>33</v>
      </c>
      <c r="C5" s="146">
        <v>1.95</v>
      </c>
      <c r="D5" s="146">
        <v>2.2999999999999998</v>
      </c>
      <c r="E5" s="146">
        <v>3.05</v>
      </c>
      <c r="F5" s="146">
        <v>3.5</v>
      </c>
      <c r="G5" s="146">
        <v>4.0999999999999996</v>
      </c>
      <c r="H5" s="146">
        <v>4.55</v>
      </c>
      <c r="I5" s="146">
        <v>5.0999999999999996</v>
      </c>
      <c r="K5" s="90">
        <v>4</v>
      </c>
      <c r="L5" s="179" t="s">
        <v>146</v>
      </c>
      <c r="M5" s="153">
        <v>0.02</v>
      </c>
      <c r="P5" s="23"/>
      <c r="Q5" s="23"/>
      <c r="R5" s="23"/>
      <c r="S5" s="23"/>
      <c r="T5" s="23"/>
      <c r="U5" s="23"/>
      <c r="V5" s="23"/>
      <c r="W5" s="23"/>
      <c r="X5" s="23"/>
    </row>
    <row r="6" spans="1:24" x14ac:dyDescent="0.2">
      <c r="A6" s="33">
        <f t="shared" si="0"/>
        <v>5</v>
      </c>
      <c r="B6" s="34" t="s">
        <v>17</v>
      </c>
      <c r="C6" s="147">
        <v>2.23</v>
      </c>
      <c r="D6" s="147">
        <v>2.62</v>
      </c>
      <c r="E6" s="147">
        <v>3.41</v>
      </c>
      <c r="F6" s="147">
        <v>4</v>
      </c>
      <c r="G6" s="147">
        <v>4.59</v>
      </c>
      <c r="H6" s="147">
        <v>5.13</v>
      </c>
      <c r="I6" s="147">
        <v>5.72</v>
      </c>
      <c r="K6" s="90">
        <v>5</v>
      </c>
      <c r="L6" s="179" t="s">
        <v>147</v>
      </c>
      <c r="M6" s="153">
        <v>0.01</v>
      </c>
      <c r="P6" s="23"/>
      <c r="Q6" s="23"/>
      <c r="R6" s="23"/>
      <c r="S6" s="23"/>
      <c r="T6" s="23"/>
      <c r="U6" s="23"/>
      <c r="V6" s="23"/>
      <c r="W6" s="23"/>
      <c r="X6" s="23"/>
    </row>
    <row r="7" spans="1:24" x14ac:dyDescent="0.2">
      <c r="A7" s="33">
        <f t="shared" si="0"/>
        <v>6</v>
      </c>
      <c r="B7" s="34" t="s">
        <v>34</v>
      </c>
      <c r="C7" s="147">
        <v>2.08</v>
      </c>
      <c r="D7" s="147">
        <v>2.48</v>
      </c>
      <c r="E7" s="147">
        <v>3.3</v>
      </c>
      <c r="F7" s="147">
        <v>3.83</v>
      </c>
      <c r="G7" s="147">
        <v>4.43</v>
      </c>
      <c r="H7" s="147">
        <v>5.03</v>
      </c>
      <c r="I7" s="147">
        <v>5.6</v>
      </c>
      <c r="K7" s="36">
        <v>6</v>
      </c>
      <c r="L7" s="37" t="s">
        <v>148</v>
      </c>
      <c r="M7" s="180">
        <v>1.2999999999999999E-2</v>
      </c>
      <c r="P7" s="23"/>
      <c r="Q7" s="23"/>
      <c r="R7" s="23"/>
      <c r="S7" s="23"/>
      <c r="T7" s="23"/>
      <c r="U7" s="23"/>
      <c r="V7" s="23"/>
      <c r="W7" s="23"/>
      <c r="X7" s="23"/>
    </row>
    <row r="8" spans="1:24" x14ac:dyDescent="0.2">
      <c r="A8" s="33">
        <f t="shared" si="0"/>
        <v>7</v>
      </c>
      <c r="B8" s="34" t="s">
        <v>35</v>
      </c>
      <c r="C8" s="147">
        <v>2.4</v>
      </c>
      <c r="D8" s="147">
        <v>2.85</v>
      </c>
      <c r="E8" s="147">
        <v>3.7</v>
      </c>
      <c r="F8" s="147">
        <v>4.3</v>
      </c>
      <c r="G8" s="147">
        <v>4.95</v>
      </c>
      <c r="H8" s="147">
        <v>5.5</v>
      </c>
      <c r="I8" s="147">
        <v>6.15</v>
      </c>
      <c r="P8" s="23"/>
      <c r="Q8" s="23"/>
      <c r="R8" s="23"/>
      <c r="S8" s="23"/>
      <c r="T8" s="23"/>
      <c r="U8" s="23"/>
      <c r="V8" s="23"/>
      <c r="W8" s="23"/>
      <c r="X8" s="23"/>
    </row>
    <row r="9" spans="1:24" x14ac:dyDescent="0.2">
      <c r="A9" s="33">
        <f t="shared" si="0"/>
        <v>8</v>
      </c>
      <c r="B9" s="34" t="s">
        <v>18</v>
      </c>
      <c r="C9" s="147">
        <v>2.35</v>
      </c>
      <c r="D9" s="147">
        <v>2.78</v>
      </c>
      <c r="E9" s="147">
        <v>3.61</v>
      </c>
      <c r="F9" s="147">
        <v>4.2300000000000004</v>
      </c>
      <c r="G9" s="147">
        <v>4.8499999999999996</v>
      </c>
      <c r="H9" s="147">
        <v>5.44</v>
      </c>
      <c r="I9" s="147">
        <v>6.05</v>
      </c>
      <c r="K9" s="31" t="s">
        <v>13</v>
      </c>
      <c r="L9" s="32" t="str">
        <f>L2&amp; " Dia."</f>
        <v>CPT (Tile) Dia.</v>
      </c>
      <c r="M9" s="135" t="s">
        <v>149</v>
      </c>
      <c r="P9" s="23"/>
      <c r="Q9" s="23"/>
      <c r="R9" s="23"/>
      <c r="S9" s="23"/>
      <c r="T9" s="23"/>
      <c r="U9" s="23"/>
      <c r="V9" s="23"/>
      <c r="W9" s="23"/>
      <c r="X9" s="23"/>
    </row>
    <row r="10" spans="1:24" x14ac:dyDescent="0.2">
      <c r="A10" s="33">
        <f t="shared" si="0"/>
        <v>9</v>
      </c>
      <c r="B10" s="34" t="s">
        <v>36</v>
      </c>
      <c r="C10" s="147">
        <v>2.2000000000000002</v>
      </c>
      <c r="D10" s="147">
        <v>2.56</v>
      </c>
      <c r="E10" s="147">
        <v>3.27</v>
      </c>
      <c r="F10" s="147">
        <v>3.86</v>
      </c>
      <c r="G10" s="147">
        <v>4.3899999999999997</v>
      </c>
      <c r="H10" s="147">
        <v>4.9000000000000004</v>
      </c>
      <c r="I10" s="147">
        <v>5.38</v>
      </c>
      <c r="K10" s="90">
        <v>1</v>
      </c>
      <c r="L10" s="138">
        <v>6</v>
      </c>
      <c r="M10" s="150">
        <v>1.4999999999999999E-2</v>
      </c>
      <c r="P10" s="23"/>
      <c r="Q10" s="23"/>
      <c r="R10" s="23"/>
      <c r="S10" s="23"/>
      <c r="T10" s="23"/>
      <c r="U10" s="23"/>
      <c r="V10" s="23"/>
      <c r="W10" s="23"/>
      <c r="X10" s="23"/>
    </row>
    <row r="11" spans="1:24" x14ac:dyDescent="0.2">
      <c r="A11" s="33">
        <f t="shared" si="0"/>
        <v>10</v>
      </c>
      <c r="B11" s="34" t="s">
        <v>37</v>
      </c>
      <c r="C11" s="147">
        <v>2.2999999999999998</v>
      </c>
      <c r="D11" s="147">
        <v>2.75</v>
      </c>
      <c r="E11" s="147">
        <v>3.55</v>
      </c>
      <c r="F11" s="147">
        <v>4.2</v>
      </c>
      <c r="G11" s="147">
        <v>4.8</v>
      </c>
      <c r="H11" s="147">
        <v>5.35</v>
      </c>
      <c r="I11" s="147">
        <v>5.95</v>
      </c>
      <c r="K11" s="90">
        <v>2</v>
      </c>
      <c r="L11" s="138">
        <v>8</v>
      </c>
      <c r="M11" s="150">
        <v>1.6E-2</v>
      </c>
      <c r="P11" s="23"/>
      <c r="Q11" s="23"/>
      <c r="R11" s="23"/>
      <c r="S11" s="23"/>
      <c r="T11" s="23"/>
      <c r="U11" s="23"/>
      <c r="V11" s="23"/>
      <c r="W11" s="23"/>
      <c r="X11" s="23"/>
    </row>
    <row r="12" spans="1:24" x14ac:dyDescent="0.2">
      <c r="A12" s="33">
        <f t="shared" si="0"/>
        <v>11</v>
      </c>
      <c r="B12" s="34" t="s">
        <v>19</v>
      </c>
      <c r="C12" s="147">
        <v>2.0499999999999998</v>
      </c>
      <c r="D12" s="147">
        <v>2.44</v>
      </c>
      <c r="E12" s="147">
        <v>3.22</v>
      </c>
      <c r="F12" s="147">
        <v>3.73</v>
      </c>
      <c r="G12" s="147">
        <v>4.3</v>
      </c>
      <c r="H12" s="147">
        <v>4.84</v>
      </c>
      <c r="I12" s="147">
        <v>5.39</v>
      </c>
      <c r="K12" s="90">
        <v>3</v>
      </c>
      <c r="L12" s="138">
        <v>10</v>
      </c>
      <c r="M12" s="150">
        <v>1.7000000000000001E-2</v>
      </c>
    </row>
    <row r="13" spans="1:24" x14ac:dyDescent="0.2">
      <c r="A13" s="33">
        <f t="shared" si="0"/>
        <v>12</v>
      </c>
      <c r="B13" s="34" t="s">
        <v>38</v>
      </c>
      <c r="C13" s="147">
        <v>2.2000000000000002</v>
      </c>
      <c r="D13" s="147">
        <v>2.6</v>
      </c>
      <c r="E13" s="147">
        <v>3.42</v>
      </c>
      <c r="F13" s="147">
        <v>4</v>
      </c>
      <c r="G13" s="147">
        <v>4.5999999999999996</v>
      </c>
      <c r="H13" s="147">
        <v>5.2</v>
      </c>
      <c r="I13" s="147">
        <v>5.75</v>
      </c>
      <c r="K13" s="90">
        <v>4</v>
      </c>
      <c r="L13" s="138">
        <v>12</v>
      </c>
      <c r="M13" s="151">
        <v>1.7999999999999999E-2</v>
      </c>
    </row>
    <row r="14" spans="1:24" x14ac:dyDescent="0.2">
      <c r="A14" s="33">
        <f t="shared" si="0"/>
        <v>13</v>
      </c>
      <c r="B14" s="34" t="s">
        <v>39</v>
      </c>
      <c r="C14" s="147">
        <v>2.2999999999999998</v>
      </c>
      <c r="D14" s="147">
        <v>2.7</v>
      </c>
      <c r="E14" s="147">
        <v>3.45</v>
      </c>
      <c r="F14" s="147">
        <v>4.03</v>
      </c>
      <c r="G14" s="147">
        <v>4.62</v>
      </c>
      <c r="H14" s="147">
        <v>5.13</v>
      </c>
      <c r="I14" s="147">
        <v>5.72</v>
      </c>
      <c r="K14" s="90">
        <v>5</v>
      </c>
      <c r="L14" s="138">
        <v>15</v>
      </c>
      <c r="M14" s="151">
        <v>1.7999999999999999E-2</v>
      </c>
    </row>
    <row r="15" spans="1:24" x14ac:dyDescent="0.2">
      <c r="A15" s="33">
        <f t="shared" si="0"/>
        <v>14</v>
      </c>
      <c r="B15" s="34" t="s">
        <v>12</v>
      </c>
      <c r="C15" s="147">
        <v>1.95</v>
      </c>
      <c r="D15" s="147">
        <v>2.35</v>
      </c>
      <c r="E15" s="147">
        <v>3.05</v>
      </c>
      <c r="F15" s="147">
        <v>3.6</v>
      </c>
      <c r="G15" s="147">
        <v>4.1500000000000004</v>
      </c>
      <c r="H15" s="147">
        <v>4.6500000000000004</v>
      </c>
      <c r="I15" s="147">
        <v>5.25</v>
      </c>
      <c r="K15" s="36">
        <v>6</v>
      </c>
      <c r="L15" s="139">
        <v>18</v>
      </c>
      <c r="M15" s="152">
        <v>0.02</v>
      </c>
    </row>
    <row r="16" spans="1:24" x14ac:dyDescent="0.2">
      <c r="A16" s="33">
        <f t="shared" si="0"/>
        <v>15</v>
      </c>
      <c r="B16" s="34" t="s">
        <v>40</v>
      </c>
      <c r="C16" s="147">
        <v>1.95</v>
      </c>
      <c r="D16" s="147">
        <v>2.3199999999999998</v>
      </c>
      <c r="E16" s="147">
        <v>3.09</v>
      </c>
      <c r="F16" s="147">
        <v>3.57</v>
      </c>
      <c r="G16" s="147">
        <v>4.1399999999999997</v>
      </c>
      <c r="H16" s="147">
        <v>4.62</v>
      </c>
      <c r="I16" s="147">
        <v>5.2</v>
      </c>
    </row>
    <row r="17" spans="1:13" x14ac:dyDescent="0.2">
      <c r="A17" s="33">
        <f t="shared" si="0"/>
        <v>16</v>
      </c>
      <c r="B17" s="34" t="s">
        <v>41</v>
      </c>
      <c r="C17" s="147">
        <v>2.08</v>
      </c>
      <c r="D17" s="147">
        <v>2.37</v>
      </c>
      <c r="E17" s="147">
        <v>3.09</v>
      </c>
      <c r="F17" s="147">
        <v>3.5</v>
      </c>
      <c r="G17" s="147">
        <v>3.95</v>
      </c>
      <c r="H17" s="147">
        <v>4.5</v>
      </c>
      <c r="I17" s="147">
        <v>4.8</v>
      </c>
      <c r="K17" s="42" t="s">
        <v>13</v>
      </c>
      <c r="L17" s="43" t="s">
        <v>20</v>
      </c>
      <c r="M17" s="44"/>
    </row>
    <row r="18" spans="1:13" x14ac:dyDescent="0.2">
      <c r="A18" s="33">
        <f t="shared" si="0"/>
        <v>17</v>
      </c>
      <c r="B18" t="s">
        <v>42</v>
      </c>
      <c r="C18" s="146">
        <v>2.35</v>
      </c>
      <c r="D18" s="146">
        <v>2.8</v>
      </c>
      <c r="E18" s="146">
        <v>3.65</v>
      </c>
      <c r="F18" s="146">
        <v>4.25</v>
      </c>
      <c r="G18" s="146">
        <v>4.87</v>
      </c>
      <c r="H18" s="146">
        <v>5.5</v>
      </c>
      <c r="I18" s="146">
        <v>6.08</v>
      </c>
      <c r="K18" s="45">
        <v>1</v>
      </c>
      <c r="L18" s="46" t="s">
        <v>21</v>
      </c>
      <c r="M18" s="47"/>
    </row>
    <row r="19" spans="1:13" x14ac:dyDescent="0.2">
      <c r="A19" s="33">
        <f t="shared" si="0"/>
        <v>18</v>
      </c>
      <c r="B19" t="s">
        <v>43</v>
      </c>
      <c r="C19" s="146">
        <v>2.13</v>
      </c>
      <c r="D19" s="146">
        <v>2.52</v>
      </c>
      <c r="E19" s="146">
        <v>3.29</v>
      </c>
      <c r="F19" s="146">
        <v>3.85</v>
      </c>
      <c r="G19" s="146">
        <v>4.43</v>
      </c>
      <c r="H19" s="146">
        <v>4.95</v>
      </c>
      <c r="I19" s="146">
        <v>5.53</v>
      </c>
      <c r="K19" s="48">
        <v>2</v>
      </c>
      <c r="L19" s="49" t="s">
        <v>22</v>
      </c>
      <c r="M19" s="50"/>
    </row>
    <row r="20" spans="1:13" x14ac:dyDescent="0.2">
      <c r="A20" s="33">
        <f t="shared" si="0"/>
        <v>19</v>
      </c>
      <c r="B20" t="s">
        <v>44</v>
      </c>
      <c r="C20" s="146">
        <v>2.4</v>
      </c>
      <c r="D20" s="146">
        <v>2.8</v>
      </c>
      <c r="E20" s="146">
        <v>3.6</v>
      </c>
      <c r="F20" s="146">
        <v>4.2</v>
      </c>
      <c r="G20" s="146">
        <v>4.8499999999999996</v>
      </c>
      <c r="H20" s="146">
        <v>5.35</v>
      </c>
      <c r="I20" s="146">
        <v>6</v>
      </c>
    </row>
    <row r="21" spans="1:13" x14ac:dyDescent="0.2">
      <c r="A21" s="33">
        <f t="shared" si="0"/>
        <v>20</v>
      </c>
      <c r="B21" t="s">
        <v>45</v>
      </c>
      <c r="C21" s="146">
        <v>2.4900000000000002</v>
      </c>
      <c r="D21" s="146">
        <v>2.9</v>
      </c>
      <c r="E21" s="146">
        <v>3.7</v>
      </c>
      <c r="F21" s="146">
        <v>4.33</v>
      </c>
      <c r="G21" s="146">
        <v>4.95</v>
      </c>
      <c r="H21" s="146">
        <v>5.49</v>
      </c>
      <c r="I21" s="146">
        <v>6.17</v>
      </c>
      <c r="K21" s="38" t="s">
        <v>13</v>
      </c>
      <c r="L21" s="39" t="s">
        <v>188</v>
      </c>
      <c r="M21" s="136" t="s">
        <v>184</v>
      </c>
    </row>
    <row r="22" spans="1:13" x14ac:dyDescent="0.2">
      <c r="A22" s="33">
        <f t="shared" si="0"/>
        <v>21</v>
      </c>
      <c r="B22" t="s">
        <v>46</v>
      </c>
      <c r="C22" s="146">
        <v>2.1</v>
      </c>
      <c r="D22" s="146">
        <v>2.4900000000000002</v>
      </c>
      <c r="E22" s="146">
        <v>3.3</v>
      </c>
      <c r="F22" s="146">
        <v>3.85</v>
      </c>
      <c r="G22" s="146">
        <v>4.46</v>
      </c>
      <c r="H22" s="146">
        <v>5.0199999999999996</v>
      </c>
      <c r="I22" s="146">
        <v>5.58</v>
      </c>
      <c r="K22" s="40">
        <v>1</v>
      </c>
      <c r="L22" s="171" t="s">
        <v>128</v>
      </c>
      <c r="M22" s="173">
        <v>0.8</v>
      </c>
    </row>
    <row r="23" spans="1:13" x14ac:dyDescent="0.2">
      <c r="A23" s="33">
        <f t="shared" si="0"/>
        <v>22</v>
      </c>
      <c r="B23" t="s">
        <v>47</v>
      </c>
      <c r="C23" s="146">
        <v>2.2000000000000002</v>
      </c>
      <c r="D23" s="146">
        <v>2.5499999999999998</v>
      </c>
      <c r="E23" s="146">
        <v>3.25</v>
      </c>
      <c r="F23" s="146">
        <v>3.8</v>
      </c>
      <c r="G23" s="146">
        <v>4.3</v>
      </c>
      <c r="H23" s="146">
        <v>4.8</v>
      </c>
      <c r="I23" s="146">
        <v>5.3</v>
      </c>
      <c r="K23" s="40">
        <v>2</v>
      </c>
      <c r="L23" s="171" t="s">
        <v>129</v>
      </c>
      <c r="M23" s="173">
        <v>3</v>
      </c>
    </row>
    <row r="24" spans="1:13" x14ac:dyDescent="0.2">
      <c r="A24" s="33">
        <f t="shared" si="0"/>
        <v>23</v>
      </c>
      <c r="B24" t="s">
        <v>48</v>
      </c>
      <c r="C24" s="146">
        <v>2.48</v>
      </c>
      <c r="D24" s="146">
        <v>2.92</v>
      </c>
      <c r="E24" s="146">
        <v>3.73</v>
      </c>
      <c r="F24" s="146">
        <v>4.3899999999999997</v>
      </c>
      <c r="G24" s="146">
        <v>5.01</v>
      </c>
      <c r="H24" s="146">
        <v>5.58</v>
      </c>
      <c r="I24" s="146">
        <v>6.2</v>
      </c>
      <c r="K24" s="41">
        <v>3</v>
      </c>
      <c r="L24" s="172" t="s">
        <v>191</v>
      </c>
      <c r="M24" s="149">
        <v>0</v>
      </c>
    </row>
    <row r="25" spans="1:13" x14ac:dyDescent="0.2">
      <c r="A25" s="33">
        <f t="shared" si="0"/>
        <v>24</v>
      </c>
      <c r="B25" t="s">
        <v>49</v>
      </c>
      <c r="C25" s="146">
        <v>2.57</v>
      </c>
      <c r="D25" s="146">
        <v>2.92</v>
      </c>
      <c r="E25" s="146">
        <v>3.77</v>
      </c>
      <c r="F25" s="146">
        <v>4.37</v>
      </c>
      <c r="G25" s="146">
        <v>4.9800000000000004</v>
      </c>
      <c r="H25" s="146">
        <v>5.5</v>
      </c>
      <c r="I25" s="146">
        <v>6.2</v>
      </c>
    </row>
    <row r="26" spans="1:13" x14ac:dyDescent="0.2">
      <c r="A26" s="33">
        <f t="shared" si="0"/>
        <v>25</v>
      </c>
      <c r="B26" t="s">
        <v>50</v>
      </c>
      <c r="C26" s="146">
        <v>2.5099999999999998</v>
      </c>
      <c r="D26" s="146">
        <v>2.95</v>
      </c>
      <c r="E26" s="146">
        <v>3.74</v>
      </c>
      <c r="F26" s="146">
        <v>4.4000000000000004</v>
      </c>
      <c r="G26" s="146">
        <v>5.0199999999999996</v>
      </c>
      <c r="H26" s="146">
        <v>5.57</v>
      </c>
      <c r="I26" s="146">
        <v>6.23</v>
      </c>
      <c r="K26" s="38" t="s">
        <v>13</v>
      </c>
      <c r="L26" s="39" t="s">
        <v>189</v>
      </c>
      <c r="M26" s="136" t="s">
        <v>184</v>
      </c>
    </row>
    <row r="27" spans="1:13" x14ac:dyDescent="0.2">
      <c r="A27" s="33">
        <f t="shared" si="0"/>
        <v>26</v>
      </c>
      <c r="B27" t="s">
        <v>51</v>
      </c>
      <c r="C27" s="146">
        <v>2.4500000000000002</v>
      </c>
      <c r="D27" s="146">
        <v>2.8</v>
      </c>
      <c r="E27" s="146">
        <v>3.65</v>
      </c>
      <c r="F27" s="146">
        <v>4.25</v>
      </c>
      <c r="G27" s="146">
        <v>4.9000000000000004</v>
      </c>
      <c r="H27" s="146">
        <v>5.4</v>
      </c>
      <c r="I27" s="146">
        <v>6.1</v>
      </c>
      <c r="K27" s="40">
        <v>1</v>
      </c>
      <c r="L27" s="171" t="s">
        <v>128</v>
      </c>
      <c r="M27" s="148">
        <v>0.8</v>
      </c>
    </row>
    <row r="28" spans="1:13" x14ac:dyDescent="0.2">
      <c r="A28" s="33">
        <f t="shared" si="0"/>
        <v>27</v>
      </c>
      <c r="B28" t="s">
        <v>23</v>
      </c>
      <c r="C28" s="146">
        <v>2.0499999999999998</v>
      </c>
      <c r="D28" s="146">
        <v>2.4500000000000002</v>
      </c>
      <c r="E28" s="146">
        <v>3.25</v>
      </c>
      <c r="F28" s="146">
        <v>3.8</v>
      </c>
      <c r="G28" s="146">
        <v>4.4000000000000004</v>
      </c>
      <c r="H28" s="146">
        <v>4.95</v>
      </c>
      <c r="I28" s="146">
        <v>5.55</v>
      </c>
      <c r="K28" s="40">
        <v>2</v>
      </c>
      <c r="L28" s="171" t="s">
        <v>129</v>
      </c>
      <c r="M28" s="173">
        <v>3</v>
      </c>
    </row>
    <row r="29" spans="1:13" x14ac:dyDescent="0.2">
      <c r="A29" s="33">
        <f t="shared" si="0"/>
        <v>28</v>
      </c>
      <c r="B29" t="s">
        <v>52</v>
      </c>
      <c r="C29" s="146">
        <v>2.2999999999999998</v>
      </c>
      <c r="D29" s="146">
        <v>2.75</v>
      </c>
      <c r="E29" s="146">
        <v>3.55</v>
      </c>
      <c r="F29" s="146">
        <v>4.1500000000000004</v>
      </c>
      <c r="G29" s="146">
        <v>4.75</v>
      </c>
      <c r="H29" s="146">
        <v>5.3</v>
      </c>
      <c r="I29" s="146">
        <v>5.9</v>
      </c>
      <c r="K29" s="41">
        <v>3</v>
      </c>
      <c r="L29" s="172" t="s">
        <v>191</v>
      </c>
      <c r="M29" s="149">
        <v>0</v>
      </c>
    </row>
    <row r="30" spans="1:13" x14ac:dyDescent="0.2">
      <c r="A30" s="33">
        <f t="shared" si="0"/>
        <v>29</v>
      </c>
      <c r="B30" t="s">
        <v>53</v>
      </c>
      <c r="C30" s="146">
        <v>2.6</v>
      </c>
      <c r="D30" s="146">
        <v>2.9</v>
      </c>
      <c r="E30" s="146">
        <v>3.8</v>
      </c>
      <c r="F30" s="146">
        <v>4.3</v>
      </c>
      <c r="G30" s="146">
        <v>4.95</v>
      </c>
      <c r="H30" s="146">
        <v>5.45</v>
      </c>
      <c r="I30" s="146">
        <v>6.15</v>
      </c>
    </row>
    <row r="31" spans="1:13" x14ac:dyDescent="0.2">
      <c r="A31" s="33">
        <f t="shared" si="0"/>
        <v>30</v>
      </c>
      <c r="B31" t="s">
        <v>54</v>
      </c>
      <c r="C31" s="146">
        <v>2</v>
      </c>
      <c r="D31" s="146">
        <v>2.4</v>
      </c>
      <c r="E31" s="146">
        <v>3.2</v>
      </c>
      <c r="F31" s="146">
        <v>3.7</v>
      </c>
      <c r="G31" s="146">
        <v>4.25</v>
      </c>
      <c r="H31" s="146">
        <v>4.75</v>
      </c>
      <c r="I31" s="146">
        <v>5.35</v>
      </c>
      <c r="K31" s="38" t="s">
        <v>13</v>
      </c>
      <c r="L31" s="39" t="s">
        <v>190</v>
      </c>
      <c r="M31" s="136" t="s">
        <v>184</v>
      </c>
    </row>
    <row r="32" spans="1:13" x14ac:dyDescent="0.2">
      <c r="A32" s="33">
        <f t="shared" si="0"/>
        <v>31</v>
      </c>
      <c r="B32" t="s">
        <v>55</v>
      </c>
      <c r="C32" s="146">
        <v>2.2799999999999998</v>
      </c>
      <c r="D32" s="146">
        <v>2.67</v>
      </c>
      <c r="E32" s="146">
        <v>3.43</v>
      </c>
      <c r="F32" s="146">
        <v>4.05</v>
      </c>
      <c r="G32" s="146">
        <v>4.62</v>
      </c>
      <c r="H32" s="146">
        <v>5.15</v>
      </c>
      <c r="I32" s="146">
        <v>5.75</v>
      </c>
      <c r="K32" s="40">
        <v>1</v>
      </c>
      <c r="L32" s="171" t="s">
        <v>128</v>
      </c>
      <c r="M32" s="148">
        <v>0.8</v>
      </c>
    </row>
    <row r="33" spans="1:16" x14ac:dyDescent="0.2">
      <c r="A33" s="33">
        <f t="shared" si="0"/>
        <v>32</v>
      </c>
      <c r="B33" t="s">
        <v>56</v>
      </c>
      <c r="C33" s="146">
        <v>2.0499999999999998</v>
      </c>
      <c r="D33" s="146">
        <v>2.4</v>
      </c>
      <c r="E33" s="146">
        <v>3.14</v>
      </c>
      <c r="F33" s="146">
        <v>3.67</v>
      </c>
      <c r="G33" s="146">
        <v>4.25</v>
      </c>
      <c r="H33" s="146">
        <v>4.72</v>
      </c>
      <c r="I33" s="146">
        <v>5.25</v>
      </c>
      <c r="K33" s="40">
        <v>2</v>
      </c>
      <c r="L33" s="171" t="s">
        <v>129</v>
      </c>
      <c r="M33" s="173">
        <v>3</v>
      </c>
    </row>
    <row r="34" spans="1:16" x14ac:dyDescent="0.2">
      <c r="A34" s="33">
        <f t="shared" si="0"/>
        <v>33</v>
      </c>
      <c r="B34" t="s">
        <v>24</v>
      </c>
      <c r="C34" s="146">
        <v>2.4</v>
      </c>
      <c r="D34" s="146">
        <v>2.85</v>
      </c>
      <c r="E34" s="146">
        <v>3.65</v>
      </c>
      <c r="F34" s="146">
        <v>4.3</v>
      </c>
      <c r="G34" s="146">
        <v>4.9000000000000004</v>
      </c>
      <c r="H34" s="146">
        <v>5.53</v>
      </c>
      <c r="I34" s="146">
        <v>6.1</v>
      </c>
      <c r="K34" s="41">
        <v>3</v>
      </c>
      <c r="L34" s="172" t="s">
        <v>191</v>
      </c>
      <c r="M34" s="149">
        <v>0</v>
      </c>
    </row>
    <row r="35" spans="1:16" x14ac:dyDescent="0.2">
      <c r="A35" s="33">
        <f t="shared" si="0"/>
        <v>34</v>
      </c>
      <c r="B35" t="s">
        <v>57</v>
      </c>
      <c r="C35" s="146">
        <v>2.25</v>
      </c>
      <c r="D35" s="146">
        <v>2.63</v>
      </c>
      <c r="E35" s="146">
        <v>3.37</v>
      </c>
      <c r="F35" s="146">
        <v>3.97</v>
      </c>
      <c r="G35" s="146">
        <v>4.55</v>
      </c>
      <c r="H35" s="146">
        <v>5.08</v>
      </c>
      <c r="I35" s="146">
        <v>5.63</v>
      </c>
    </row>
    <row r="36" spans="1:16" x14ac:dyDescent="0.2">
      <c r="A36" s="33">
        <f t="shared" si="0"/>
        <v>35</v>
      </c>
      <c r="B36" t="s">
        <v>58</v>
      </c>
      <c r="C36" s="146">
        <v>2.23</v>
      </c>
      <c r="D36" s="146">
        <v>2.63</v>
      </c>
      <c r="E36" s="146">
        <v>3.45</v>
      </c>
      <c r="F36" s="146">
        <v>4.05</v>
      </c>
      <c r="G36" s="146">
        <v>4.6399999999999997</v>
      </c>
      <c r="H36" s="146">
        <v>5.22</v>
      </c>
      <c r="I36" s="146">
        <v>5.8</v>
      </c>
      <c r="K36" s="51" t="s">
        <v>13</v>
      </c>
      <c r="L36" s="52" t="s">
        <v>141</v>
      </c>
      <c r="M36" s="53"/>
    </row>
    <row r="37" spans="1:16" x14ac:dyDescent="0.2">
      <c r="A37" s="33">
        <f t="shared" si="0"/>
        <v>36</v>
      </c>
      <c r="B37" t="s">
        <v>59</v>
      </c>
      <c r="C37" s="146">
        <v>1.83</v>
      </c>
      <c r="D37" s="146">
        <v>2.12</v>
      </c>
      <c r="E37" s="146">
        <v>2.8</v>
      </c>
      <c r="F37" s="146">
        <v>3.34</v>
      </c>
      <c r="G37" s="146">
        <v>3.87</v>
      </c>
      <c r="H37" s="146">
        <v>4.38</v>
      </c>
      <c r="I37" s="146">
        <v>4.84</v>
      </c>
      <c r="K37" s="54">
        <v>1</v>
      </c>
      <c r="L37" s="55" t="s">
        <v>142</v>
      </c>
      <c r="M37" s="163" t="b">
        <v>1</v>
      </c>
    </row>
    <row r="38" spans="1:16" x14ac:dyDescent="0.2">
      <c r="A38" s="33">
        <f t="shared" si="0"/>
        <v>37</v>
      </c>
      <c r="B38" t="s">
        <v>60</v>
      </c>
      <c r="C38" s="146">
        <v>1.95</v>
      </c>
      <c r="D38" s="146">
        <v>2.31</v>
      </c>
      <c r="E38" s="146">
        <v>3</v>
      </c>
      <c r="F38" s="146">
        <v>3.51</v>
      </c>
      <c r="G38" s="146">
        <v>4.07</v>
      </c>
      <c r="H38" s="146">
        <v>4.55</v>
      </c>
      <c r="I38" s="146">
        <v>5.05</v>
      </c>
      <c r="K38" s="56">
        <v>2</v>
      </c>
      <c r="L38" s="57" t="s">
        <v>143</v>
      </c>
      <c r="M38" s="164" t="b">
        <v>0</v>
      </c>
    </row>
    <row r="39" spans="1:16" x14ac:dyDescent="0.2">
      <c r="A39" s="33">
        <f t="shared" si="0"/>
        <v>38</v>
      </c>
      <c r="B39" t="s">
        <v>61</v>
      </c>
      <c r="C39" s="146">
        <v>2.13</v>
      </c>
      <c r="D39" s="146">
        <v>2.52</v>
      </c>
      <c r="E39" s="146">
        <v>3.36</v>
      </c>
      <c r="F39" s="146">
        <v>3.92</v>
      </c>
      <c r="G39" s="146">
        <v>4.5199999999999996</v>
      </c>
      <c r="H39" s="146">
        <v>5.12</v>
      </c>
      <c r="I39" s="146">
        <v>5.7</v>
      </c>
    </row>
    <row r="40" spans="1:16" x14ac:dyDescent="0.2">
      <c r="A40" s="33">
        <f t="shared" si="0"/>
        <v>39</v>
      </c>
      <c r="B40" t="s">
        <v>25</v>
      </c>
      <c r="C40" s="146">
        <v>2.1</v>
      </c>
      <c r="D40" s="146">
        <v>2.4</v>
      </c>
      <c r="E40" s="146">
        <v>3.1</v>
      </c>
      <c r="F40" s="146">
        <v>3.6</v>
      </c>
      <c r="G40" s="146">
        <v>4.0999999999999996</v>
      </c>
      <c r="H40" s="146">
        <v>4.5999999999999996</v>
      </c>
      <c r="I40" s="146">
        <v>5</v>
      </c>
      <c r="K40" s="58" t="s">
        <v>13</v>
      </c>
      <c r="L40" s="59" t="s">
        <v>159</v>
      </c>
      <c r="M40" s="137" t="s">
        <v>185</v>
      </c>
    </row>
    <row r="41" spans="1:16" x14ac:dyDescent="0.2">
      <c r="A41" s="33">
        <f t="shared" si="0"/>
        <v>40</v>
      </c>
      <c r="B41" t="s">
        <v>62</v>
      </c>
      <c r="C41" s="146">
        <v>1.9</v>
      </c>
      <c r="D41" s="146">
        <v>2.21</v>
      </c>
      <c r="E41" s="146">
        <v>2.92</v>
      </c>
      <c r="F41" s="146">
        <v>3.44</v>
      </c>
      <c r="G41" s="146">
        <v>3.97</v>
      </c>
      <c r="H41" s="146">
        <v>4.46</v>
      </c>
      <c r="I41" s="146">
        <v>4.97</v>
      </c>
      <c r="K41" s="60">
        <v>1</v>
      </c>
      <c r="L41" s="61" t="s">
        <v>160</v>
      </c>
      <c r="M41" s="165">
        <v>3.5</v>
      </c>
      <c r="O41" s="23" t="s">
        <v>12</v>
      </c>
      <c r="P41" s="170">
        <v>7</v>
      </c>
    </row>
    <row r="42" spans="1:16" x14ac:dyDescent="0.2">
      <c r="A42" s="33">
        <f t="shared" si="0"/>
        <v>41</v>
      </c>
      <c r="B42" t="s">
        <v>63</v>
      </c>
      <c r="C42" s="146">
        <v>2.4</v>
      </c>
      <c r="D42" s="146">
        <v>2.82</v>
      </c>
      <c r="E42" s="146">
        <v>3.63</v>
      </c>
      <c r="F42" s="146">
        <v>4.25</v>
      </c>
      <c r="G42" s="146">
        <v>4.88</v>
      </c>
      <c r="H42" s="146">
        <v>5.44</v>
      </c>
      <c r="I42" s="146">
        <v>6.08</v>
      </c>
      <c r="K42" s="60">
        <v>2</v>
      </c>
      <c r="L42" s="61" t="s">
        <v>161</v>
      </c>
      <c r="M42" s="165">
        <v>3.5</v>
      </c>
      <c r="O42" s="23" t="s">
        <v>178</v>
      </c>
      <c r="P42" s="170">
        <v>7</v>
      </c>
    </row>
    <row r="43" spans="1:16" x14ac:dyDescent="0.2">
      <c r="A43" s="33">
        <f t="shared" si="0"/>
        <v>42</v>
      </c>
      <c r="B43" t="s">
        <v>64</v>
      </c>
      <c r="C43" s="146">
        <v>2.21</v>
      </c>
      <c r="D43" s="146">
        <v>2.62</v>
      </c>
      <c r="E43" s="146">
        <v>3.43</v>
      </c>
      <c r="F43" s="146">
        <v>4</v>
      </c>
      <c r="G43" s="146">
        <v>4.63</v>
      </c>
      <c r="H43" s="146">
        <v>5.25</v>
      </c>
      <c r="I43" s="146">
        <v>5.8</v>
      </c>
      <c r="K43" s="60">
        <v>3</v>
      </c>
      <c r="L43" s="61" t="s">
        <v>162</v>
      </c>
      <c r="M43" s="165">
        <v>3.5</v>
      </c>
      <c r="O43" s="23" t="s">
        <v>180</v>
      </c>
      <c r="P43" s="170">
        <v>9</v>
      </c>
    </row>
    <row r="44" spans="1:16" x14ac:dyDescent="0.2">
      <c r="A44" s="33">
        <f t="shared" si="0"/>
        <v>43</v>
      </c>
      <c r="B44" t="s">
        <v>65</v>
      </c>
      <c r="C44" s="146">
        <v>2.25</v>
      </c>
      <c r="D44" s="146">
        <v>2.65</v>
      </c>
      <c r="E44" s="146">
        <v>3.5</v>
      </c>
      <c r="F44" s="146">
        <v>4.07</v>
      </c>
      <c r="G44" s="146">
        <v>4.6900000000000004</v>
      </c>
      <c r="H44" s="146">
        <v>5.31</v>
      </c>
      <c r="I44" s="146">
        <v>5.85</v>
      </c>
      <c r="K44" s="60">
        <v>4</v>
      </c>
      <c r="L44" s="61" t="s">
        <v>182</v>
      </c>
      <c r="M44" s="165">
        <v>3.5</v>
      </c>
      <c r="O44" s="23" t="s">
        <v>166</v>
      </c>
      <c r="P44" s="170">
        <v>3.5</v>
      </c>
    </row>
    <row r="45" spans="1:16" x14ac:dyDescent="0.2">
      <c r="A45" s="33">
        <f t="shared" si="0"/>
        <v>44</v>
      </c>
      <c r="B45" t="s">
        <v>66</v>
      </c>
      <c r="C45" s="146">
        <v>1.95</v>
      </c>
      <c r="D45" s="146">
        <v>2.3199999999999998</v>
      </c>
      <c r="E45" s="146">
        <v>3.07</v>
      </c>
      <c r="F45" s="146">
        <v>3.56</v>
      </c>
      <c r="G45" s="146">
        <v>4.1500000000000004</v>
      </c>
      <c r="H45" s="146">
        <v>4.63</v>
      </c>
      <c r="I45" s="146">
        <v>5.24</v>
      </c>
      <c r="K45" s="60">
        <v>5</v>
      </c>
      <c r="L45" s="61" t="s">
        <v>163</v>
      </c>
      <c r="M45" s="165">
        <v>3.5</v>
      </c>
      <c r="O45" s="23" t="s">
        <v>164</v>
      </c>
      <c r="P45" s="170">
        <v>3.5</v>
      </c>
    </row>
    <row r="46" spans="1:16" x14ac:dyDescent="0.2">
      <c r="A46" s="33">
        <f t="shared" si="0"/>
        <v>45</v>
      </c>
      <c r="B46" t="s">
        <v>67</v>
      </c>
      <c r="C46" s="146">
        <v>2.4</v>
      </c>
      <c r="D46" s="146">
        <v>2.85</v>
      </c>
      <c r="E46" s="146">
        <v>3.65</v>
      </c>
      <c r="F46" s="146">
        <v>4.3</v>
      </c>
      <c r="G46" s="146">
        <v>4.9000000000000004</v>
      </c>
      <c r="H46" s="146">
        <v>5.5</v>
      </c>
      <c r="I46" s="146">
        <v>6.1</v>
      </c>
      <c r="K46" s="60">
        <v>6</v>
      </c>
      <c r="L46" s="61" t="s">
        <v>164</v>
      </c>
      <c r="M46" s="165">
        <v>3.5</v>
      </c>
      <c r="O46" s="23" t="s">
        <v>162</v>
      </c>
      <c r="P46" s="170">
        <v>3.5</v>
      </c>
    </row>
    <row r="47" spans="1:16" x14ac:dyDescent="0.2">
      <c r="A47" s="33">
        <f t="shared" si="0"/>
        <v>46</v>
      </c>
      <c r="B47" t="s">
        <v>26</v>
      </c>
      <c r="C47" s="146">
        <v>1.86</v>
      </c>
      <c r="D47" s="146">
        <v>2.1800000000000002</v>
      </c>
      <c r="E47" s="146">
        <v>2.9</v>
      </c>
      <c r="F47" s="146">
        <v>3.4</v>
      </c>
      <c r="G47" s="146">
        <v>3.95</v>
      </c>
      <c r="H47" s="146">
        <v>4.4400000000000004</v>
      </c>
      <c r="I47" s="146">
        <v>4.9800000000000004</v>
      </c>
      <c r="K47" s="60">
        <v>7</v>
      </c>
      <c r="L47" s="61" t="s">
        <v>165</v>
      </c>
      <c r="M47" s="165">
        <v>3.5</v>
      </c>
      <c r="O47" s="23" t="s">
        <v>181</v>
      </c>
      <c r="P47" s="170">
        <v>9</v>
      </c>
    </row>
    <row r="48" spans="1:16" x14ac:dyDescent="0.2">
      <c r="A48" s="33">
        <f t="shared" si="0"/>
        <v>47</v>
      </c>
      <c r="B48" t="s">
        <v>27</v>
      </c>
      <c r="C48" s="146">
        <v>2.42</v>
      </c>
      <c r="D48" s="146">
        <v>2.9</v>
      </c>
      <c r="E48" s="146">
        <v>3.71</v>
      </c>
      <c r="F48" s="146">
        <v>4.3600000000000003</v>
      </c>
      <c r="G48" s="146">
        <v>4.97</v>
      </c>
      <c r="H48" s="146">
        <v>5.57</v>
      </c>
      <c r="I48" s="146">
        <v>6.16</v>
      </c>
      <c r="K48" s="60">
        <v>8</v>
      </c>
      <c r="L48" s="61" t="s">
        <v>167</v>
      </c>
      <c r="M48" s="165">
        <v>3.5</v>
      </c>
      <c r="O48" s="23" t="s">
        <v>173</v>
      </c>
      <c r="P48" s="170">
        <v>6</v>
      </c>
    </row>
    <row r="49" spans="1:16" x14ac:dyDescent="0.2">
      <c r="A49" s="33">
        <f t="shared" si="0"/>
        <v>48</v>
      </c>
      <c r="B49" t="s">
        <v>68</v>
      </c>
      <c r="C49" s="146">
        <v>2.31</v>
      </c>
      <c r="D49" s="146">
        <v>2.72</v>
      </c>
      <c r="E49" s="146">
        <v>3.56</v>
      </c>
      <c r="F49" s="146">
        <v>4.17</v>
      </c>
      <c r="G49" s="146">
        <v>4.75</v>
      </c>
      <c r="H49" s="146">
        <v>5.33</v>
      </c>
      <c r="I49" s="146">
        <v>5.93</v>
      </c>
      <c r="K49" s="60">
        <v>9</v>
      </c>
      <c r="L49" s="61" t="s">
        <v>166</v>
      </c>
      <c r="M49" s="165">
        <v>3.5</v>
      </c>
      <c r="O49" s="23" t="s">
        <v>182</v>
      </c>
      <c r="P49" s="170">
        <v>3.5</v>
      </c>
    </row>
    <row r="50" spans="1:16" x14ac:dyDescent="0.2">
      <c r="A50" s="33">
        <f t="shared" si="0"/>
        <v>49</v>
      </c>
      <c r="B50" t="s">
        <v>69</v>
      </c>
      <c r="C50" s="146">
        <v>2.2599999999999998</v>
      </c>
      <c r="D50" s="146">
        <v>2.68</v>
      </c>
      <c r="E50" s="146">
        <v>3.5</v>
      </c>
      <c r="F50" s="146">
        <v>4.0999999999999996</v>
      </c>
      <c r="G50" s="146">
        <v>4.67</v>
      </c>
      <c r="H50" s="146">
        <v>5.25</v>
      </c>
      <c r="I50" s="146">
        <v>5.84</v>
      </c>
      <c r="K50" s="60">
        <v>10</v>
      </c>
      <c r="L50" s="61" t="s">
        <v>168</v>
      </c>
      <c r="M50" s="165">
        <v>3.5</v>
      </c>
      <c r="O50" s="23" t="s">
        <v>161</v>
      </c>
      <c r="P50" s="170">
        <v>3.5</v>
      </c>
    </row>
    <row r="51" spans="1:16" x14ac:dyDescent="0.2">
      <c r="A51" s="33">
        <f t="shared" si="0"/>
        <v>50</v>
      </c>
      <c r="B51" t="s">
        <v>70</v>
      </c>
      <c r="C51" s="146">
        <v>2.23</v>
      </c>
      <c r="D51" s="146">
        <v>2.62</v>
      </c>
      <c r="E51" s="146">
        <v>3.39</v>
      </c>
      <c r="F51" s="146">
        <v>3.99</v>
      </c>
      <c r="G51" s="146">
        <v>4.55</v>
      </c>
      <c r="H51" s="146">
        <v>5.0999999999999996</v>
      </c>
      <c r="I51" s="146">
        <v>5.66</v>
      </c>
      <c r="K51" s="60">
        <v>11</v>
      </c>
      <c r="L51" s="61" t="s">
        <v>169</v>
      </c>
      <c r="M51" s="165">
        <v>5</v>
      </c>
      <c r="O51" s="23" t="s">
        <v>163</v>
      </c>
      <c r="P51" s="170">
        <v>3.5</v>
      </c>
    </row>
    <row r="52" spans="1:16" x14ac:dyDescent="0.2">
      <c r="A52" s="33">
        <f t="shared" si="0"/>
        <v>51</v>
      </c>
      <c r="B52" t="s">
        <v>71</v>
      </c>
      <c r="C52" s="146">
        <v>1.95</v>
      </c>
      <c r="D52" s="146">
        <v>2.2999999999999998</v>
      </c>
      <c r="E52" s="146">
        <v>3.05</v>
      </c>
      <c r="F52" s="146">
        <v>3.55</v>
      </c>
      <c r="G52" s="146">
        <v>4.1500000000000004</v>
      </c>
      <c r="H52" s="146">
        <v>4.5999999999999996</v>
      </c>
      <c r="I52" s="146">
        <v>5.25</v>
      </c>
      <c r="K52" s="60">
        <v>12</v>
      </c>
      <c r="L52" s="61" t="s">
        <v>170</v>
      </c>
      <c r="M52" s="165">
        <v>5</v>
      </c>
      <c r="O52" s="23" t="s">
        <v>167</v>
      </c>
      <c r="P52" s="170">
        <v>3.5</v>
      </c>
    </row>
    <row r="53" spans="1:16" x14ac:dyDescent="0.2">
      <c r="A53" s="33">
        <f t="shared" si="0"/>
        <v>52</v>
      </c>
      <c r="B53" t="s">
        <v>72</v>
      </c>
      <c r="C53" s="146">
        <v>2.17</v>
      </c>
      <c r="D53" s="146">
        <v>2.58</v>
      </c>
      <c r="E53" s="146">
        <v>3.35</v>
      </c>
      <c r="F53" s="146">
        <v>3.94</v>
      </c>
      <c r="G53" s="146">
        <v>4.5199999999999996</v>
      </c>
      <c r="H53" s="146">
        <v>5.07</v>
      </c>
      <c r="I53" s="146">
        <v>5.65</v>
      </c>
      <c r="K53" s="60">
        <v>13</v>
      </c>
      <c r="L53" s="61" t="s">
        <v>171</v>
      </c>
      <c r="M53" s="165">
        <v>5</v>
      </c>
      <c r="O53" s="23" t="s">
        <v>171</v>
      </c>
      <c r="P53" s="170">
        <v>5</v>
      </c>
    </row>
    <row r="54" spans="1:16" x14ac:dyDescent="0.2">
      <c r="A54" s="33">
        <f t="shared" si="0"/>
        <v>53</v>
      </c>
      <c r="B54" t="s">
        <v>73</v>
      </c>
      <c r="C54" s="146">
        <v>2.5299999999999998</v>
      </c>
      <c r="D54" s="146">
        <v>2.94</v>
      </c>
      <c r="E54" s="146">
        <v>3.75</v>
      </c>
      <c r="F54" s="146">
        <v>4.4000000000000004</v>
      </c>
      <c r="G54" s="146">
        <v>5.0199999999999996</v>
      </c>
      <c r="H54" s="146">
        <v>5.55</v>
      </c>
      <c r="I54" s="146">
        <v>6.23</v>
      </c>
      <c r="K54" s="60">
        <v>14</v>
      </c>
      <c r="L54" s="61" t="s">
        <v>172</v>
      </c>
      <c r="M54" s="165">
        <v>5</v>
      </c>
      <c r="O54" s="23" t="s">
        <v>179</v>
      </c>
      <c r="P54" s="170">
        <v>7</v>
      </c>
    </row>
    <row r="55" spans="1:16" x14ac:dyDescent="0.2">
      <c r="A55" s="33">
        <f t="shared" si="0"/>
        <v>54</v>
      </c>
      <c r="B55" t="s">
        <v>74</v>
      </c>
      <c r="C55" s="146">
        <v>2.2999999999999998</v>
      </c>
      <c r="D55" s="146">
        <v>2.72</v>
      </c>
      <c r="E55" s="146">
        <v>3.55</v>
      </c>
      <c r="F55" s="146">
        <v>4.1500000000000004</v>
      </c>
      <c r="G55" s="146">
        <v>4.78</v>
      </c>
      <c r="H55" s="146">
        <v>5.42</v>
      </c>
      <c r="I55" s="146">
        <v>5.95</v>
      </c>
      <c r="K55" s="60">
        <v>15</v>
      </c>
      <c r="L55" s="61" t="s">
        <v>173</v>
      </c>
      <c r="M55" s="165">
        <v>6</v>
      </c>
      <c r="O55" s="23" t="s">
        <v>160</v>
      </c>
      <c r="P55" s="170">
        <v>3.5</v>
      </c>
    </row>
    <row r="56" spans="1:16" x14ac:dyDescent="0.2">
      <c r="A56" s="33">
        <f t="shared" si="0"/>
        <v>55</v>
      </c>
      <c r="B56" t="s">
        <v>75</v>
      </c>
      <c r="C56" s="146">
        <v>2.37</v>
      </c>
      <c r="D56" s="146">
        <v>2.8</v>
      </c>
      <c r="E56" s="146">
        <v>3.62</v>
      </c>
      <c r="F56" s="146">
        <v>4.25</v>
      </c>
      <c r="G56" s="146">
        <v>4.8499999999999996</v>
      </c>
      <c r="H56" s="146">
        <v>5.44</v>
      </c>
      <c r="I56" s="146">
        <v>6.05</v>
      </c>
      <c r="K56" s="60">
        <v>16</v>
      </c>
      <c r="L56" s="61" t="s">
        <v>174</v>
      </c>
      <c r="M56" s="165">
        <v>6</v>
      </c>
      <c r="O56" s="23" t="s">
        <v>176</v>
      </c>
      <c r="P56" s="170">
        <v>6</v>
      </c>
    </row>
    <row r="57" spans="1:16" x14ac:dyDescent="0.2">
      <c r="A57" s="33">
        <f t="shared" si="0"/>
        <v>56</v>
      </c>
      <c r="B57" t="s">
        <v>76</v>
      </c>
      <c r="C57" s="146">
        <v>2.34</v>
      </c>
      <c r="D57" s="146">
        <v>2.77</v>
      </c>
      <c r="E57" s="146">
        <v>3.59</v>
      </c>
      <c r="F57" s="146">
        <v>4.22</v>
      </c>
      <c r="G57" s="146">
        <v>4.8499999999999996</v>
      </c>
      <c r="H57" s="146">
        <v>5.48</v>
      </c>
      <c r="I57" s="146">
        <v>6.04</v>
      </c>
      <c r="K57" s="60">
        <v>17</v>
      </c>
      <c r="L57" s="61" t="s">
        <v>175</v>
      </c>
      <c r="M57" s="165">
        <v>6</v>
      </c>
      <c r="O57" s="23" t="s">
        <v>177</v>
      </c>
      <c r="P57" s="170">
        <v>6</v>
      </c>
    </row>
    <row r="58" spans="1:16" x14ac:dyDescent="0.2">
      <c r="A58" s="33">
        <f t="shared" si="0"/>
        <v>57</v>
      </c>
      <c r="B58" t="s">
        <v>77</v>
      </c>
      <c r="C58" s="146">
        <v>1.93</v>
      </c>
      <c r="D58" s="146">
        <v>2.29</v>
      </c>
      <c r="E58" s="146">
        <v>3.01</v>
      </c>
      <c r="F58" s="146">
        <v>3.51</v>
      </c>
      <c r="G58" s="146">
        <v>4.09</v>
      </c>
      <c r="H58" s="146">
        <v>4.55</v>
      </c>
      <c r="I58" s="146">
        <v>5.18</v>
      </c>
      <c r="K58" s="60">
        <v>18</v>
      </c>
      <c r="L58" s="61" t="s">
        <v>176</v>
      </c>
      <c r="M58" s="165">
        <v>6</v>
      </c>
      <c r="O58" s="23" t="s">
        <v>168</v>
      </c>
      <c r="P58" s="170">
        <v>3.5</v>
      </c>
    </row>
    <row r="59" spans="1:16" x14ac:dyDescent="0.2">
      <c r="A59" s="33">
        <f t="shared" si="0"/>
        <v>58</v>
      </c>
      <c r="B59" t="s">
        <v>78</v>
      </c>
      <c r="C59" s="146">
        <v>2.5</v>
      </c>
      <c r="D59" s="146">
        <v>2.9</v>
      </c>
      <c r="E59" s="146">
        <v>3.7</v>
      </c>
      <c r="F59" s="146">
        <v>4.3499999999999996</v>
      </c>
      <c r="G59" s="146">
        <v>4.95</v>
      </c>
      <c r="H59" s="146">
        <v>5.45</v>
      </c>
      <c r="I59" s="146">
        <v>6.15</v>
      </c>
      <c r="K59" s="60">
        <v>19</v>
      </c>
      <c r="L59" s="61" t="s">
        <v>177</v>
      </c>
      <c r="M59" s="165">
        <v>6</v>
      </c>
      <c r="O59" s="23" t="s">
        <v>169</v>
      </c>
      <c r="P59" s="170">
        <v>5</v>
      </c>
    </row>
    <row r="60" spans="1:16" x14ac:dyDescent="0.2">
      <c r="A60" s="33">
        <f t="shared" si="0"/>
        <v>59</v>
      </c>
      <c r="B60" t="s">
        <v>79</v>
      </c>
      <c r="C60" s="146">
        <v>2.0299999999999998</v>
      </c>
      <c r="D60" s="146">
        <v>2.4300000000000002</v>
      </c>
      <c r="E60" s="146">
        <v>3.21</v>
      </c>
      <c r="F60" s="146">
        <v>3.74</v>
      </c>
      <c r="G60" s="146">
        <v>4.3099999999999996</v>
      </c>
      <c r="H60" s="146">
        <v>4.88</v>
      </c>
      <c r="I60" s="146">
        <v>5.45</v>
      </c>
      <c r="K60" s="60">
        <v>20</v>
      </c>
      <c r="L60" s="61" t="s">
        <v>12</v>
      </c>
      <c r="M60" s="165">
        <v>7</v>
      </c>
      <c r="O60" s="23" t="s">
        <v>170</v>
      </c>
      <c r="P60" s="170">
        <v>5</v>
      </c>
    </row>
    <row r="61" spans="1:16" x14ac:dyDescent="0.2">
      <c r="A61" s="33">
        <f t="shared" si="0"/>
        <v>60</v>
      </c>
      <c r="B61" t="s">
        <v>80</v>
      </c>
      <c r="C61" s="146">
        <v>1.9</v>
      </c>
      <c r="D61" s="146">
        <v>2.2400000000000002</v>
      </c>
      <c r="E61" s="146">
        <v>2.95</v>
      </c>
      <c r="F61" s="146">
        <v>3.46</v>
      </c>
      <c r="G61" s="146">
        <v>3.98</v>
      </c>
      <c r="H61" s="146">
        <v>4.47</v>
      </c>
      <c r="I61" s="146">
        <v>5.08</v>
      </c>
      <c r="K61" s="60">
        <v>21</v>
      </c>
      <c r="L61" s="61" t="s">
        <v>178</v>
      </c>
      <c r="M61" s="165">
        <v>7</v>
      </c>
      <c r="O61" s="23" t="s">
        <v>174</v>
      </c>
      <c r="P61" s="170">
        <v>6</v>
      </c>
    </row>
    <row r="62" spans="1:16" x14ac:dyDescent="0.2">
      <c r="A62" s="33">
        <f t="shared" si="0"/>
        <v>61</v>
      </c>
      <c r="B62" t="s">
        <v>81</v>
      </c>
      <c r="C62" s="146">
        <v>2.2400000000000002</v>
      </c>
      <c r="D62" s="146">
        <v>2.62</v>
      </c>
      <c r="E62" s="146">
        <v>3.33</v>
      </c>
      <c r="F62" s="146">
        <v>3.95</v>
      </c>
      <c r="G62" s="146">
        <v>4.5</v>
      </c>
      <c r="H62" s="146">
        <v>5.0199999999999996</v>
      </c>
      <c r="I62" s="146">
        <v>5.5</v>
      </c>
      <c r="K62" s="60">
        <v>22</v>
      </c>
      <c r="L62" s="61" t="s">
        <v>179</v>
      </c>
      <c r="M62" s="165">
        <v>7</v>
      </c>
      <c r="O62" s="23" t="s">
        <v>175</v>
      </c>
      <c r="P62" s="170">
        <v>6</v>
      </c>
    </row>
    <row r="63" spans="1:16" x14ac:dyDescent="0.2">
      <c r="A63" s="33">
        <f t="shared" si="0"/>
        <v>62</v>
      </c>
      <c r="B63" t="s">
        <v>82</v>
      </c>
      <c r="C63" s="146">
        <v>2.27</v>
      </c>
      <c r="D63" s="146">
        <v>2.68</v>
      </c>
      <c r="E63" s="146">
        <v>3.5</v>
      </c>
      <c r="F63" s="146">
        <v>4.0999999999999996</v>
      </c>
      <c r="G63" s="146">
        <v>4.7</v>
      </c>
      <c r="H63" s="146">
        <v>5.35</v>
      </c>
      <c r="I63" s="146">
        <v>5.9</v>
      </c>
      <c r="K63" s="60">
        <v>23</v>
      </c>
      <c r="L63" s="61" t="s">
        <v>180</v>
      </c>
      <c r="M63" s="165">
        <v>9</v>
      </c>
      <c r="O63" s="23" t="s">
        <v>165</v>
      </c>
      <c r="P63" s="170">
        <v>3.5</v>
      </c>
    </row>
    <row r="64" spans="1:16" x14ac:dyDescent="0.2">
      <c r="A64" s="33">
        <f t="shared" si="0"/>
        <v>63</v>
      </c>
      <c r="B64" t="s">
        <v>83</v>
      </c>
      <c r="C64" s="146">
        <v>1.9</v>
      </c>
      <c r="D64" s="146">
        <v>2.25</v>
      </c>
      <c r="E64" s="146">
        <v>2.97</v>
      </c>
      <c r="F64" s="146">
        <v>3.47</v>
      </c>
      <c r="G64" s="146">
        <v>4</v>
      </c>
      <c r="H64" s="146">
        <v>4.5</v>
      </c>
      <c r="I64" s="146">
        <v>5.0999999999999996</v>
      </c>
      <c r="K64" s="62">
        <v>24</v>
      </c>
      <c r="L64" s="63" t="s">
        <v>181</v>
      </c>
      <c r="M64" s="166">
        <v>9</v>
      </c>
      <c r="O64" s="23" t="s">
        <v>172</v>
      </c>
      <c r="P64" s="170">
        <v>5</v>
      </c>
    </row>
    <row r="65" spans="1:13" x14ac:dyDescent="0.2">
      <c r="A65" s="33">
        <f t="shared" si="0"/>
        <v>64</v>
      </c>
      <c r="B65" t="s">
        <v>84</v>
      </c>
      <c r="C65" s="146">
        <v>2.14</v>
      </c>
      <c r="D65" s="146">
        <v>2.5299999999999998</v>
      </c>
      <c r="E65" s="146">
        <v>3.35</v>
      </c>
      <c r="F65" s="146">
        <v>3.92</v>
      </c>
      <c r="G65" s="146">
        <v>4.5</v>
      </c>
      <c r="H65" s="146">
        <v>5.0999999999999996</v>
      </c>
      <c r="I65" s="146">
        <v>5.66</v>
      </c>
    </row>
    <row r="66" spans="1:13" x14ac:dyDescent="0.2">
      <c r="A66" s="33">
        <f t="shared" si="0"/>
        <v>65</v>
      </c>
      <c r="B66" t="s">
        <v>85</v>
      </c>
      <c r="C66" s="146">
        <v>2.4</v>
      </c>
      <c r="D66" s="146">
        <v>2.75</v>
      </c>
      <c r="E66" s="146">
        <v>3.55</v>
      </c>
      <c r="F66" s="146">
        <v>4.1500000000000004</v>
      </c>
      <c r="G66" s="146">
        <v>4.75</v>
      </c>
      <c r="H66" s="146">
        <v>5.3</v>
      </c>
      <c r="I66" s="146">
        <v>5.9</v>
      </c>
      <c r="K66" s="51" t="s">
        <v>13</v>
      </c>
      <c r="L66" s="52" t="s">
        <v>240</v>
      </c>
      <c r="M66" s="53"/>
    </row>
    <row r="67" spans="1:13" x14ac:dyDescent="0.2">
      <c r="A67" s="33">
        <f t="shared" si="0"/>
        <v>66</v>
      </c>
      <c r="B67" t="s">
        <v>86</v>
      </c>
      <c r="C67" s="146">
        <v>1.92</v>
      </c>
      <c r="D67" s="146">
        <v>2.25</v>
      </c>
      <c r="E67" s="146">
        <v>2.98</v>
      </c>
      <c r="F67" s="146">
        <v>3.46</v>
      </c>
      <c r="G67" s="146">
        <v>4</v>
      </c>
      <c r="H67" s="146">
        <v>4.49</v>
      </c>
      <c r="I67" s="146">
        <v>5.0999999999999996</v>
      </c>
      <c r="K67" s="54">
        <v>1</v>
      </c>
      <c r="L67" s="217" t="s">
        <v>241</v>
      </c>
      <c r="M67" s="163" t="b">
        <v>1</v>
      </c>
    </row>
    <row r="68" spans="1:13" x14ac:dyDescent="0.2">
      <c r="A68" s="33">
        <f t="shared" ref="A68:A93" si="1">A67+1</f>
        <v>67</v>
      </c>
      <c r="B68" t="s">
        <v>87</v>
      </c>
      <c r="C68" s="146">
        <v>2.2999999999999998</v>
      </c>
      <c r="D68" s="146">
        <v>2.72</v>
      </c>
      <c r="E68" s="146">
        <v>3.55</v>
      </c>
      <c r="F68" s="146">
        <v>4.1500000000000004</v>
      </c>
      <c r="G68" s="146">
        <v>4.75</v>
      </c>
      <c r="H68" s="146">
        <v>5.37</v>
      </c>
      <c r="I68" s="146">
        <v>5.95</v>
      </c>
      <c r="K68" s="56">
        <v>2</v>
      </c>
      <c r="L68" s="218" t="s">
        <v>242</v>
      </c>
      <c r="M68" s="164" t="b">
        <v>0</v>
      </c>
    </row>
    <row r="69" spans="1:13" x14ac:dyDescent="0.2">
      <c r="A69" s="33">
        <f t="shared" si="1"/>
        <v>68</v>
      </c>
      <c r="B69" t="s">
        <v>88</v>
      </c>
      <c r="C69" s="146">
        <v>2.2799999999999998</v>
      </c>
      <c r="D69" s="146">
        <v>2.7</v>
      </c>
      <c r="E69" s="146">
        <v>3.53</v>
      </c>
      <c r="F69" s="146">
        <v>4.13</v>
      </c>
      <c r="G69" s="146">
        <v>4.72</v>
      </c>
      <c r="H69" s="146">
        <v>5.33</v>
      </c>
      <c r="I69" s="146">
        <v>5.9</v>
      </c>
    </row>
    <row r="70" spans="1:13" x14ac:dyDescent="0.2">
      <c r="A70" s="33">
        <f t="shared" si="1"/>
        <v>69</v>
      </c>
      <c r="B70" t="s">
        <v>89</v>
      </c>
      <c r="C70" s="146">
        <v>2.42</v>
      </c>
      <c r="D70" s="146">
        <v>2.83</v>
      </c>
      <c r="E70" s="146">
        <v>3.62</v>
      </c>
      <c r="F70" s="146">
        <v>4.2699999999999996</v>
      </c>
      <c r="G70" s="146">
        <v>4.9000000000000004</v>
      </c>
      <c r="H70" s="146">
        <v>5.43</v>
      </c>
      <c r="I70" s="146">
        <v>6.1</v>
      </c>
      <c r="K70" s="51" t="s">
        <v>13</v>
      </c>
      <c r="L70" s="52" t="s">
        <v>240</v>
      </c>
      <c r="M70" s="53"/>
    </row>
    <row r="71" spans="1:13" x14ac:dyDescent="0.2">
      <c r="A71" s="33">
        <f t="shared" si="1"/>
        <v>70</v>
      </c>
      <c r="B71" t="s">
        <v>90</v>
      </c>
      <c r="C71" s="146">
        <v>2.2999999999999998</v>
      </c>
      <c r="D71" s="146">
        <v>2.7</v>
      </c>
      <c r="E71" s="146">
        <v>3.53</v>
      </c>
      <c r="F71" s="146">
        <v>4.1500000000000004</v>
      </c>
      <c r="G71" s="146">
        <v>4.78</v>
      </c>
      <c r="H71" s="146">
        <v>5.43</v>
      </c>
      <c r="I71" s="146">
        <v>5.98</v>
      </c>
      <c r="K71" s="54">
        <v>1</v>
      </c>
      <c r="L71" s="217" t="s">
        <v>241</v>
      </c>
      <c r="M71" s="163" t="b">
        <v>1</v>
      </c>
    </row>
    <row r="72" spans="1:13" x14ac:dyDescent="0.2">
      <c r="A72" s="33">
        <f t="shared" si="1"/>
        <v>71</v>
      </c>
      <c r="B72" t="s">
        <v>91</v>
      </c>
      <c r="C72" s="146">
        <v>2.5</v>
      </c>
      <c r="D72" s="146">
        <v>2.9</v>
      </c>
      <c r="E72" s="146">
        <v>3.7</v>
      </c>
      <c r="F72" s="146">
        <v>4.3499999999999996</v>
      </c>
      <c r="G72" s="146">
        <v>4.95</v>
      </c>
      <c r="H72" s="146">
        <v>5.45</v>
      </c>
      <c r="I72" s="146">
        <v>6.15</v>
      </c>
      <c r="K72" s="56">
        <v>2</v>
      </c>
      <c r="L72" s="218" t="s">
        <v>242</v>
      </c>
      <c r="M72" s="164" t="b">
        <v>0</v>
      </c>
    </row>
    <row r="73" spans="1:13" x14ac:dyDescent="0.2">
      <c r="A73" s="33">
        <f t="shared" si="1"/>
        <v>72</v>
      </c>
      <c r="B73" t="s">
        <v>92</v>
      </c>
      <c r="C73" s="146">
        <v>1.85</v>
      </c>
      <c r="D73" s="146">
        <v>2.15</v>
      </c>
      <c r="E73" s="146">
        <v>2.83</v>
      </c>
      <c r="F73" s="146">
        <v>3.38</v>
      </c>
      <c r="G73" s="146">
        <v>3.93</v>
      </c>
      <c r="H73" s="146">
        <v>4.42</v>
      </c>
      <c r="I73" s="146">
        <v>4.92</v>
      </c>
    </row>
    <row r="74" spans="1:13" x14ac:dyDescent="0.2">
      <c r="A74" s="33">
        <f t="shared" si="1"/>
        <v>73</v>
      </c>
      <c r="B74" t="s">
        <v>93</v>
      </c>
      <c r="C74" s="146">
        <v>2.25</v>
      </c>
      <c r="D74" s="146">
        <v>2.65</v>
      </c>
      <c r="E74" s="146">
        <v>3.45</v>
      </c>
      <c r="F74" s="146">
        <v>4</v>
      </c>
      <c r="G74" s="146">
        <v>4.5999999999999996</v>
      </c>
      <c r="H74" s="146">
        <v>5.15</v>
      </c>
      <c r="I74" s="146">
        <v>5.75</v>
      </c>
      <c r="K74" s="51" t="s">
        <v>13</v>
      </c>
      <c r="L74" s="52" t="s">
        <v>240</v>
      </c>
      <c r="M74" s="53"/>
    </row>
    <row r="75" spans="1:13" x14ac:dyDescent="0.2">
      <c r="A75" s="33">
        <f t="shared" si="1"/>
        <v>74</v>
      </c>
      <c r="B75" t="s">
        <v>94</v>
      </c>
      <c r="C75" s="146">
        <v>2.1</v>
      </c>
      <c r="D75" s="146">
        <v>2.4</v>
      </c>
      <c r="E75" s="146">
        <v>3.1</v>
      </c>
      <c r="F75" s="146">
        <v>3.65</v>
      </c>
      <c r="G75" s="146">
        <v>4.1500000000000004</v>
      </c>
      <c r="H75" s="146">
        <v>4.6500000000000004</v>
      </c>
      <c r="I75" s="146">
        <v>5.0999999999999996</v>
      </c>
      <c r="K75" s="54">
        <v>1</v>
      </c>
      <c r="L75" s="217" t="s">
        <v>243</v>
      </c>
      <c r="M75" s="163" t="b">
        <v>1</v>
      </c>
    </row>
    <row r="76" spans="1:13" x14ac:dyDescent="0.2">
      <c r="A76" s="33">
        <f t="shared" si="1"/>
        <v>75</v>
      </c>
      <c r="B76" t="s">
        <v>28</v>
      </c>
      <c r="C76" s="146">
        <v>2.4</v>
      </c>
      <c r="D76" s="146">
        <v>2.8</v>
      </c>
      <c r="E76" s="146">
        <v>3.6</v>
      </c>
      <c r="F76" s="146">
        <v>4.2</v>
      </c>
      <c r="G76" s="146">
        <v>4.8</v>
      </c>
      <c r="H76" s="146">
        <v>5.35</v>
      </c>
      <c r="I76" s="146">
        <v>6</v>
      </c>
      <c r="K76" s="56">
        <v>2</v>
      </c>
      <c r="L76" s="218" t="s">
        <v>242</v>
      </c>
      <c r="M76" s="164" t="b">
        <v>0</v>
      </c>
    </row>
    <row r="77" spans="1:13" x14ac:dyDescent="0.2">
      <c r="A77" s="33">
        <f t="shared" si="1"/>
        <v>76</v>
      </c>
      <c r="B77" t="s">
        <v>95</v>
      </c>
      <c r="C77" s="146">
        <v>2.27</v>
      </c>
      <c r="D77" s="146">
        <v>2.68</v>
      </c>
      <c r="E77" s="146">
        <v>3.45</v>
      </c>
      <c r="F77" s="146">
        <v>4.07</v>
      </c>
      <c r="G77" s="146">
        <v>4.66</v>
      </c>
      <c r="H77" s="146">
        <v>5.2</v>
      </c>
      <c r="I77" s="146">
        <v>5.8</v>
      </c>
    </row>
    <row r="78" spans="1:13" x14ac:dyDescent="0.2">
      <c r="A78" s="33">
        <f t="shared" si="1"/>
        <v>77</v>
      </c>
      <c r="B78" t="s">
        <v>96</v>
      </c>
      <c r="C78" s="146">
        <v>2.34</v>
      </c>
      <c r="D78" s="146">
        <v>2.77</v>
      </c>
      <c r="E78" s="146">
        <v>3.6</v>
      </c>
      <c r="F78" s="146">
        <v>4.21</v>
      </c>
      <c r="G78" s="146">
        <v>4.8099999999999996</v>
      </c>
      <c r="H78" s="146">
        <v>5.39</v>
      </c>
      <c r="I78" s="146">
        <v>6</v>
      </c>
    </row>
    <row r="79" spans="1:13" x14ac:dyDescent="0.2">
      <c r="A79" s="33">
        <f t="shared" si="1"/>
        <v>78</v>
      </c>
      <c r="B79" t="s">
        <v>97</v>
      </c>
      <c r="C79" s="146">
        <v>2.2000000000000002</v>
      </c>
      <c r="D79" s="146">
        <v>2.6</v>
      </c>
      <c r="E79" s="146">
        <v>3.4</v>
      </c>
      <c r="F79" s="146">
        <v>4</v>
      </c>
      <c r="G79" s="146">
        <v>4.5999999999999996</v>
      </c>
      <c r="H79" s="146">
        <v>5.15</v>
      </c>
      <c r="I79" s="146">
        <v>5.75</v>
      </c>
    </row>
    <row r="80" spans="1:13" x14ac:dyDescent="0.2">
      <c r="A80" s="33">
        <f t="shared" si="1"/>
        <v>79</v>
      </c>
      <c r="B80" t="s">
        <v>98</v>
      </c>
      <c r="C80" s="146">
        <v>2.48</v>
      </c>
      <c r="D80" s="146">
        <v>2.9</v>
      </c>
      <c r="E80" s="146">
        <v>3.69</v>
      </c>
      <c r="F80" s="146">
        <v>4.33</v>
      </c>
      <c r="G80" s="146">
        <v>4.9400000000000004</v>
      </c>
      <c r="H80" s="146">
        <v>5.5</v>
      </c>
      <c r="I80" s="146">
        <v>6.16</v>
      </c>
    </row>
    <row r="81" spans="1:9" x14ac:dyDescent="0.2">
      <c r="A81" s="33">
        <f t="shared" si="1"/>
        <v>80</v>
      </c>
      <c r="B81" t="s">
        <v>99</v>
      </c>
      <c r="C81" s="146">
        <v>2.09</v>
      </c>
      <c r="D81" s="146">
        <v>2.48</v>
      </c>
      <c r="E81" s="146">
        <v>3.31</v>
      </c>
      <c r="F81" s="146">
        <v>3.85</v>
      </c>
      <c r="G81" s="146">
        <v>4.4400000000000004</v>
      </c>
      <c r="H81" s="146">
        <v>5.04</v>
      </c>
      <c r="I81" s="146">
        <v>5.61</v>
      </c>
    </row>
    <row r="82" spans="1:9" x14ac:dyDescent="0.2">
      <c r="A82" s="33">
        <f t="shared" si="1"/>
        <v>81</v>
      </c>
      <c r="B82" t="s">
        <v>100</v>
      </c>
      <c r="C82" s="146">
        <v>2.15</v>
      </c>
      <c r="D82" s="146">
        <v>2.5499999999999998</v>
      </c>
      <c r="E82" s="146">
        <v>3.38</v>
      </c>
      <c r="F82" s="146">
        <v>3.95</v>
      </c>
      <c r="G82" s="146">
        <v>4.54</v>
      </c>
      <c r="H82" s="146">
        <v>5.13</v>
      </c>
      <c r="I82" s="146">
        <v>5.7</v>
      </c>
    </row>
    <row r="83" spans="1:9" x14ac:dyDescent="0.2">
      <c r="A83" s="33">
        <f t="shared" si="1"/>
        <v>82</v>
      </c>
      <c r="B83" t="s">
        <v>101</v>
      </c>
      <c r="C83" s="146">
        <v>2.13</v>
      </c>
      <c r="D83" s="146">
        <v>2.52</v>
      </c>
      <c r="E83" s="146">
        <v>3.32</v>
      </c>
      <c r="F83" s="146">
        <v>3.89</v>
      </c>
      <c r="G83" s="146">
        <v>4.46</v>
      </c>
      <c r="H83" s="146">
        <v>5.03</v>
      </c>
      <c r="I83" s="146">
        <v>5.6</v>
      </c>
    </row>
    <row r="84" spans="1:9" x14ac:dyDescent="0.2">
      <c r="A84" s="33">
        <f t="shared" si="1"/>
        <v>83</v>
      </c>
      <c r="B84" t="s">
        <v>102</v>
      </c>
      <c r="C84" s="146">
        <v>2.04</v>
      </c>
      <c r="D84" s="146">
        <v>2.4500000000000002</v>
      </c>
      <c r="E84" s="146">
        <v>3.23</v>
      </c>
      <c r="F84" s="146">
        <v>3.76</v>
      </c>
      <c r="G84" s="146">
        <v>4.3600000000000003</v>
      </c>
      <c r="H84" s="146">
        <v>4.95</v>
      </c>
      <c r="I84" s="146">
        <v>5.5</v>
      </c>
    </row>
    <row r="85" spans="1:9" x14ac:dyDescent="0.2">
      <c r="A85" s="33">
        <f t="shared" si="1"/>
        <v>84</v>
      </c>
      <c r="B85" t="s">
        <v>103</v>
      </c>
      <c r="C85" s="146">
        <v>2.48</v>
      </c>
      <c r="D85" s="146">
        <v>2.83</v>
      </c>
      <c r="E85" s="146">
        <v>3.67</v>
      </c>
      <c r="F85" s="146">
        <v>4.2699999999999996</v>
      </c>
      <c r="G85" s="146">
        <v>4.84</v>
      </c>
      <c r="H85" s="146">
        <v>5.4</v>
      </c>
      <c r="I85" s="146">
        <v>6.08</v>
      </c>
    </row>
    <row r="86" spans="1:9" x14ac:dyDescent="0.2">
      <c r="A86" s="33">
        <f t="shared" si="1"/>
        <v>85</v>
      </c>
      <c r="B86" t="s">
        <v>104</v>
      </c>
      <c r="C86" s="146">
        <v>2.06</v>
      </c>
      <c r="D86" s="146">
        <v>2.46</v>
      </c>
      <c r="E86" s="146">
        <v>3.25</v>
      </c>
      <c r="F86" s="146">
        <v>3.77</v>
      </c>
      <c r="G86" s="146">
        <v>4.3499999999999996</v>
      </c>
      <c r="H86" s="146">
        <v>4.91</v>
      </c>
      <c r="I86" s="146">
        <v>5.49</v>
      </c>
    </row>
    <row r="87" spans="1:9" x14ac:dyDescent="0.2">
      <c r="A87" s="33">
        <f t="shared" si="1"/>
        <v>86</v>
      </c>
      <c r="B87" t="s">
        <v>105</v>
      </c>
      <c r="C87" s="146">
        <v>2.4500000000000002</v>
      </c>
      <c r="D87" s="146">
        <v>2.9</v>
      </c>
      <c r="E87" s="146">
        <v>3.69</v>
      </c>
      <c r="F87" s="146">
        <v>4.33</v>
      </c>
      <c r="G87" s="146">
        <v>4.95</v>
      </c>
      <c r="H87" s="146">
        <v>5.51</v>
      </c>
      <c r="I87" s="146">
        <v>6.16</v>
      </c>
    </row>
    <row r="88" spans="1:9" x14ac:dyDescent="0.2">
      <c r="A88" s="33">
        <f t="shared" si="1"/>
        <v>87</v>
      </c>
      <c r="B88" t="s">
        <v>29</v>
      </c>
      <c r="C88" s="146">
        <v>2.4</v>
      </c>
      <c r="D88" s="146">
        <v>2.75</v>
      </c>
      <c r="E88" s="146">
        <v>3.55</v>
      </c>
      <c r="F88" s="146">
        <v>4.1500000000000004</v>
      </c>
      <c r="G88" s="146">
        <v>4.7</v>
      </c>
      <c r="H88" s="146">
        <v>5.25</v>
      </c>
      <c r="I88" s="146">
        <v>5.9</v>
      </c>
    </row>
    <row r="89" spans="1:9" x14ac:dyDescent="0.2">
      <c r="A89" s="33">
        <f t="shared" si="1"/>
        <v>88</v>
      </c>
      <c r="B89" t="s">
        <v>106</v>
      </c>
      <c r="C89" s="146">
        <v>2.39</v>
      </c>
      <c r="D89" s="146">
        <v>2.82</v>
      </c>
      <c r="E89" s="146">
        <v>3.68</v>
      </c>
      <c r="F89" s="146">
        <v>4.3</v>
      </c>
      <c r="G89" s="146">
        <v>4.9000000000000004</v>
      </c>
      <c r="H89" s="146">
        <v>5.5</v>
      </c>
      <c r="I89" s="146">
        <v>6.1</v>
      </c>
    </row>
    <row r="90" spans="1:9" x14ac:dyDescent="0.2">
      <c r="A90" s="33">
        <f t="shared" si="1"/>
        <v>89</v>
      </c>
      <c r="B90" t="s">
        <v>107</v>
      </c>
      <c r="C90" s="146">
        <v>1.99</v>
      </c>
      <c r="D90" s="146">
        <v>2.4</v>
      </c>
      <c r="E90" s="146">
        <v>3.15</v>
      </c>
      <c r="F90" s="146">
        <v>3.68</v>
      </c>
      <c r="G90" s="146">
        <v>4.25</v>
      </c>
      <c r="H90" s="146">
        <v>4.82</v>
      </c>
      <c r="I90" s="146">
        <v>5.4</v>
      </c>
    </row>
    <row r="91" spans="1:9" x14ac:dyDescent="0.2">
      <c r="A91" s="33">
        <f t="shared" si="1"/>
        <v>90</v>
      </c>
      <c r="B91" t="s">
        <v>108</v>
      </c>
      <c r="C91" s="146">
        <v>2.52</v>
      </c>
      <c r="D91" s="146">
        <v>2.85</v>
      </c>
      <c r="E91" s="146">
        <v>3.71</v>
      </c>
      <c r="F91" s="146">
        <v>4.29</v>
      </c>
      <c r="G91" s="146">
        <v>4.9000000000000004</v>
      </c>
      <c r="H91" s="146">
        <v>5.42</v>
      </c>
      <c r="I91" s="146">
        <v>6.1</v>
      </c>
    </row>
    <row r="92" spans="1:9" x14ac:dyDescent="0.2">
      <c r="A92" s="33">
        <f t="shared" si="1"/>
        <v>91</v>
      </c>
      <c r="B92" t="s">
        <v>109</v>
      </c>
      <c r="C92" s="146">
        <v>2.2999999999999998</v>
      </c>
      <c r="D92" s="146">
        <v>2.7</v>
      </c>
      <c r="E92" s="146">
        <v>3.5</v>
      </c>
      <c r="F92" s="146">
        <v>4.0999999999999996</v>
      </c>
      <c r="G92" s="146">
        <v>4.7</v>
      </c>
      <c r="H92" s="146">
        <v>5.25</v>
      </c>
      <c r="I92" s="146">
        <v>5.85</v>
      </c>
    </row>
    <row r="93" spans="1:9" x14ac:dyDescent="0.2">
      <c r="A93" s="33">
        <f t="shared" si="1"/>
        <v>92</v>
      </c>
      <c r="B93" t="s">
        <v>110</v>
      </c>
      <c r="C93" s="146">
        <v>2.2000000000000002</v>
      </c>
      <c r="D93" s="146">
        <v>2.61</v>
      </c>
      <c r="E93" s="146">
        <v>3.44</v>
      </c>
      <c r="F93" s="146">
        <v>4.0199999999999996</v>
      </c>
      <c r="G93" s="146">
        <v>4.62</v>
      </c>
      <c r="H93" s="146">
        <v>5.25</v>
      </c>
      <c r="I93" s="146">
        <v>5.8</v>
      </c>
    </row>
  </sheetData>
  <sheetProtection selectLockedCells="1"/>
  <phoneticPr fontId="2"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B1"/>
  <sheetViews>
    <sheetView topLeftCell="M1" workbookViewId="0">
      <selection activeCell="M1" sqref="A1:XFD1048576"/>
    </sheetView>
  </sheetViews>
  <sheetFormatPr defaultColWidth="20.7109375" defaultRowHeight="12.75" x14ac:dyDescent="0.2"/>
  <cols>
    <col min="1" max="1" width="20.7109375" style="219" customWidth="1"/>
    <col min="2" max="2" width="20.7109375" style="220" customWidth="1"/>
    <col min="3" max="3" width="20.7109375" style="219" customWidth="1"/>
    <col min="4" max="4" width="20.7109375" style="220" customWidth="1"/>
    <col min="5" max="8" width="20.7109375" style="219" customWidth="1"/>
    <col min="9" max="10" width="20.7109375" style="220" customWidth="1"/>
    <col min="11" max="11" width="20.7109375" style="219" customWidth="1"/>
    <col min="12" max="13" width="20.7109375" style="220" customWidth="1"/>
    <col min="14" max="14" width="20.7109375" style="219" customWidth="1"/>
    <col min="16" max="20" width="20.7109375" style="219" customWidth="1"/>
    <col min="21" max="23" width="20.7109375" style="220" customWidth="1"/>
    <col min="24" max="24" width="20.7109375" style="219" customWidth="1"/>
    <col min="25" max="28" width="20.7109375" style="220" customWidth="1"/>
    <col min="29" max="54" width="20.7109375" customWidth="1"/>
  </cols>
  <sheetData/>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WASCOB Design 1</vt:lpstr>
      <vt:lpstr>WASCOB Design 2</vt:lpstr>
      <vt:lpstr>WASCOB Design 3</vt:lpstr>
      <vt:lpstr>Tile Design</vt:lpstr>
      <vt:lpstr>Offsets</vt:lpstr>
      <vt:lpstr>Tile Alignment</vt:lpstr>
      <vt:lpstr>Intake &amp; Design Height</vt:lpstr>
      <vt:lpstr>Watershed Report</vt:lpstr>
      <vt:lpstr>Help</vt:lpstr>
      <vt:lpstr>Defaults</vt:lpstr>
      <vt:lpstr>Import1</vt:lpstr>
      <vt:lpstr>b</vt:lpstr>
      <vt:lpstr>'WASCOB Design 2'!County</vt:lpstr>
      <vt:lpstr>'WASCOB Design 3'!County</vt:lpstr>
      <vt:lpstr>County</vt:lpstr>
      <vt:lpstr>County_Table</vt:lpstr>
      <vt:lpstr>ddds</vt:lpstr>
      <vt:lpstr>'WASCOB Design 2'!Position</vt:lpstr>
      <vt:lpstr>'WASCOB Design 3'!Position</vt:lpstr>
      <vt:lpstr>Position</vt:lpstr>
      <vt:lpstr>'Intake &amp; Design Height'!Print_Area</vt:lpstr>
      <vt:lpstr>'Tile Alignment'!Print_Area</vt:lpstr>
      <vt:lpstr>'Tile Design'!Print_Area</vt:lpstr>
      <vt:lpstr>'WASCOB Design 1'!Print_Area</vt:lpstr>
      <vt:lpstr>'WASCOB Design 2'!Print_Area</vt:lpstr>
      <vt:lpstr>'WASCOB Design 3'!Print_Area</vt:lpstr>
      <vt:lpstr>'Watershed Report'!Print_Area</vt:lpstr>
      <vt:lpstr>'WASCOB Design 2'!Storm</vt:lpstr>
      <vt:lpstr>'WASCOB Design 3'!Storm</vt:lpstr>
      <vt:lpstr>Storm</vt:lpstr>
      <vt:lpstr>Strom</vt:lpstr>
      <vt:lpstr>Stupid</vt:lpstr>
    </vt:vector>
  </TitlesOfParts>
  <Company>USDA-NRCS MN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Mead</dc:creator>
  <cp:lastModifiedBy>peter.mead</cp:lastModifiedBy>
  <cp:lastPrinted>2011-12-08T14:53:03Z</cp:lastPrinted>
  <dcterms:created xsi:type="dcterms:W3CDTF">2005-03-29T13:39:09Z</dcterms:created>
  <dcterms:modified xsi:type="dcterms:W3CDTF">2013-01-31T22:33:43Z</dcterms:modified>
</cp:coreProperties>
</file>